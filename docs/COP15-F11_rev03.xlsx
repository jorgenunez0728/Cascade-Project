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quipos" sheetId="2" state="visible" r:id="rId4"/>
    <sheet name="Actividades" sheetId="3" state="visible" r:id="rId5"/>
    <sheet name="Plan Maestro" sheetId="4" state="visible" r:id="rId6"/>
    <sheet name="Historial" sheetId="5" state="visible" r:id="rId7"/>
    <sheet name="Calibración" sheetId="6" state="visible" r:id="rId8"/>
    <sheet name="Dashboard" sheetId="7" state="visible" r:id="rId9"/>
    <sheet name="Listas" sheetId="8" state="hidden" r:id="rId10"/>
  </sheets>
  <definedNames>
    <definedName function="false" hidden="false" localSheetId="2" name="_xlnm.Print_Titles" vbProcedure="false">Actividades!$1:$2</definedName>
    <definedName function="false" hidden="false" localSheetId="5" name="_xlnm.Print_Titles" vbProcedure="false">Calibración!$1:$2</definedName>
    <definedName function="false" hidden="true" localSheetId="5" name="_xlnm._FilterDatabase" vbProcedure="false">Calibración!$A$2:$X$152</definedName>
    <definedName function="false" hidden="false" localSheetId="6" name="_xlnm.Print_Titles" vbProcedure="false">Dashboard!$1:$2</definedName>
    <definedName function="false" hidden="false" localSheetId="1" name="_xlnm.Print_Titles" vbProcedure="false">Equipos!$1:$2</definedName>
    <definedName function="false" hidden="true" localSheetId="1" name="_xlnm._FilterDatabase" vbProcedure="false">Equipos!$A$2:$J$202</definedName>
    <definedName function="false" hidden="false" localSheetId="4" name="_xlnm.Print_Titles" vbProcedure="false">Historial!$1:$2</definedName>
    <definedName function="false" hidden="false" localSheetId="0" name="_xlnm.Print_Titles" vbProcedure="false">Instrucciones!$1:$2</definedName>
    <definedName function="false" hidden="false" localSheetId="3" name="_xlnm.Print_Titles" vbProcedure="false">'Plan Maestro'!$1:$2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<sst xmlns="http://schemas.openxmlformats.org/spreadsheetml/2006/main" count="976" uniqueCount="378">
  <si>
    <t xml:space="preserve">PLAN MAESTRO DE MANTENIMIENTO Y CALIBRACIÓN  —  Guía de uso</t>
  </si>
  <si>
    <t xml:space="preserve">Código: COP15-F11
Revisión: 03
Fecha de emisión: 15/07/2026</t>
  </si>
  <si>
    <t xml:space="preserve">1. OBJETIVO</t>
  </si>
  <si>
    <t xml:space="preserve">Establecer la programación, ejecución y registro de las actividades de mantenimiento preventivo y del plan anual de calibración de los equipos e instrumentos de los laboratorios, asegurando su disponibilidad, confiabilidad y trazabilidad metrológica.</t>
  </si>
  <si>
    <t xml:space="preserve">2. ALCANCE</t>
  </si>
  <si>
    <t xml:space="preserve">Aplica a todos los equipos e instrumentos registrados en la hoja EQUIPOS de los laboratorios de Materiales, Emisiones y Calibración.</t>
  </si>
  <si>
    <t xml:space="preserve">3. RESPONSABILIDADES</t>
  </si>
  <si>
    <t xml:space="preserve">El responsable de cada laboratorio mantiene actualizado el registro de equipos, actividades e historial. El área de Calibración da seguimiento a los vencimientos indicados por el semáforo y gestiona los servicios con proveedores externos. Todo equipo con calibración vencida debe identificarse como NO OPERABLE hasta su recalibración.</t>
  </si>
  <si>
    <t xml:space="preserve">4. DESARROLLO</t>
  </si>
  <si>
    <t xml:space="preserve">4.1 EQUIPOS</t>
  </si>
  <si>
    <t xml:space="preserve">Registrar cada equipo una sola vez: ID, nombre, laboratorio al que pertenece (lista desplegable: Materiales / Emisiones / Calibración), marca, modelo, serie y estatus. La columna '¿Requiere calibración?' se calcula automáticamente a partir de la hoja CALIBRACIÓN.</t>
  </si>
  <si>
    <t xml:space="preserve">4.2 ACTIVIDADES</t>
  </si>
  <si>
    <t xml:space="preserve">Definir cada actividad de mantenimiento preventivo: equipo (lista desplegable), descripción, frecuencia y semana de inicio. Con estos datos el Plan Maestro se genera automáticamente.</t>
  </si>
  <si>
    <t xml:space="preserve">4.3 PLAN MAESTRO</t>
  </si>
  <si>
    <t xml:space="preserve">Matriz automática de 52 semanas. No se captura manualmente: modificar únicamente el AÑO (celda amarilla). 'P' indica semana planeada; '✓' aparece al registrar la ejecución en HISTORIAL. Las celdas en rojo indican actividades vencidas.</t>
  </si>
  <si>
    <t xml:space="preserve">4.4 HISTORIAL</t>
  </si>
  <si>
    <t xml:space="preserve">Registro permanente de los mantenimientos ejecutados: fecha, equipo, actividad, ejecutante y horas. Este registro alimenta el Plan Maestro y el Dashboard, y se conserva entre años.</t>
  </si>
  <si>
    <t xml:space="preserve">4.5 CALIBRACIÓN</t>
  </si>
  <si>
    <t xml:space="preserve">Plan anual de calibración por equipo y magnitud. Indica si el instrumento requiere calibración, quién la realiza (proveedor), trazabilidad, última calibración y vencimiento. El semáforo se calcula automáticamente. Al recibir un certificado, actualizar la fecha de última calibración y el número de certificado, y archivar el PDF en las carpetas '0X. Calibraciones' (encriptados) y '02. Calibraciones' (no encriptados).</t>
  </si>
  <si>
    <t xml:space="preserve">4.6 DASHBOARD</t>
  </si>
  <si>
    <t xml:space="preserve">Indicadores automáticos de cumplimiento de mantenimiento y estado de calibraciones. No editar.</t>
  </si>
  <si>
    <t xml:space="preserve">5. CÓDIGO DE COLORES</t>
  </si>
  <si>
    <t xml:space="preserve">Celda amarilla: dato capturado por el usuario</t>
  </si>
  <si>
    <t xml:space="preserve">Celda gris: dato fijo o fórmula automática — no modificar</t>
  </si>
  <si>
    <t xml:space="preserve">Verde: calibración vigente / dentro de periodo</t>
  </si>
  <si>
    <t xml:space="preserve">Naranja: por vencer (60 días o menos) — programar servicio</t>
  </si>
  <si>
    <t xml:space="preserve">Rojo: vencido — identificar el equipo como NO OPERABLE</t>
  </si>
  <si>
    <t xml:space="preserve">P: semana con mantenimiento planeado</t>
  </si>
  <si>
    <t xml:space="preserve">✓: mantenimiento realizado (registrado en Historial)</t>
  </si>
  <si>
    <t xml:space="preserve">REGISTRO DE EQUIPOS</t>
  </si>
  <si>
    <t xml:space="preserve">ID</t>
  </si>
  <si>
    <t xml:space="preserve">Equipo</t>
  </si>
  <si>
    <t xml:space="preserve">Laboratorio</t>
  </si>
  <si>
    <t xml:space="preserve">Marca</t>
  </si>
  <si>
    <t xml:space="preserve">Modelo</t>
  </si>
  <si>
    <t xml:space="preserve">No. Serie</t>
  </si>
  <si>
    <t xml:space="preserve">Estatus</t>
  </si>
  <si>
    <t xml:space="preserve">¿Requiere calibración? (auto)</t>
  </si>
  <si>
    <t xml:space="preserve">Cal. vencidas (auto)</t>
  </si>
  <si>
    <t xml:space="preserve">Notas</t>
  </si>
  <si>
    <t xml:space="preserve">E-001</t>
  </si>
  <si>
    <t xml:space="preserve">HVAC</t>
  </si>
  <si>
    <t xml:space="preserve">Emisiones</t>
  </si>
  <si>
    <t xml:space="preserve">Kimo</t>
  </si>
  <si>
    <t xml:space="preserve">Varios (ver Calibración)</t>
  </si>
  <si>
    <t xml:space="preserve">2F150708994</t>
  </si>
  <si>
    <t xml:space="preserve">Activo</t>
  </si>
  <si>
    <t xml:space="preserve">E-002</t>
  </si>
  <si>
    <t xml:space="preserve">VETS</t>
  </si>
  <si>
    <t xml:space="preserve">Vaisala</t>
  </si>
  <si>
    <t xml:space="preserve">INDIGO520</t>
  </si>
  <si>
    <t xml:space="preserve">Varios</t>
  </si>
  <si>
    <t xml:space="preserve">E-003</t>
  </si>
  <si>
    <t xml:space="preserve">Clean Cham</t>
  </si>
  <si>
    <t xml:space="preserve">Shynyei</t>
  </si>
  <si>
    <t xml:space="preserve">E-004</t>
  </si>
  <si>
    <t xml:space="preserve">CFO</t>
  </si>
  <si>
    <t xml:space="preserve">Horiba</t>
  </si>
  <si>
    <t xml:space="preserve">5102514973</t>
  </si>
  <si>
    <t xml:space="preserve">7005035500</t>
  </si>
  <si>
    <t xml:space="preserve">E-005</t>
  </si>
  <si>
    <t xml:space="preserve">CPC-100</t>
  </si>
  <si>
    <t xml:space="preserve">C100152302</t>
  </si>
  <si>
    <t xml:space="preserve">E-006</t>
  </si>
  <si>
    <t xml:space="preserve">Rack</t>
  </si>
  <si>
    <t xml:space="preserve">Rack con venturi</t>
  </si>
  <si>
    <t xml:space="preserve">69161</t>
  </si>
  <si>
    <t xml:space="preserve">E-007</t>
  </si>
  <si>
    <t xml:space="preserve">Venturi</t>
  </si>
  <si>
    <t xml:space="preserve">cilindro venturi</t>
  </si>
  <si>
    <t xml:space="preserve">69015</t>
  </si>
  <si>
    <t xml:space="preserve">E-008</t>
  </si>
  <si>
    <t xml:space="preserve">GDC</t>
  </si>
  <si>
    <t xml:space="preserve">ONE</t>
  </si>
  <si>
    <t xml:space="preserve">S2001362117000020</t>
  </si>
  <si>
    <t xml:space="preserve">E-009</t>
  </si>
  <si>
    <t xml:space="preserve">Bubbler</t>
  </si>
  <si>
    <t xml:space="preserve">Heated Bubler</t>
  </si>
  <si>
    <t xml:space="preserve">8001005048</t>
  </si>
  <si>
    <t xml:space="preserve">E-010</t>
  </si>
  <si>
    <t xml:space="preserve">RMT1-TS</t>
  </si>
  <si>
    <t xml:space="preserve">S1-8</t>
  </si>
  <si>
    <t xml:space="preserve">E-011</t>
  </si>
  <si>
    <t xml:space="preserve">Manometer 1</t>
  </si>
  <si>
    <t xml:space="preserve">ManoStar</t>
  </si>
  <si>
    <t xml:space="preserve">WO801</t>
  </si>
  <si>
    <t xml:space="preserve">E-012</t>
  </si>
  <si>
    <t xml:space="preserve">Manometer 2</t>
  </si>
  <si>
    <t xml:space="preserve">WO81</t>
  </si>
  <si>
    <t xml:space="preserve">E-013</t>
  </si>
  <si>
    <t xml:space="preserve">Dynamometer</t>
  </si>
  <si>
    <t xml:space="preserve">A&amp;G</t>
  </si>
  <si>
    <t xml:space="preserve">E-014</t>
  </si>
  <si>
    <t xml:space="preserve">FLUKE</t>
  </si>
  <si>
    <t xml:space="preserve">CATÁLOGO DE ACTIVIDADES DE MANTENIMIENTO</t>
  </si>
  <si>
    <t xml:space="preserve">ID Act.</t>
  </si>
  <si>
    <t xml:space="preserve">Actividad</t>
  </si>
  <si>
    <t xml:space="preserve">Frecuencia</t>
  </si>
  <si>
    <t xml:space="preserve">Semana inicio (1-52)</t>
  </si>
  <si>
    <t xml:space="preserve">Responsable</t>
  </si>
  <si>
    <t xml:space="preserve">A-01</t>
  </si>
  <si>
    <t xml:space="preserve">Limpieza (soplado)</t>
  </si>
  <si>
    <t xml:space="preserve">Mensual</t>
  </si>
  <si>
    <t xml:space="preserve">Técnico</t>
  </si>
  <si>
    <t xml:space="preserve">A-02</t>
  </si>
  <si>
    <t xml:space="preserve">Inspección general de filtros</t>
  </si>
  <si>
    <t xml:space="preserve">Trimestral</t>
  </si>
  <si>
    <t xml:space="preserve">A-03</t>
  </si>
  <si>
    <t xml:space="preserve">Reemplazo (componentes)</t>
  </si>
  <si>
    <t xml:space="preserve">Semestral</t>
  </si>
  <si>
    <t xml:space="preserve">General</t>
  </si>
  <si>
    <t xml:space="preserve">PLAN MAESTRO DE MANTENIMIENTO</t>
  </si>
  <si>
    <t xml:space="preserve">Año:</t>
  </si>
  <si>
    <t xml:space="preserve">← única celda editable de esta hoja; la matriz se recalcula sin perder el historial</t>
  </si>
  <si>
    <t xml:space="preserve">Plan/Real</t>
  </si>
  <si>
    <t xml:space="preserve">Plan</t>
  </si>
  <si>
    <t xml:space="preserve">Real</t>
  </si>
  <si>
    <t xml:space="preserve">% Cumpl.</t>
  </si>
  <si>
    <t xml:space="preserve">HISTORIAL DE MANTENIMIENTOS EJECUTADOS</t>
  </si>
  <si>
    <t xml:space="preserve">Fecha</t>
  </si>
  <si>
    <t xml:space="preserve">Realizado por</t>
  </si>
  <si>
    <t xml:space="preserve">Horas</t>
  </si>
  <si>
    <t xml:space="preserve">Comentarios</t>
  </si>
  <si>
    <t xml:space="preserve">Semana (auto)</t>
  </si>
  <si>
    <t xml:space="preserve">Año (auto)</t>
  </si>
  <si>
    <t xml:space="preserve">(EJEMPLO — sustituir por registros reales)</t>
  </si>
  <si>
    <t xml:space="preserve">PLAN ANUAL DE CALIBRACIÓN</t>
  </si>
  <si>
    <t xml:space="preserve">No.</t>
  </si>
  <si>
    <t xml:space="preserve">Laboratorio (auto)</t>
  </si>
  <si>
    <t xml:space="preserve">Descripción / Magnitud calibrada</t>
  </si>
  <si>
    <t xml:space="preserve">ID KMM</t>
  </si>
  <si>
    <t xml:space="preserve">¿Requiere calibración?</t>
  </si>
  <si>
    <t xml:space="preserve">Tipo</t>
  </si>
  <si>
    <t xml:space="preserve">Proveedor (¿quién calibra?)</t>
  </si>
  <si>
    <t xml:space="preserve">Trazabilidad</t>
  </si>
  <si>
    <t xml:space="preserve">Lugar</t>
  </si>
  <si>
    <t xml:space="preserve">Última calibración</t>
  </si>
  <si>
    <t xml:space="preserve">Próxima calibración (auto)</t>
  </si>
  <si>
    <t xml:space="preserve">Estatus (auto)</t>
  </si>
  <si>
    <t xml:space="preserve">No. Certificado</t>
  </si>
  <si>
    <t xml:space="preserve">Rango máximo</t>
  </si>
  <si>
    <t xml:space="preserve">Rango de uso</t>
  </si>
  <si>
    <t xml:space="preserve">Error máx. permitido</t>
  </si>
  <si>
    <t xml:space="preserve">Ubicación física</t>
  </si>
  <si>
    <t xml:space="preserve">Crítico NMX</t>
  </si>
  <si>
    <t xml:space="preserve">Certificado PDF / Comentarios</t>
  </si>
  <si>
    <t xml:space="preserve">C-001</t>
  </si>
  <si>
    <t xml:space="preserve">Thermometer</t>
  </si>
  <si>
    <t xml:space="preserve">TH210-B0SP</t>
  </si>
  <si>
    <t xml:space="preserve">No</t>
  </si>
  <si>
    <t xml:space="preserve">-20…+80°C</t>
  </si>
  <si>
    <t xml:space="preserve">0…+50°C</t>
  </si>
  <si>
    <t xml:space="preserve">± 0.25°C</t>
  </si>
  <si>
    <t xml:space="preserve">Emission Room</t>
  </si>
  <si>
    <t xml:space="preserve">C-002</t>
  </si>
  <si>
    <t xml:space="preserve">Humidity sensor</t>
  </si>
  <si>
    <t xml:space="preserve">0…100%HR</t>
  </si>
  <si>
    <t xml:space="preserve">± 1.5 %RH</t>
  </si>
  <si>
    <t xml:space="preserve">C-003</t>
  </si>
  <si>
    <t xml:space="preserve">TH210B0SP</t>
  </si>
  <si>
    <t xml:space="preserve">TH-0033</t>
  </si>
  <si>
    <t xml:space="preserve">Sí</t>
  </si>
  <si>
    <t xml:space="preserve">Externa</t>
  </si>
  <si>
    <t xml:space="preserve">Anual</t>
  </si>
  <si>
    <t xml:space="preserve">METROLAB</t>
  </si>
  <si>
    <t xml:space="preserve">EMA</t>
  </si>
  <si>
    <t xml:space="preserve">Externo Nacional</t>
  </si>
  <si>
    <t xml:space="preserve">T-2199-2023</t>
  </si>
  <si>
    <t xml:space="preserve">Soaking Room</t>
  </si>
  <si>
    <t xml:space="preserve">C-004</t>
  </si>
  <si>
    <t xml:space="preserve">H-0438-2023</t>
  </si>
  <si>
    <t xml:space="preserve">C-005</t>
  </si>
  <si>
    <t xml:space="preserve">Barometer</t>
  </si>
  <si>
    <t xml:space="preserve">W4831243</t>
  </si>
  <si>
    <t xml:space="preserve">TH-0043-03</t>
  </si>
  <si>
    <t xml:space="preserve">0-20 mA / 0-10 V</t>
  </si>
  <si>
    <t xml:space="preserve">95%</t>
  </si>
  <si>
    <t xml:space="preserve">±0.004 mA /± 0.0002 V</t>
  </si>
  <si>
    <t xml:space="preserve">C-006</t>
  </si>
  <si>
    <t xml:space="preserve">W3850023</t>
  </si>
  <si>
    <t xml:space="preserve">TH-0043-02</t>
  </si>
  <si>
    <t xml:space="preserve">500-1100hPa</t>
  </si>
  <si>
    <t xml:space="preserve">± 0.7hPa</t>
  </si>
  <si>
    <t xml:space="preserve">C-007</t>
  </si>
  <si>
    <t xml:space="preserve">W4754750</t>
  </si>
  <si>
    <t xml:space="preserve">TH-0043-01</t>
  </si>
  <si>
    <t xml:space="preserve">0-100%HR/20°C</t>
  </si>
  <si>
    <t xml:space="preserve">± 0.5 %RH/0.10°C</t>
  </si>
  <si>
    <t xml:space="preserve">C-008</t>
  </si>
  <si>
    <t xml:space="preserve">W4831244</t>
  </si>
  <si>
    <t xml:space="preserve">TH-0044-03</t>
  </si>
  <si>
    <t xml:space="preserve">C-009</t>
  </si>
  <si>
    <t xml:space="preserve">W3850033</t>
  </si>
  <si>
    <t xml:space="preserve">TH-0044-02</t>
  </si>
  <si>
    <t xml:space="preserve">C-010</t>
  </si>
  <si>
    <t xml:space="preserve">W4917201</t>
  </si>
  <si>
    <t xml:space="preserve">TH-0044-01</t>
  </si>
  <si>
    <t xml:space="preserve">C-011</t>
  </si>
  <si>
    <t xml:space="preserve">DewStar S-BS-4C</t>
  </si>
  <si>
    <t xml:space="preserve">TECHMASTER</t>
  </si>
  <si>
    <t xml:space="preserve">ANAB</t>
  </si>
  <si>
    <t xml:space="preserve">En sitio</t>
  </si>
  <si>
    <t xml:space="preserve">C-012</t>
  </si>
  <si>
    <t xml:space="preserve">PTB330</t>
  </si>
  <si>
    <t xml:space="preserve">L2540408</t>
  </si>
  <si>
    <t xml:space="preserve">C-013</t>
  </si>
  <si>
    <t xml:space="preserve">TH-0027 Clean Chamber</t>
  </si>
  <si>
    <t xml:space="preserve">K-150019C</t>
  </si>
  <si>
    <t xml:space="preserve">CALMET</t>
  </si>
  <si>
    <t xml:space="preserve">ILAC - MRA</t>
  </si>
  <si>
    <t xml:space="preserve">C-014</t>
  </si>
  <si>
    <t xml:space="preserve">C-015</t>
  </si>
  <si>
    <t xml:space="preserve">C-016</t>
  </si>
  <si>
    <t xml:space="preserve">Mettler Toledo</t>
  </si>
  <si>
    <t xml:space="preserve">Bascula Digital</t>
  </si>
  <si>
    <t xml:space="preserve">XP2U</t>
  </si>
  <si>
    <t xml:space="preserve">B8601948655</t>
  </si>
  <si>
    <t xml:space="preserve">Interna</t>
  </si>
  <si>
    <t xml:space="preserve">KIA Cal Lab</t>
  </si>
  <si>
    <t xml:space="preserve">OIML</t>
  </si>
  <si>
    <t xml:space="preserve">C-017</t>
  </si>
  <si>
    <t xml:space="preserve">Propane injection</t>
  </si>
  <si>
    <t xml:space="preserve">PR-018</t>
  </si>
  <si>
    <t xml:space="preserve">Bianual</t>
  </si>
  <si>
    <t xml:space="preserve">Horiba USA</t>
  </si>
  <si>
    <t xml:space="preserve">Externo USA</t>
  </si>
  <si>
    <t xml:space="preserve">EN CALIBRACION</t>
  </si>
  <si>
    <t xml:space="preserve">C-018</t>
  </si>
  <si>
    <t xml:space="preserve">Particle counter</t>
  </si>
  <si>
    <t xml:space="preserve">TSI</t>
  </si>
  <si>
    <t xml:space="preserve">C-019</t>
  </si>
  <si>
    <t xml:space="preserve">Subsonic venturi</t>
  </si>
  <si>
    <t xml:space="preserve">NVLAP</t>
  </si>
  <si>
    <t xml:space="preserve">C-020</t>
  </si>
  <si>
    <t xml:space="preserve">C-021</t>
  </si>
  <si>
    <t xml:space="preserve">Gas Divider</t>
  </si>
  <si>
    <t xml:space="preserve">OT-0038</t>
  </si>
  <si>
    <t xml:space="preserve">C-022</t>
  </si>
  <si>
    <t xml:space="preserve">Heater bubbler</t>
  </si>
  <si>
    <t xml:space="preserve">NIST</t>
  </si>
  <si>
    <t xml:space="preserve">C-023</t>
  </si>
  <si>
    <t xml:space="preserve">Thermocouple</t>
  </si>
  <si>
    <t xml:space="preserve">TH-0036</t>
  </si>
  <si>
    <t xml:space="preserve">CIDESI</t>
  </si>
  <si>
    <t xml:space="preserve">20 - 30°C</t>
  </si>
  <si>
    <t xml:space="preserve">20 °C</t>
  </si>
  <si>
    <t xml:space="preserve">0.01</t>
  </si>
  <si>
    <t xml:space="preserve">Emission Room RMT1</t>
  </si>
  <si>
    <t xml:space="preserve">C-024</t>
  </si>
  <si>
    <t xml:space="preserve">RMT1</t>
  </si>
  <si>
    <t xml:space="preserve">PR-0017</t>
  </si>
  <si>
    <t xml:space="preserve">50 - 500 Pa</t>
  </si>
  <si>
    <t xml:space="preserve">70 kPa</t>
  </si>
  <si>
    <t xml:space="preserve">1</t>
  </si>
  <si>
    <t xml:space="preserve">C-025</t>
  </si>
  <si>
    <t xml:space="preserve">CVS Out</t>
  </si>
  <si>
    <t xml:space="preserve">PR-0016</t>
  </si>
  <si>
    <t xml:space="preserve">3 - 30kPa</t>
  </si>
  <si>
    <t xml:space="preserve">30 Kpa</t>
  </si>
  <si>
    <t xml:space="preserve">Emission Room CVS</t>
  </si>
  <si>
    <t xml:space="preserve">C-026</t>
  </si>
  <si>
    <t xml:space="preserve">Cooling Fan</t>
  </si>
  <si>
    <t xml:space="preserve">HS185KR209</t>
  </si>
  <si>
    <t xml:space="preserve">15F-496E13-001BFT</t>
  </si>
  <si>
    <t xml:space="preserve">ILAC * MRA</t>
  </si>
  <si>
    <t xml:space="preserve">C-027</t>
  </si>
  <si>
    <t xml:space="preserve">Death Weight</t>
  </si>
  <si>
    <t xml:space="preserve">CDE4200-002</t>
  </si>
  <si>
    <t xml:space="preserve">Emissions Lab</t>
  </si>
  <si>
    <t xml:space="preserve">T-EMA</t>
  </si>
  <si>
    <t xml:space="preserve">C-028</t>
  </si>
  <si>
    <t xml:space="preserve">Roller diameter</t>
  </si>
  <si>
    <t xml:space="preserve">CDE 4200-002 Front</t>
  </si>
  <si>
    <t xml:space="preserve">OT-0032</t>
  </si>
  <si>
    <t xml:space="preserve">Emission Room Dyno</t>
  </si>
  <si>
    <t xml:space="preserve">C-029</t>
  </si>
  <si>
    <t xml:space="preserve">CDE 4200-002 Rear</t>
  </si>
  <si>
    <t xml:space="preserve">C-030</t>
  </si>
  <si>
    <t xml:space="preserve">Arm</t>
  </si>
  <si>
    <t xml:space="preserve">C-031</t>
  </si>
  <si>
    <t xml:space="preserve">Mass 1</t>
  </si>
  <si>
    <t xml:space="preserve">WE-0016-01</t>
  </si>
  <si>
    <t xml:space="preserve">22.8kg 50 lb</t>
  </si>
  <si>
    <t xml:space="preserve">22.8kg</t>
  </si>
  <si>
    <t xml:space="preserve">+0.01g</t>
  </si>
  <si>
    <t xml:space="preserve">C-032</t>
  </si>
  <si>
    <t xml:space="preserve">Mass 2</t>
  </si>
  <si>
    <t xml:space="preserve">2</t>
  </si>
  <si>
    <t xml:space="preserve">WE-0016-02</t>
  </si>
  <si>
    <t xml:space="preserve">C-033</t>
  </si>
  <si>
    <t xml:space="preserve">Mass 3</t>
  </si>
  <si>
    <t xml:space="preserve">3</t>
  </si>
  <si>
    <t xml:space="preserve">WE-0016-03</t>
  </si>
  <si>
    <t xml:space="preserve">C-034</t>
  </si>
  <si>
    <t xml:space="preserve">Mass 4</t>
  </si>
  <si>
    <t xml:space="preserve">4</t>
  </si>
  <si>
    <t xml:space="preserve">WE-0016-04</t>
  </si>
  <si>
    <t xml:space="preserve">C-035</t>
  </si>
  <si>
    <t xml:space="preserve">Mass 5</t>
  </si>
  <si>
    <t xml:space="preserve">5</t>
  </si>
  <si>
    <t xml:space="preserve">WE-0016-05</t>
  </si>
  <si>
    <t xml:space="preserve">C-036</t>
  </si>
  <si>
    <t xml:space="preserve">Mass 6</t>
  </si>
  <si>
    <t xml:space="preserve">6</t>
  </si>
  <si>
    <t xml:space="preserve">WE-0016-06</t>
  </si>
  <si>
    <t xml:space="preserve">C-037</t>
  </si>
  <si>
    <t xml:space="preserve">Mass 7</t>
  </si>
  <si>
    <t xml:space="preserve">7</t>
  </si>
  <si>
    <t xml:space="preserve">WE-0016-07</t>
  </si>
  <si>
    <t xml:space="preserve">C-038</t>
  </si>
  <si>
    <t xml:space="preserve">Mass 8</t>
  </si>
  <si>
    <t xml:space="preserve">8</t>
  </si>
  <si>
    <t xml:space="preserve">WE-0016-08</t>
  </si>
  <si>
    <t xml:space="preserve">C-039</t>
  </si>
  <si>
    <t xml:space="preserve">Mass 9</t>
  </si>
  <si>
    <t xml:space="preserve">9</t>
  </si>
  <si>
    <t xml:space="preserve">WE-0016-09</t>
  </si>
  <si>
    <t xml:space="preserve">C-040</t>
  </si>
  <si>
    <t xml:space="preserve">Mass 10</t>
  </si>
  <si>
    <t xml:space="preserve">10</t>
  </si>
  <si>
    <t xml:space="preserve">WE-0016-10</t>
  </si>
  <si>
    <t xml:space="preserve">C-041</t>
  </si>
  <si>
    <t xml:space="preserve">D center to load cell</t>
  </si>
  <si>
    <t xml:space="preserve">C-042</t>
  </si>
  <si>
    <t xml:space="preserve">C-043</t>
  </si>
  <si>
    <t xml:space="preserve">Angular speed</t>
  </si>
  <si>
    <t xml:space="preserve">OT-0037</t>
  </si>
  <si>
    <t xml:space="preserve">C-044</t>
  </si>
  <si>
    <t xml:space="preserve">C-045</t>
  </si>
  <si>
    <t xml:space="preserve">Torque</t>
  </si>
  <si>
    <t xml:space="preserve">C-046</t>
  </si>
  <si>
    <t xml:space="preserve">C-047</t>
  </si>
  <si>
    <t xml:space="preserve">52 II</t>
  </si>
  <si>
    <t xml:space="preserve">30850092WS</t>
  </si>
  <si>
    <t xml:space="preserve">TH-0020</t>
  </si>
  <si>
    <t xml:space="preserve">Control Room</t>
  </si>
  <si>
    <t xml:space="preserve">C-048</t>
  </si>
  <si>
    <t xml:space="preserve">GRIPPER</t>
  </si>
  <si>
    <t xml:space="preserve">Pressure gauge</t>
  </si>
  <si>
    <t xml:space="preserve">SA-1U1A1E1J2</t>
  </si>
  <si>
    <t xml:space="preserve">PS 055 497</t>
  </si>
  <si>
    <t xml:space="preserve">PR-0002</t>
  </si>
  <si>
    <t xml:space="preserve">Inspection Room</t>
  </si>
  <si>
    <t xml:space="preserve">C-049</t>
  </si>
  <si>
    <t xml:space="preserve">TRUPER</t>
  </si>
  <si>
    <t xml:space="preserve">METE-500</t>
  </si>
  <si>
    <t xml:space="preserve">DASHBOARD DE CUMPLIMIENTO</t>
  </si>
  <si>
    <t xml:space="preserve">Año analizado:</t>
  </si>
  <si>
    <t xml:space="preserve">MANTENIMIENTO</t>
  </si>
  <si>
    <t xml:space="preserve">CALIBRACIÓN</t>
  </si>
  <si>
    <t xml:space="preserve">Mantenimientos planeados (año):</t>
  </si>
  <si>
    <t xml:space="preserve">Instrumentos que requieren calibración:</t>
  </si>
  <si>
    <t xml:space="preserve">Realizados en semana planeada:</t>
  </si>
  <si>
    <t xml:space="preserve">Vigentes:</t>
  </si>
  <si>
    <t xml:space="preserve">Registros en historial (año):</t>
  </si>
  <si>
    <t xml:space="preserve">Por vencer (≤60 días):</t>
  </si>
  <si>
    <t xml:space="preserve">% Cumplimiento global:</t>
  </si>
  <si>
    <t xml:space="preserve">VENCIDOS:</t>
  </si>
  <si>
    <t xml:space="preserve">Sin registro de calibración:</t>
  </si>
  <si>
    <t xml:space="preserve">% de vigencia:</t>
  </si>
  <si>
    <t xml:space="preserve">CUMPLIMIENTO DE MANTENIMIENTO POR EQUIPO</t>
  </si>
  <si>
    <t xml:space="preserve">Plan anual</t>
  </si>
  <si>
    <t xml:space="preserve">Real (en semana)</t>
  </si>
  <si>
    <t xml:space="preserve">% Cumplimiento</t>
  </si>
  <si>
    <t xml:space="preserve">Frecuencia_MTTO</t>
  </si>
  <si>
    <t xml:space="preserve">Semanas</t>
  </si>
  <si>
    <t xml:space="preserve">Estatus_Equipo</t>
  </si>
  <si>
    <t xml:space="preserve">Frecuencia_CAL</t>
  </si>
  <si>
    <t xml:space="preserve">Días</t>
  </si>
  <si>
    <t xml:space="preserve">SiNo</t>
  </si>
  <si>
    <t xml:space="preserve">Tipo_CAL</t>
  </si>
  <si>
    <t xml:space="preserve">Semanal</t>
  </si>
  <si>
    <t xml:space="preserve">Materiales</t>
  </si>
  <si>
    <t xml:space="preserve">Quincenal</t>
  </si>
  <si>
    <t xml:space="preserve">Inactivo</t>
  </si>
  <si>
    <t xml:space="preserve">Fuera de servicio</t>
  </si>
  <si>
    <t xml:space="preserve">Calibración</t>
  </si>
  <si>
    <t xml:space="preserve">Bimestral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</si>
</sst>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%"/>
    <numFmt numFmtId="168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8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8"/>
      <name val="Calibri"/>
      <family val="0"/>
      <charset val="1"/>
    </font>
    <font>
      <b val="true"/>
      <sz val="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0504D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DD7EE"/>
      </patternFill>
    </fill>
    <fill>
      <patternFill patternType="solid">
        <fgColor rgb="FF92D050"/>
        <bgColor rgb="FFA6A6A6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E6B9B8"/>
        <bgColor rgb="FFFFC7CE"/>
      </patternFill>
    </fill>
    <fill>
      <patternFill patternType="solid">
        <fgColor rgb="FFBFBFBF"/>
        <bgColor rgb="FFE6B9B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E6B9B8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ont>
        <name val="Calibri"/>
        <charset val="1"/>
        <family val="0"/>
        <b val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FFE2B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C0504D"/>
      <rgbColor rgb="FFF9F9F9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2B8"/>
      <rgbColor rgb="FF99CCFF"/>
      <rgbColor rgb="FFE6B9B8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 vs Real de mantenimiento por equipo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Dashboard!B14</c:f>
              <c:strCache>
                <c:ptCount val="1"/>
                <c:pt idx="0">
                  <c:v>Plan anual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Dashboard!$A$15:$A$30</c:f>
              <c:strCache>
                <c:ptCount val="16"/>
                <c:pt idx="0">
                  <c:v>HVAC</c:v>
                </c:pt>
                <c:pt idx="1">
                  <c:v>VETS</c:v>
                </c:pt>
                <c:pt idx="2">
                  <c:v>Clean Cham</c:v>
                </c:pt>
                <c:pt idx="3">
                  <c:v>CFO</c:v>
                </c:pt>
                <c:pt idx="4">
                  <c:v>CPC-100</c:v>
                </c:pt>
                <c:pt idx="5">
                  <c:v>Rack</c:v>
                </c:pt>
                <c:pt idx="6">
                  <c:v>Venturi</c:v>
                </c:pt>
                <c:pt idx="7">
                  <c:v>GDC</c:v>
                </c:pt>
                <c:pt idx="8">
                  <c:v>Bubbler</c:v>
                </c:pt>
                <c:pt idx="9">
                  <c:v>RMT1-TS</c:v>
                </c:pt>
                <c:pt idx="10">
                  <c:v>Manometer 1</c:v>
                </c:pt>
                <c:pt idx="11">
                  <c:v>Manometer 2</c:v>
                </c:pt>
                <c:pt idx="12">
                  <c:v>Dynamometer</c:v>
                </c:pt>
                <c:pt idx="13">
                  <c:v>Laboratorio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Dashboard!$B$15:$B$30</c:f>
              <c:numCache>
                <c:formatCode>General</c:formatCode>
                <c:ptCount val="16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Dashboard!C14</c:f>
              <c:strCache>
                <c:ptCount val="1"/>
                <c:pt idx="0">
                  <c:v>Real (en semana)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Dashboard!$A$15:$A$30</c:f>
              <c:strCache>
                <c:ptCount val="16"/>
                <c:pt idx="0">
                  <c:v>HVAC</c:v>
                </c:pt>
                <c:pt idx="1">
                  <c:v>VETS</c:v>
                </c:pt>
                <c:pt idx="2">
                  <c:v>Clean Cham</c:v>
                </c:pt>
                <c:pt idx="3">
                  <c:v>CFO</c:v>
                </c:pt>
                <c:pt idx="4">
                  <c:v>CPC-100</c:v>
                </c:pt>
                <c:pt idx="5">
                  <c:v>Rack</c:v>
                </c:pt>
                <c:pt idx="6">
                  <c:v>Venturi</c:v>
                </c:pt>
                <c:pt idx="7">
                  <c:v>GDC</c:v>
                </c:pt>
                <c:pt idx="8">
                  <c:v>Bubbler</c:v>
                </c:pt>
                <c:pt idx="9">
                  <c:v>RMT1-TS</c:v>
                </c:pt>
                <c:pt idx="10">
                  <c:v>Manometer 1</c:v>
                </c:pt>
                <c:pt idx="11">
                  <c:v>Manometer 2</c:v>
                </c:pt>
                <c:pt idx="12">
                  <c:v>Dynamometer</c:v>
                </c:pt>
                <c:pt idx="13">
                  <c:v>Laboratorio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Dashboard!$C$15:$C$30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49608074"/>
        <c:axId val="19877725"/>
      </c:barChart>
      <c:catAx>
        <c:axId val="496080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77725"/>
        <c:crosses val="autoZero"/>
        <c:auto val="1"/>
        <c:lblAlgn val="ctr"/>
        <c:lblOffset val="100"/>
        <c:noMultiLvlLbl val="0"/>
      </c:catAx>
      <c:valAx>
        <c:axId val="19877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Mantenimientos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080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Estado de calibraciones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2d05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bfbf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Dashboard!$D$7:$D$10</c:f>
              <c:strCache>
                <c:ptCount val="4"/>
                <c:pt idx="0">
                  <c:v>Vigentes:</c:v>
                </c:pt>
                <c:pt idx="1">
                  <c:v>Por vencer (≤60 días):</c:v>
                </c:pt>
                <c:pt idx="2">
                  <c:v>VENCIDOS:</c:v>
                </c:pt>
                <c:pt idx="3">
                  <c:v>Sin registro de calibración:</c:v>
                </c:pt>
              </c:strCache>
            </c:strRef>
          </c:cat>
          <c:val>
            <c:numRef>
              <c:f>Dashboard!$E$7:$E$10</c:f>
              <c:numCache>
                <c:formatCode>General</c:formatCode>
                <c:ptCount val="4"/>
                <c:pt idx="0">
                  <c:v>25</c:v>
                </c:pt>
                <c:pt idx="1">
                  <c:v>0</c:v>
                </c:pt>
                <c:pt idx="2">
                  <c:v>16</c:v>
                </c:pt>
                <c:pt idx="3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102240</xdr:colOff>
      <xdr:row>0</xdr:row>
      <xdr:rowOff>399600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1388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79560</xdr:colOff>
      <xdr:row>0</xdr:row>
      <xdr:rowOff>399600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71388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79560</xdr:colOff>
      <xdr:row>0</xdr:row>
      <xdr:rowOff>399600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71388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713880</xdr:colOff>
      <xdr:row>0</xdr:row>
      <xdr:rowOff>399600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71388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713880</xdr:colOff>
      <xdr:row>0</xdr:row>
      <xdr:rowOff>399600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71388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290880</xdr:colOff>
      <xdr:row>0</xdr:row>
      <xdr:rowOff>399600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71388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</xdr:row>
      <xdr:rowOff>0</xdr:rowOff>
    </xdr:from>
    <xdr:to>
      <xdr:col>17</xdr:col>
      <xdr:colOff>221760</xdr:colOff>
      <xdr:row>31</xdr:row>
      <xdr:rowOff>170640</xdr:rowOff>
    </xdr:to>
    <xdr:graphicFrame>
      <xdr:nvGraphicFramePr>
        <xdr:cNvPr id="6" name="Chart 1"/>
        <xdr:cNvGraphicFramePr/>
      </xdr:nvGraphicFramePr>
      <xdr:xfrm>
        <a:off x="6837120" y="2838600"/>
        <a:ext cx="75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</xdr:row>
      <xdr:rowOff>0</xdr:rowOff>
    </xdr:from>
    <xdr:to>
      <xdr:col>11</xdr:col>
      <xdr:colOff>181800</xdr:colOff>
      <xdr:row>11</xdr:row>
      <xdr:rowOff>131760</xdr:rowOff>
    </xdr:to>
    <xdr:graphicFrame>
      <xdr:nvGraphicFramePr>
        <xdr:cNvPr id="7" name="Chart 2"/>
        <xdr:cNvGraphicFramePr/>
      </xdr:nvGraphicFramePr>
      <xdr:xfrm>
        <a:off x="7448400" y="933480"/>
        <a:ext cx="3239640" cy="165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713880</xdr:colOff>
      <xdr:row>0</xdr:row>
      <xdr:rowOff>399600</xdr:rowOff>
    </xdr:to>
    <xdr:pic>
      <xdr:nvPicPr>
        <xdr:cNvPr id="8" name="Image 3" descr="Picture"/>
        <xdr:cNvPicPr/>
      </xdr:nvPicPr>
      <xdr:blipFill>
        <a:blip r:embed="rId3"/>
        <a:stretch/>
      </xdr:blipFill>
      <xdr:spPr>
        <a:xfrm>
          <a:off x="0" y="0"/>
          <a:ext cx="71388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9" min="3" style="0" width="15"/>
  </cols>
  <sheetData>
    <row r="1" customFormat="false" ht="43.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3"/>
    </row>
    <row r="3" customFormat="false" ht="42" hidden="false" customHeight="true" outlineLevel="0" collapsed="false">
      <c r="B3" s="4" t="s">
        <v>2</v>
      </c>
      <c r="C3" s="5" t="s">
        <v>3</v>
      </c>
      <c r="D3" s="5"/>
      <c r="E3" s="5"/>
      <c r="F3" s="5"/>
      <c r="G3" s="5"/>
      <c r="H3" s="5"/>
      <c r="I3" s="5"/>
    </row>
    <row r="4" customFormat="false" ht="30" hidden="false" customHeight="true" outlineLevel="0" collapsed="false">
      <c r="B4" s="4" t="s">
        <v>4</v>
      </c>
      <c r="C4" s="5" t="s">
        <v>5</v>
      </c>
      <c r="D4" s="5"/>
      <c r="E4" s="5"/>
      <c r="F4" s="5"/>
      <c r="G4" s="5"/>
      <c r="H4" s="5"/>
      <c r="I4" s="5"/>
    </row>
    <row r="5" customFormat="false" ht="55.5" hidden="false" customHeight="true" outlineLevel="0" collapsed="false">
      <c r="B5" s="4" t="s">
        <v>6</v>
      </c>
      <c r="C5" s="5" t="s">
        <v>7</v>
      </c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B6" s="4" t="s">
        <v>8</v>
      </c>
    </row>
    <row r="7" customFormat="false" ht="42" hidden="false" customHeight="true" outlineLevel="0" collapsed="false">
      <c r="B7" s="4" t="s">
        <v>9</v>
      </c>
      <c r="C7" s="5" t="s">
        <v>10</v>
      </c>
      <c r="D7" s="5"/>
      <c r="E7" s="5"/>
      <c r="F7" s="5"/>
      <c r="G7" s="5"/>
      <c r="H7" s="5"/>
      <c r="I7" s="5"/>
    </row>
    <row r="8" customFormat="false" ht="30" hidden="false" customHeight="true" outlineLevel="0" collapsed="false">
      <c r="B8" s="4" t="s">
        <v>11</v>
      </c>
      <c r="C8" s="5" t="s">
        <v>12</v>
      </c>
      <c r="D8" s="5"/>
      <c r="E8" s="5"/>
      <c r="F8" s="5"/>
      <c r="G8" s="5"/>
      <c r="H8" s="5"/>
      <c r="I8" s="5"/>
    </row>
    <row r="9" customFormat="false" ht="42" hidden="false" customHeight="true" outlineLevel="0" collapsed="false">
      <c r="B9" s="4" t="s">
        <v>13</v>
      </c>
      <c r="C9" s="5" t="s">
        <v>14</v>
      </c>
      <c r="D9" s="5"/>
      <c r="E9" s="5"/>
      <c r="F9" s="5"/>
      <c r="G9" s="5"/>
      <c r="H9" s="5"/>
      <c r="I9" s="5"/>
    </row>
    <row r="10" customFormat="false" ht="30" hidden="false" customHeight="true" outlineLevel="0" collapsed="false">
      <c r="B10" s="4" t="s">
        <v>15</v>
      </c>
      <c r="C10" s="5" t="s">
        <v>16</v>
      </c>
      <c r="D10" s="5"/>
      <c r="E10" s="5"/>
      <c r="F10" s="5"/>
      <c r="G10" s="5"/>
      <c r="H10" s="5"/>
      <c r="I10" s="5"/>
    </row>
    <row r="11" customFormat="false" ht="69.75" hidden="false" customHeight="true" outlineLevel="0" collapsed="false">
      <c r="B11" s="4" t="s">
        <v>17</v>
      </c>
      <c r="C11" s="5" t="s">
        <v>18</v>
      </c>
      <c r="D11" s="5"/>
      <c r="E11" s="5"/>
      <c r="F11" s="5"/>
      <c r="G11" s="5"/>
      <c r="H11" s="5"/>
      <c r="I11" s="5"/>
    </row>
    <row r="12" customFormat="false" ht="30" hidden="false" customHeight="true" outlineLevel="0" collapsed="false">
      <c r="B12" s="4" t="s">
        <v>19</v>
      </c>
      <c r="C12" s="5" t="s">
        <v>20</v>
      </c>
      <c r="D12" s="5"/>
      <c r="E12" s="5"/>
      <c r="F12" s="5"/>
      <c r="G12" s="5"/>
      <c r="H12" s="5"/>
      <c r="I12" s="5"/>
    </row>
    <row r="14" customFormat="false" ht="15" hidden="false" customHeight="false" outlineLevel="0" collapsed="false">
      <c r="B14" s="4" t="s">
        <v>21</v>
      </c>
    </row>
    <row r="15" customFormat="false" ht="15" hidden="false" customHeight="false" outlineLevel="0" collapsed="false">
      <c r="B15" s="6"/>
      <c r="C15" s="7" t="s">
        <v>22</v>
      </c>
      <c r="D15" s="7"/>
      <c r="E15" s="7"/>
      <c r="F15" s="7"/>
      <c r="G15" s="7"/>
      <c r="H15" s="7"/>
      <c r="I15" s="7"/>
    </row>
    <row r="16" customFormat="false" ht="15" hidden="false" customHeight="false" outlineLevel="0" collapsed="false">
      <c r="B16" s="8"/>
      <c r="C16" s="7" t="s">
        <v>23</v>
      </c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B17" s="9"/>
      <c r="C17" s="7" t="s">
        <v>24</v>
      </c>
      <c r="D17" s="7"/>
      <c r="E17" s="7"/>
      <c r="F17" s="7"/>
      <c r="G17" s="7"/>
      <c r="H17" s="7"/>
      <c r="I17" s="7"/>
    </row>
    <row r="18" customFormat="false" ht="15" hidden="false" customHeight="false" outlineLevel="0" collapsed="false">
      <c r="B18" s="10"/>
      <c r="C18" s="7" t="s">
        <v>25</v>
      </c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B19" s="11"/>
      <c r="C19" s="7" t="s">
        <v>26</v>
      </c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B20" s="12"/>
      <c r="C20" s="7" t="s">
        <v>27</v>
      </c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B21" s="13"/>
      <c r="C21" s="7" t="s">
        <v>28</v>
      </c>
      <c r="D21" s="7"/>
      <c r="E21" s="7"/>
      <c r="F21" s="7"/>
      <c r="G21" s="7"/>
      <c r="H21" s="7"/>
      <c r="I21" s="7"/>
    </row>
  </sheetData>
  <sheetProtection sheet="true" formatCells="false" formatColumns="false" formatRows="false" insertRows="false" sort="false" autoFilter="false"/>
  <mergeCells count="18">
    <mergeCell ref="B1:F1"/>
    <mergeCell ref="G1:I1"/>
    <mergeCell ref="C3:I3"/>
    <mergeCell ref="C4:I4"/>
    <mergeCell ref="C5:I5"/>
    <mergeCell ref="C7:I7"/>
    <mergeCell ref="C8:I8"/>
    <mergeCell ref="C9:I9"/>
    <mergeCell ref="C10:I10"/>
    <mergeCell ref="C11:I11"/>
    <mergeCell ref="C12:I12"/>
    <mergeCell ref="C15:I15"/>
    <mergeCell ref="C16:I16"/>
    <mergeCell ref="C17:I17"/>
    <mergeCell ref="C18:I18"/>
    <mergeCell ref="C19:I19"/>
    <mergeCell ref="C20:I20"/>
    <mergeCell ref="C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43.5" hidden="false" customHeight="true" outlineLevel="0" collapsed="false">
      <c r="A1" s="1"/>
      <c r="B1" s="2" t="s">
        <v>29</v>
      </c>
      <c r="C1" s="2"/>
      <c r="D1" s="2"/>
      <c r="E1" s="2"/>
      <c r="F1" s="2"/>
      <c r="G1" s="2"/>
      <c r="H1" s="3" t="s">
        <v>1</v>
      </c>
      <c r="I1" s="3"/>
      <c r="J1" s="3"/>
    </row>
    <row r="2" customFormat="false" ht="27.75" hidden="false" customHeight="true" outlineLevel="0" collapsed="false">
      <c r="A2" s="14" t="s">
        <v>30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</row>
    <row r="3" customFormat="false" ht="15" hidden="false" customHeight="false" outlineLevel="0" collapsed="false">
      <c r="A3" s="15" t="s">
        <v>40</v>
      </c>
      <c r="B3" s="15" t="s">
        <v>41</v>
      </c>
      <c r="C3" s="15" t="s">
        <v>42</v>
      </c>
      <c r="D3" s="15" t="s">
        <v>43</v>
      </c>
      <c r="E3" s="15" t="s">
        <v>44</v>
      </c>
      <c r="F3" s="15" t="s">
        <v>45</v>
      </c>
      <c r="G3" s="15" t="s">
        <v>46</v>
      </c>
      <c r="H3" s="16" t="str">
        <f aca="false">IF($B3="","",IF(COUNTIFS(Calibración!$B$3:$B$152,$B3,Calibración!$I$3:$I$152,"Sí")&gt;0,"Sí","No"))</f>
        <v>Sí</v>
      </c>
      <c r="I3" s="17" t="n">
        <f aca="false">IF($B3="","",COUNTIFS(Calibración!$B$3:$B$152,$B3,Calibración!$Q$3:$Q$152,"VENCIDO"))</f>
        <v>2</v>
      </c>
      <c r="J3" s="15"/>
    </row>
    <row r="4" customFormat="false" ht="15" hidden="false" customHeight="false" outlineLevel="0" collapsed="false">
      <c r="A4" s="15" t="s">
        <v>47</v>
      </c>
      <c r="B4" s="15" t="s">
        <v>48</v>
      </c>
      <c r="C4" s="15" t="s">
        <v>42</v>
      </c>
      <c r="D4" s="15" t="s">
        <v>49</v>
      </c>
      <c r="E4" s="15" t="s">
        <v>50</v>
      </c>
      <c r="F4" s="15" t="s">
        <v>51</v>
      </c>
      <c r="G4" s="15" t="s">
        <v>46</v>
      </c>
      <c r="H4" s="16" t="str">
        <f aca="false">IF($B4="","",IF(COUNTIFS(Calibración!$B$3:$B$152,$B4,Calibración!$I$3:$I$152,"Sí")&gt;0,"Sí","No"))</f>
        <v>Sí</v>
      </c>
      <c r="I4" s="17" t="n">
        <f aca="false">IF($B4="","",COUNTIFS(Calibración!$B$3:$B$152,$B4,Calibración!$Q$3:$Q$152,"VENCIDO"))</f>
        <v>6</v>
      </c>
      <c r="J4" s="15"/>
    </row>
    <row r="5" customFormat="false" ht="15" hidden="false" customHeight="false" outlineLevel="0" collapsed="false">
      <c r="A5" s="15" t="s">
        <v>52</v>
      </c>
      <c r="B5" s="15" t="s">
        <v>53</v>
      </c>
      <c r="C5" s="15" t="s">
        <v>42</v>
      </c>
      <c r="D5" s="15" t="s">
        <v>54</v>
      </c>
      <c r="E5" s="15" t="s">
        <v>44</v>
      </c>
      <c r="F5" s="15" t="s">
        <v>51</v>
      </c>
      <c r="G5" s="15" t="s">
        <v>46</v>
      </c>
      <c r="H5" s="16" t="str">
        <f aca="false">IF($B5="","",IF(COUNTIFS(Calibración!$B$3:$B$152,$B5,Calibración!$I$3:$I$152,"Sí")&gt;0,"Sí","No"))</f>
        <v>Sí</v>
      </c>
      <c r="I5" s="17" t="n">
        <f aca="false">IF($B5="","",COUNTIFS(Calibración!$B$3:$B$152,$B5,Calibración!$Q$3:$Q$152,"VENCIDO"))</f>
        <v>3</v>
      </c>
      <c r="J5" s="15"/>
    </row>
    <row r="6" customFormat="false" ht="15" hidden="false" customHeight="false" outlineLevel="0" collapsed="false">
      <c r="A6" s="15" t="s">
        <v>55</v>
      </c>
      <c r="B6" s="15" t="s">
        <v>56</v>
      </c>
      <c r="C6" s="15" t="s">
        <v>42</v>
      </c>
      <c r="D6" s="15" t="s">
        <v>57</v>
      </c>
      <c r="E6" s="15" t="s">
        <v>58</v>
      </c>
      <c r="F6" s="15" t="s">
        <v>59</v>
      </c>
      <c r="G6" s="15" t="s">
        <v>46</v>
      </c>
      <c r="H6" s="16" t="str">
        <f aca="false">IF($B6="","",IF(COUNTIFS(Calibración!$B$3:$B$152,$B6,Calibración!$I$3:$I$152,"Sí")&gt;0,"Sí","No"))</f>
        <v>Sí</v>
      </c>
      <c r="I6" s="17" t="n">
        <f aca="false">IF($B6="","",COUNTIFS(Calibración!$B$3:$B$152,$B6,Calibración!$Q$3:$Q$152,"VENCIDO"))</f>
        <v>1</v>
      </c>
      <c r="J6" s="15"/>
    </row>
    <row r="7" customFormat="false" ht="15" hidden="false" customHeight="false" outlineLevel="0" collapsed="false">
      <c r="A7" s="15" t="s">
        <v>60</v>
      </c>
      <c r="B7" s="15" t="s">
        <v>61</v>
      </c>
      <c r="C7" s="15" t="s">
        <v>42</v>
      </c>
      <c r="D7" s="15" t="s">
        <v>57</v>
      </c>
      <c r="E7" s="15" t="s">
        <v>61</v>
      </c>
      <c r="F7" s="15" t="s">
        <v>62</v>
      </c>
      <c r="G7" s="15" t="s">
        <v>46</v>
      </c>
      <c r="H7" s="16" t="str">
        <f aca="false">IF($B7="","",IF(COUNTIFS(Calibración!$B$3:$B$152,$B7,Calibración!$I$3:$I$152,"Sí")&gt;0,"Sí","No"))</f>
        <v>Sí</v>
      </c>
      <c r="I7" s="17" t="n">
        <f aca="false">IF($B7="","",COUNTIFS(Calibración!$B$3:$B$152,$B7,Calibración!$Q$3:$Q$152,"VENCIDO"))</f>
        <v>0</v>
      </c>
      <c r="J7" s="15"/>
    </row>
    <row r="8" customFormat="false" ht="15" hidden="false" customHeight="false" outlineLevel="0" collapsed="false">
      <c r="A8" s="15" t="s">
        <v>63</v>
      </c>
      <c r="B8" s="15" t="s">
        <v>64</v>
      </c>
      <c r="C8" s="15" t="s">
        <v>42</v>
      </c>
      <c r="D8" s="15" t="s">
        <v>57</v>
      </c>
      <c r="E8" s="15" t="s">
        <v>65</v>
      </c>
      <c r="F8" s="15" t="s">
        <v>66</v>
      </c>
      <c r="G8" s="15" t="s">
        <v>46</v>
      </c>
      <c r="H8" s="16" t="str">
        <f aca="false">IF($B8="","",IF(COUNTIFS(Calibración!$B$3:$B$152,$B8,Calibración!$I$3:$I$152,"Sí")&gt;0,"Sí","No"))</f>
        <v>Sí</v>
      </c>
      <c r="I8" s="17" t="n">
        <f aca="false">IF($B8="","",COUNTIFS(Calibración!$B$3:$B$152,$B8,Calibración!$Q$3:$Q$152,"VENCIDO"))</f>
        <v>1</v>
      </c>
      <c r="J8" s="15"/>
    </row>
    <row r="9" customFormat="false" ht="15" hidden="false" customHeight="false" outlineLevel="0" collapsed="false">
      <c r="A9" s="15" t="s">
        <v>67</v>
      </c>
      <c r="B9" s="15" t="s">
        <v>68</v>
      </c>
      <c r="C9" s="15" t="s">
        <v>42</v>
      </c>
      <c r="D9" s="15" t="s">
        <v>57</v>
      </c>
      <c r="E9" s="15" t="s">
        <v>69</v>
      </c>
      <c r="F9" s="15" t="s">
        <v>70</v>
      </c>
      <c r="G9" s="15" t="s">
        <v>46</v>
      </c>
      <c r="H9" s="16" t="str">
        <f aca="false">IF($B9="","",IF(COUNTIFS(Calibración!$B$3:$B$152,$B9,Calibración!$I$3:$I$152,"Sí")&gt;0,"Sí","No"))</f>
        <v>Sí</v>
      </c>
      <c r="I9" s="17" t="n">
        <f aca="false">IF($B9="","",COUNTIFS(Calibración!$B$3:$B$152,$B9,Calibración!$Q$3:$Q$152,"VENCIDO"))</f>
        <v>1</v>
      </c>
      <c r="J9" s="15"/>
    </row>
    <row r="10" customFormat="false" ht="15" hidden="false" customHeight="false" outlineLevel="0" collapsed="false">
      <c r="A10" s="15" t="s">
        <v>71</v>
      </c>
      <c r="B10" s="15" t="s">
        <v>72</v>
      </c>
      <c r="C10" s="15" t="s">
        <v>42</v>
      </c>
      <c r="D10" s="15" t="s">
        <v>57</v>
      </c>
      <c r="E10" s="15" t="s">
        <v>73</v>
      </c>
      <c r="F10" s="15" t="s">
        <v>74</v>
      </c>
      <c r="G10" s="15" t="s">
        <v>46</v>
      </c>
      <c r="H10" s="16" t="str">
        <f aca="false">IF($B10="","",IF(COUNTIFS(Calibración!$B$3:$B$152,$B10,Calibración!$I$3:$I$152,"Sí")&gt;0,"Sí","No"))</f>
        <v>Sí</v>
      </c>
      <c r="I10" s="17" t="n">
        <f aca="false">IF($B10="","",COUNTIFS(Calibración!$B$3:$B$152,$B10,Calibración!$Q$3:$Q$152,"VENCIDO"))</f>
        <v>0</v>
      </c>
      <c r="J10" s="15"/>
    </row>
    <row r="11" customFormat="false" ht="15" hidden="false" customHeight="false" outlineLevel="0" collapsed="false">
      <c r="A11" s="15" t="s">
        <v>75</v>
      </c>
      <c r="B11" s="15" t="s">
        <v>76</v>
      </c>
      <c r="C11" s="15" t="s">
        <v>42</v>
      </c>
      <c r="D11" s="15" t="s">
        <v>57</v>
      </c>
      <c r="E11" s="15" t="s">
        <v>77</v>
      </c>
      <c r="F11" s="15" t="s">
        <v>78</v>
      </c>
      <c r="G11" s="15" t="s">
        <v>46</v>
      </c>
      <c r="H11" s="16" t="str">
        <f aca="false">IF($B11="","",IF(COUNTIFS(Calibración!$B$3:$B$152,$B11,Calibración!$I$3:$I$152,"Sí")&gt;0,"Sí","No"))</f>
        <v>Sí</v>
      </c>
      <c r="I11" s="17" t="n">
        <f aca="false">IF($B11="","",COUNTIFS(Calibración!$B$3:$B$152,$B11,Calibración!$Q$3:$Q$152,"VENCIDO"))</f>
        <v>1</v>
      </c>
      <c r="J11" s="15"/>
    </row>
    <row r="12" customFormat="false" ht="15" hidden="false" customHeight="false" outlineLevel="0" collapsed="false">
      <c r="A12" s="15" t="s">
        <v>79</v>
      </c>
      <c r="B12" s="15" t="s">
        <v>80</v>
      </c>
      <c r="C12" s="15" t="s">
        <v>42</v>
      </c>
      <c r="D12" s="15"/>
      <c r="E12" s="15" t="s">
        <v>81</v>
      </c>
      <c r="F12" s="15"/>
      <c r="G12" s="15" t="s">
        <v>46</v>
      </c>
      <c r="H12" s="16" t="str">
        <f aca="false">IF($B12="","",IF(COUNTIFS(Calibración!$B$3:$B$152,$B12,Calibración!$I$3:$I$152,"Sí")&gt;0,"Sí","No"))</f>
        <v>Sí</v>
      </c>
      <c r="I12" s="17" t="n">
        <f aca="false">IF($B12="","",COUNTIFS(Calibración!$B$3:$B$152,$B12,Calibración!$Q$3:$Q$152,"VENCIDO"))</f>
        <v>0</v>
      </c>
      <c r="J12" s="15"/>
    </row>
    <row r="13" customFormat="false" ht="15" hidden="false" customHeight="false" outlineLevel="0" collapsed="false">
      <c r="A13" s="15" t="s">
        <v>82</v>
      </c>
      <c r="B13" s="15" t="s">
        <v>83</v>
      </c>
      <c r="C13" s="15" t="s">
        <v>42</v>
      </c>
      <c r="D13" s="15" t="s">
        <v>84</v>
      </c>
      <c r="E13" s="15" t="s">
        <v>85</v>
      </c>
      <c r="F13" s="15"/>
      <c r="G13" s="15" t="s">
        <v>46</v>
      </c>
      <c r="H13" s="16" t="str">
        <f aca="false">IF($B13="","",IF(COUNTIFS(Calibración!$B$3:$B$152,$B13,Calibración!$I$3:$I$152,"Sí")&gt;0,"Sí","No"))</f>
        <v>Sí</v>
      </c>
      <c r="I13" s="17" t="n">
        <f aca="false">IF($B13="","",COUNTIFS(Calibración!$B$3:$B$152,$B13,Calibración!$Q$3:$Q$152,"VENCIDO"))</f>
        <v>0</v>
      </c>
      <c r="J13" s="15"/>
    </row>
    <row r="14" customFormat="false" ht="15" hidden="false" customHeight="false" outlineLevel="0" collapsed="false">
      <c r="A14" s="15" t="s">
        <v>86</v>
      </c>
      <c r="B14" s="15" t="s">
        <v>87</v>
      </c>
      <c r="C14" s="15" t="s">
        <v>42</v>
      </c>
      <c r="D14" s="15" t="s">
        <v>84</v>
      </c>
      <c r="E14" s="15" t="s">
        <v>88</v>
      </c>
      <c r="F14" s="15"/>
      <c r="G14" s="15" t="s">
        <v>46</v>
      </c>
      <c r="H14" s="16" t="str">
        <f aca="false">IF($B14="","",IF(COUNTIFS(Calibración!$B$3:$B$152,$B14,Calibración!$I$3:$I$152,"Sí")&gt;0,"Sí","No"))</f>
        <v>Sí</v>
      </c>
      <c r="I14" s="17" t="n">
        <f aca="false">IF($B14="","",COUNTIFS(Calibración!$B$3:$B$152,$B14,Calibración!$Q$3:$Q$152,"VENCIDO"))</f>
        <v>0</v>
      </c>
      <c r="J14" s="15"/>
    </row>
    <row r="15" customFormat="false" ht="15" hidden="false" customHeight="false" outlineLevel="0" collapsed="false">
      <c r="A15" s="15" t="s">
        <v>89</v>
      </c>
      <c r="B15" s="15" t="s">
        <v>90</v>
      </c>
      <c r="C15" s="15" t="s">
        <v>42</v>
      </c>
      <c r="D15" s="15" t="s">
        <v>91</v>
      </c>
      <c r="E15" s="15" t="s">
        <v>44</v>
      </c>
      <c r="F15" s="15" t="s">
        <v>51</v>
      </c>
      <c r="G15" s="15" t="s">
        <v>46</v>
      </c>
      <c r="H15" s="16" t="str">
        <f aca="false">IF($B15="","",IF(COUNTIFS(Calibración!$B$3:$B$152,$B15,Calibración!$I$3:$I$152,"Sí")&gt;0,"Sí","No"))</f>
        <v>Sí</v>
      </c>
      <c r="I15" s="17" t="n">
        <f aca="false">IF($B15="","",COUNTIFS(Calibración!$B$3:$B$152,$B15,Calibración!$Q$3:$Q$152,"VENCIDO"))</f>
        <v>1</v>
      </c>
      <c r="J15" s="15"/>
    </row>
    <row r="16" customFormat="false" ht="15" hidden="false" customHeight="false" outlineLevel="0" collapsed="false">
      <c r="A16" s="15" t="s">
        <v>92</v>
      </c>
      <c r="B16" s="15" t="s">
        <v>32</v>
      </c>
      <c r="C16" s="15" t="s">
        <v>42</v>
      </c>
      <c r="D16" s="15" t="s">
        <v>93</v>
      </c>
      <c r="E16" s="15" t="s">
        <v>44</v>
      </c>
      <c r="F16" s="15" t="s">
        <v>51</v>
      </c>
      <c r="G16" s="15" t="s">
        <v>46</v>
      </c>
      <c r="H16" s="16" t="str">
        <f aca="false">IF($B16="","",IF(COUNTIFS(Calibración!$B$3:$B$152,$B16,Calibración!$I$3:$I$152,"Sí")&gt;0,"Sí","No"))</f>
        <v>Sí</v>
      </c>
      <c r="I16" s="17" t="n">
        <f aca="false">IF($B16="","",COUNTIFS(Calibración!$B$3:$B$152,$B16,Calibración!$Q$3:$Q$152,"VENCIDO"))</f>
        <v>0</v>
      </c>
      <c r="J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6" t="str">
        <f aca="false">IF($B17="","",IF(COUNTIFS(Calibración!$B$3:$B$152,$B17,Calibración!$I$3:$I$152,"Sí")&gt;0,"Sí","No"))</f>
        <v/>
      </c>
      <c r="I17" s="17" t="str">
        <f aca="false">IF($B17="","",COUNTIFS(Calibración!$B$3:$B$152,$B17,Calibración!$Q$3:$Q$152,"VENCIDO"))</f>
        <v/>
      </c>
      <c r="J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6" t="str">
        <f aca="false">IF($B18="","",IF(COUNTIFS(Calibración!$B$3:$B$152,$B18,Calibración!$I$3:$I$152,"Sí")&gt;0,"Sí","No"))</f>
        <v/>
      </c>
      <c r="I18" s="17" t="str">
        <f aca="false">IF($B18="","",COUNTIFS(Calibración!$B$3:$B$152,$B18,Calibración!$Q$3:$Q$152,"VENCIDO"))</f>
        <v/>
      </c>
      <c r="J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6" t="str">
        <f aca="false">IF($B19="","",IF(COUNTIFS(Calibración!$B$3:$B$152,$B19,Calibración!$I$3:$I$152,"Sí")&gt;0,"Sí","No"))</f>
        <v/>
      </c>
      <c r="I19" s="17" t="str">
        <f aca="false">IF($B19="","",COUNTIFS(Calibración!$B$3:$B$152,$B19,Calibración!$Q$3:$Q$152,"VENCIDO"))</f>
        <v/>
      </c>
      <c r="J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6" t="str">
        <f aca="false">IF($B20="","",IF(COUNTIFS(Calibración!$B$3:$B$152,$B20,Calibración!$I$3:$I$152,"Sí")&gt;0,"Sí","No"))</f>
        <v/>
      </c>
      <c r="I20" s="17" t="str">
        <f aca="false">IF($B20="","",COUNTIFS(Calibración!$B$3:$B$152,$B20,Calibración!$Q$3:$Q$152,"VENCIDO"))</f>
        <v/>
      </c>
      <c r="J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6" t="str">
        <f aca="false">IF($B21="","",IF(COUNTIFS(Calibración!$B$3:$B$152,$B21,Calibración!$I$3:$I$152,"Sí")&gt;0,"Sí","No"))</f>
        <v/>
      </c>
      <c r="I21" s="17" t="str">
        <f aca="false">IF($B21="","",COUNTIFS(Calibración!$B$3:$B$152,$B21,Calibración!$Q$3:$Q$152,"VENCIDO"))</f>
        <v/>
      </c>
      <c r="J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6" t="str">
        <f aca="false">IF($B22="","",IF(COUNTIFS(Calibración!$B$3:$B$152,$B22,Calibración!$I$3:$I$152,"Sí")&gt;0,"Sí","No"))</f>
        <v/>
      </c>
      <c r="I22" s="17" t="str">
        <f aca="false">IF($B22="","",COUNTIFS(Calibración!$B$3:$B$152,$B22,Calibración!$Q$3:$Q$152,"VENCIDO"))</f>
        <v/>
      </c>
      <c r="J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6" t="str">
        <f aca="false">IF($B23="","",IF(COUNTIFS(Calibración!$B$3:$B$152,$B23,Calibración!$I$3:$I$152,"Sí")&gt;0,"Sí","No"))</f>
        <v/>
      </c>
      <c r="I23" s="17" t="str">
        <f aca="false">IF($B23="","",COUNTIFS(Calibración!$B$3:$B$152,$B23,Calibración!$Q$3:$Q$152,"VENCIDO"))</f>
        <v/>
      </c>
      <c r="J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6" t="str">
        <f aca="false">IF($B24="","",IF(COUNTIFS(Calibración!$B$3:$B$152,$B24,Calibración!$I$3:$I$152,"Sí")&gt;0,"Sí","No"))</f>
        <v/>
      </c>
      <c r="I24" s="17" t="str">
        <f aca="false">IF($B24="","",COUNTIFS(Calibración!$B$3:$B$152,$B24,Calibración!$Q$3:$Q$152,"VENCIDO"))</f>
        <v/>
      </c>
      <c r="J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6" t="str">
        <f aca="false">IF($B25="","",IF(COUNTIFS(Calibración!$B$3:$B$152,$B25,Calibración!$I$3:$I$152,"Sí")&gt;0,"Sí","No"))</f>
        <v/>
      </c>
      <c r="I25" s="17" t="str">
        <f aca="false">IF($B25="","",COUNTIFS(Calibración!$B$3:$B$152,$B25,Calibración!$Q$3:$Q$152,"VENCIDO"))</f>
        <v/>
      </c>
      <c r="J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6" t="str">
        <f aca="false">IF($B26="","",IF(COUNTIFS(Calibración!$B$3:$B$152,$B26,Calibración!$I$3:$I$152,"Sí")&gt;0,"Sí","No"))</f>
        <v/>
      </c>
      <c r="I26" s="17" t="str">
        <f aca="false">IF($B26="","",COUNTIFS(Calibración!$B$3:$B$152,$B26,Calibración!$Q$3:$Q$152,"VENCIDO"))</f>
        <v/>
      </c>
      <c r="J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6" t="str">
        <f aca="false">IF($B27="","",IF(COUNTIFS(Calibración!$B$3:$B$152,$B27,Calibración!$I$3:$I$152,"Sí")&gt;0,"Sí","No"))</f>
        <v/>
      </c>
      <c r="I27" s="17" t="str">
        <f aca="false">IF($B27="","",COUNTIFS(Calibración!$B$3:$B$152,$B27,Calibración!$Q$3:$Q$152,"VENCIDO"))</f>
        <v/>
      </c>
      <c r="J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6" t="str">
        <f aca="false">IF($B28="","",IF(COUNTIFS(Calibración!$B$3:$B$152,$B28,Calibración!$I$3:$I$152,"Sí")&gt;0,"Sí","No"))</f>
        <v/>
      </c>
      <c r="I28" s="17" t="str">
        <f aca="false">IF($B28="","",COUNTIFS(Calibración!$B$3:$B$152,$B28,Calibración!$Q$3:$Q$152,"VENCIDO"))</f>
        <v/>
      </c>
      <c r="J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6" t="str">
        <f aca="false">IF($B29="","",IF(COUNTIFS(Calibración!$B$3:$B$152,$B29,Calibración!$I$3:$I$152,"Sí")&gt;0,"Sí","No"))</f>
        <v/>
      </c>
      <c r="I29" s="17" t="str">
        <f aca="false">IF($B29="","",COUNTIFS(Calibración!$B$3:$B$152,$B29,Calibración!$Q$3:$Q$152,"VENCIDO"))</f>
        <v/>
      </c>
      <c r="J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6" t="str">
        <f aca="false">IF($B30="","",IF(COUNTIFS(Calibración!$B$3:$B$152,$B30,Calibración!$I$3:$I$152,"Sí")&gt;0,"Sí","No"))</f>
        <v/>
      </c>
      <c r="I30" s="17" t="str">
        <f aca="false">IF($B30="","",COUNTIFS(Calibración!$B$3:$B$152,$B30,Calibración!$Q$3:$Q$152,"VENCIDO"))</f>
        <v/>
      </c>
      <c r="J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6" t="str">
        <f aca="false">IF($B31="","",IF(COUNTIFS(Calibración!$B$3:$B$152,$B31,Calibración!$I$3:$I$152,"Sí")&gt;0,"Sí","No"))</f>
        <v/>
      </c>
      <c r="I31" s="17" t="str">
        <f aca="false">IF($B31="","",COUNTIFS(Calibración!$B$3:$B$152,$B31,Calibración!$Q$3:$Q$152,"VENCIDO"))</f>
        <v/>
      </c>
      <c r="J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6" t="str">
        <f aca="false">IF($B32="","",IF(COUNTIFS(Calibración!$B$3:$B$152,$B32,Calibración!$I$3:$I$152,"Sí")&gt;0,"Sí","No"))</f>
        <v/>
      </c>
      <c r="I32" s="17" t="str">
        <f aca="false">IF($B32="","",COUNTIFS(Calibración!$B$3:$B$152,$B32,Calibración!$Q$3:$Q$152,"VENCIDO"))</f>
        <v/>
      </c>
      <c r="J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6" t="str">
        <f aca="false">IF($B33="","",IF(COUNTIFS(Calibración!$B$3:$B$152,$B33,Calibración!$I$3:$I$152,"Sí")&gt;0,"Sí","No"))</f>
        <v/>
      </c>
      <c r="I33" s="17" t="str">
        <f aca="false">IF($B33="","",COUNTIFS(Calibración!$B$3:$B$152,$B33,Calibración!$Q$3:$Q$152,"VENCIDO"))</f>
        <v/>
      </c>
      <c r="J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6" t="str">
        <f aca="false">IF($B34="","",IF(COUNTIFS(Calibración!$B$3:$B$152,$B34,Calibración!$I$3:$I$152,"Sí")&gt;0,"Sí","No"))</f>
        <v/>
      </c>
      <c r="I34" s="17" t="str">
        <f aca="false">IF($B34="","",COUNTIFS(Calibración!$B$3:$B$152,$B34,Calibración!$Q$3:$Q$152,"VENCIDO"))</f>
        <v/>
      </c>
      <c r="J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6" t="str">
        <f aca="false">IF($B35="","",IF(COUNTIFS(Calibración!$B$3:$B$152,$B35,Calibración!$I$3:$I$152,"Sí")&gt;0,"Sí","No"))</f>
        <v/>
      </c>
      <c r="I35" s="17" t="str">
        <f aca="false">IF($B35="","",COUNTIFS(Calibración!$B$3:$B$152,$B35,Calibración!$Q$3:$Q$152,"VENCIDO"))</f>
        <v/>
      </c>
      <c r="J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6" t="str">
        <f aca="false">IF($B36="","",IF(COUNTIFS(Calibración!$B$3:$B$152,$B36,Calibración!$I$3:$I$152,"Sí")&gt;0,"Sí","No"))</f>
        <v/>
      </c>
      <c r="I36" s="17" t="str">
        <f aca="false">IF($B36="","",COUNTIFS(Calibración!$B$3:$B$152,$B36,Calibración!$Q$3:$Q$152,"VENCIDO"))</f>
        <v/>
      </c>
      <c r="J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6" t="str">
        <f aca="false">IF($B37="","",IF(COUNTIFS(Calibración!$B$3:$B$152,$B37,Calibración!$I$3:$I$152,"Sí")&gt;0,"Sí","No"))</f>
        <v/>
      </c>
      <c r="I37" s="17" t="str">
        <f aca="false">IF($B37="","",COUNTIFS(Calibración!$B$3:$B$152,$B37,Calibración!$Q$3:$Q$152,"VENCIDO"))</f>
        <v/>
      </c>
      <c r="J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6" t="str">
        <f aca="false">IF($B38="","",IF(COUNTIFS(Calibración!$B$3:$B$152,$B38,Calibración!$I$3:$I$152,"Sí")&gt;0,"Sí","No"))</f>
        <v/>
      </c>
      <c r="I38" s="17" t="str">
        <f aca="false">IF($B38="","",COUNTIFS(Calibración!$B$3:$B$152,$B38,Calibración!$Q$3:$Q$152,"VENCIDO"))</f>
        <v/>
      </c>
      <c r="J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6" t="str">
        <f aca="false">IF($B39="","",IF(COUNTIFS(Calibración!$B$3:$B$152,$B39,Calibración!$I$3:$I$152,"Sí")&gt;0,"Sí","No"))</f>
        <v/>
      </c>
      <c r="I39" s="17" t="str">
        <f aca="false">IF($B39="","",COUNTIFS(Calibración!$B$3:$B$152,$B39,Calibración!$Q$3:$Q$152,"VENCIDO"))</f>
        <v/>
      </c>
      <c r="J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6" t="str">
        <f aca="false">IF($B40="","",IF(COUNTIFS(Calibración!$B$3:$B$152,$B40,Calibración!$I$3:$I$152,"Sí")&gt;0,"Sí","No"))</f>
        <v/>
      </c>
      <c r="I40" s="17" t="str">
        <f aca="false">IF($B40="","",COUNTIFS(Calibración!$B$3:$B$152,$B40,Calibración!$Q$3:$Q$152,"VENCIDO"))</f>
        <v/>
      </c>
      <c r="J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6" t="str">
        <f aca="false">IF($B41="","",IF(COUNTIFS(Calibración!$B$3:$B$152,$B41,Calibración!$I$3:$I$152,"Sí")&gt;0,"Sí","No"))</f>
        <v/>
      </c>
      <c r="I41" s="17" t="str">
        <f aca="false">IF($B41="","",COUNTIFS(Calibración!$B$3:$B$152,$B41,Calibración!$Q$3:$Q$152,"VENCIDO"))</f>
        <v/>
      </c>
      <c r="J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6" t="str">
        <f aca="false">IF($B42="","",IF(COUNTIFS(Calibración!$B$3:$B$152,$B42,Calibración!$I$3:$I$152,"Sí")&gt;0,"Sí","No"))</f>
        <v/>
      </c>
      <c r="I42" s="17" t="str">
        <f aca="false">IF($B42="","",COUNTIFS(Calibración!$B$3:$B$152,$B42,Calibración!$Q$3:$Q$152,"VENCIDO"))</f>
        <v/>
      </c>
      <c r="J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6" t="str">
        <f aca="false">IF($B43="","",IF(COUNTIFS(Calibración!$B$3:$B$152,$B43,Calibración!$I$3:$I$152,"Sí")&gt;0,"Sí","No"))</f>
        <v/>
      </c>
      <c r="I43" s="17" t="str">
        <f aca="false">IF($B43="","",COUNTIFS(Calibración!$B$3:$B$152,$B43,Calibración!$Q$3:$Q$152,"VENCIDO"))</f>
        <v/>
      </c>
      <c r="J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6" t="str">
        <f aca="false">IF($B44="","",IF(COUNTIFS(Calibración!$B$3:$B$152,$B44,Calibración!$I$3:$I$152,"Sí")&gt;0,"Sí","No"))</f>
        <v/>
      </c>
      <c r="I44" s="17" t="str">
        <f aca="false">IF($B44="","",COUNTIFS(Calibración!$B$3:$B$152,$B44,Calibración!$Q$3:$Q$152,"VENCIDO"))</f>
        <v/>
      </c>
      <c r="J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6" t="str">
        <f aca="false">IF($B45="","",IF(COUNTIFS(Calibración!$B$3:$B$152,$B45,Calibración!$I$3:$I$152,"Sí")&gt;0,"Sí","No"))</f>
        <v/>
      </c>
      <c r="I45" s="17" t="str">
        <f aca="false">IF($B45="","",COUNTIFS(Calibración!$B$3:$B$152,$B45,Calibración!$Q$3:$Q$152,"VENCIDO"))</f>
        <v/>
      </c>
      <c r="J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6" t="str">
        <f aca="false">IF($B46="","",IF(COUNTIFS(Calibración!$B$3:$B$152,$B46,Calibración!$I$3:$I$152,"Sí")&gt;0,"Sí","No"))</f>
        <v/>
      </c>
      <c r="I46" s="17" t="str">
        <f aca="false">IF($B46="","",COUNTIFS(Calibración!$B$3:$B$152,$B46,Calibración!$Q$3:$Q$152,"VENCIDO"))</f>
        <v/>
      </c>
      <c r="J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6" t="str">
        <f aca="false">IF($B47="","",IF(COUNTIFS(Calibración!$B$3:$B$152,$B47,Calibración!$I$3:$I$152,"Sí")&gt;0,"Sí","No"))</f>
        <v/>
      </c>
      <c r="I47" s="17" t="str">
        <f aca="false">IF($B47="","",COUNTIFS(Calibración!$B$3:$B$152,$B47,Calibración!$Q$3:$Q$152,"VENCIDO"))</f>
        <v/>
      </c>
      <c r="J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6" t="str">
        <f aca="false">IF($B48="","",IF(COUNTIFS(Calibración!$B$3:$B$152,$B48,Calibración!$I$3:$I$152,"Sí")&gt;0,"Sí","No"))</f>
        <v/>
      </c>
      <c r="I48" s="17" t="str">
        <f aca="false">IF($B48="","",COUNTIFS(Calibración!$B$3:$B$152,$B48,Calibración!$Q$3:$Q$152,"VENCIDO"))</f>
        <v/>
      </c>
      <c r="J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6" t="str">
        <f aca="false">IF($B49="","",IF(COUNTIFS(Calibración!$B$3:$B$152,$B49,Calibración!$I$3:$I$152,"Sí")&gt;0,"Sí","No"))</f>
        <v/>
      </c>
      <c r="I49" s="17" t="str">
        <f aca="false">IF($B49="","",COUNTIFS(Calibración!$B$3:$B$152,$B49,Calibración!$Q$3:$Q$152,"VENCIDO"))</f>
        <v/>
      </c>
      <c r="J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6" t="str">
        <f aca="false">IF($B50="","",IF(COUNTIFS(Calibración!$B$3:$B$152,$B50,Calibración!$I$3:$I$152,"Sí")&gt;0,"Sí","No"))</f>
        <v/>
      </c>
      <c r="I50" s="17" t="str">
        <f aca="false">IF($B50="","",COUNTIFS(Calibración!$B$3:$B$152,$B50,Calibración!$Q$3:$Q$152,"VENCIDO"))</f>
        <v/>
      </c>
      <c r="J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6" t="str">
        <f aca="false">IF($B51="","",IF(COUNTIFS(Calibración!$B$3:$B$152,$B51,Calibración!$I$3:$I$152,"Sí")&gt;0,"Sí","No"))</f>
        <v/>
      </c>
      <c r="I51" s="17" t="str">
        <f aca="false">IF($B51="","",COUNTIFS(Calibración!$B$3:$B$152,$B51,Calibración!$Q$3:$Q$152,"VENCIDO"))</f>
        <v/>
      </c>
      <c r="J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6" t="str">
        <f aca="false">IF($B52="","",IF(COUNTIFS(Calibración!$B$3:$B$152,$B52,Calibración!$I$3:$I$152,"Sí")&gt;0,"Sí","No"))</f>
        <v/>
      </c>
      <c r="I52" s="17" t="str">
        <f aca="false">IF($B52="","",COUNTIFS(Calibración!$B$3:$B$152,$B52,Calibración!$Q$3:$Q$152,"VENCIDO"))</f>
        <v/>
      </c>
      <c r="J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6" t="str">
        <f aca="false">IF($B53="","",IF(COUNTIFS(Calibración!$B$3:$B$152,$B53,Calibración!$I$3:$I$152,"Sí")&gt;0,"Sí","No"))</f>
        <v/>
      </c>
      <c r="I53" s="17" t="str">
        <f aca="false">IF($B53="","",COUNTIFS(Calibración!$B$3:$B$152,$B53,Calibración!$Q$3:$Q$152,"VENCIDO"))</f>
        <v/>
      </c>
      <c r="J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6" t="str">
        <f aca="false">IF($B54="","",IF(COUNTIFS(Calibración!$B$3:$B$152,$B54,Calibración!$I$3:$I$152,"Sí")&gt;0,"Sí","No"))</f>
        <v/>
      </c>
      <c r="I54" s="17" t="str">
        <f aca="false">IF($B54="","",COUNTIFS(Calibración!$B$3:$B$152,$B54,Calibración!$Q$3:$Q$152,"VENCIDO"))</f>
        <v/>
      </c>
      <c r="J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6" t="str">
        <f aca="false">IF($B55="","",IF(COUNTIFS(Calibración!$B$3:$B$152,$B55,Calibración!$I$3:$I$152,"Sí")&gt;0,"Sí","No"))</f>
        <v/>
      </c>
      <c r="I55" s="17" t="str">
        <f aca="false">IF($B55="","",COUNTIFS(Calibración!$B$3:$B$152,$B55,Calibración!$Q$3:$Q$152,"VENCIDO"))</f>
        <v/>
      </c>
      <c r="J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6" t="str">
        <f aca="false">IF($B56="","",IF(COUNTIFS(Calibración!$B$3:$B$152,$B56,Calibración!$I$3:$I$152,"Sí")&gt;0,"Sí","No"))</f>
        <v/>
      </c>
      <c r="I56" s="17" t="str">
        <f aca="false">IF($B56="","",COUNTIFS(Calibración!$B$3:$B$152,$B56,Calibración!$Q$3:$Q$152,"VENCIDO"))</f>
        <v/>
      </c>
      <c r="J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6" t="str">
        <f aca="false">IF($B57="","",IF(COUNTIFS(Calibración!$B$3:$B$152,$B57,Calibración!$I$3:$I$152,"Sí")&gt;0,"Sí","No"))</f>
        <v/>
      </c>
      <c r="I57" s="17" t="str">
        <f aca="false">IF($B57="","",COUNTIFS(Calibración!$B$3:$B$152,$B57,Calibración!$Q$3:$Q$152,"VENCIDO"))</f>
        <v/>
      </c>
      <c r="J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6" t="str">
        <f aca="false">IF($B58="","",IF(COUNTIFS(Calibración!$B$3:$B$152,$B58,Calibración!$I$3:$I$152,"Sí")&gt;0,"Sí","No"))</f>
        <v/>
      </c>
      <c r="I58" s="17" t="str">
        <f aca="false">IF($B58="","",COUNTIFS(Calibración!$B$3:$B$152,$B58,Calibración!$Q$3:$Q$152,"VENCIDO"))</f>
        <v/>
      </c>
      <c r="J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6" t="str">
        <f aca="false">IF($B59="","",IF(COUNTIFS(Calibración!$B$3:$B$152,$B59,Calibración!$I$3:$I$152,"Sí")&gt;0,"Sí","No"))</f>
        <v/>
      </c>
      <c r="I59" s="17" t="str">
        <f aca="false">IF($B59="","",COUNTIFS(Calibración!$B$3:$B$152,$B59,Calibración!$Q$3:$Q$152,"VENCIDO"))</f>
        <v/>
      </c>
      <c r="J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6" t="str">
        <f aca="false">IF($B60="","",IF(COUNTIFS(Calibración!$B$3:$B$152,$B60,Calibración!$I$3:$I$152,"Sí")&gt;0,"Sí","No"))</f>
        <v/>
      </c>
      <c r="I60" s="17" t="str">
        <f aca="false">IF($B60="","",COUNTIFS(Calibración!$B$3:$B$152,$B60,Calibración!$Q$3:$Q$152,"VENCIDO"))</f>
        <v/>
      </c>
      <c r="J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6" t="str">
        <f aca="false">IF($B61="","",IF(COUNTIFS(Calibración!$B$3:$B$152,$B61,Calibración!$I$3:$I$152,"Sí")&gt;0,"Sí","No"))</f>
        <v/>
      </c>
      <c r="I61" s="17" t="str">
        <f aca="false">IF($B61="","",COUNTIFS(Calibración!$B$3:$B$152,$B61,Calibración!$Q$3:$Q$152,"VENCIDO"))</f>
        <v/>
      </c>
      <c r="J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6" t="str">
        <f aca="false">IF($B62="","",IF(COUNTIFS(Calibración!$B$3:$B$152,$B62,Calibración!$I$3:$I$152,"Sí")&gt;0,"Sí","No"))</f>
        <v/>
      </c>
      <c r="I62" s="17" t="str">
        <f aca="false">IF($B62="","",COUNTIFS(Calibración!$B$3:$B$152,$B62,Calibración!$Q$3:$Q$152,"VENCIDO"))</f>
        <v/>
      </c>
      <c r="J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6" t="str">
        <f aca="false">IF($B63="","",IF(COUNTIFS(Calibración!$B$3:$B$152,$B63,Calibración!$I$3:$I$152,"Sí")&gt;0,"Sí","No"))</f>
        <v/>
      </c>
      <c r="I63" s="17" t="str">
        <f aca="false">IF($B63="","",COUNTIFS(Calibración!$B$3:$B$152,$B63,Calibración!$Q$3:$Q$152,"VENCIDO"))</f>
        <v/>
      </c>
      <c r="J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6" t="str">
        <f aca="false">IF($B64="","",IF(COUNTIFS(Calibración!$B$3:$B$152,$B64,Calibración!$I$3:$I$152,"Sí")&gt;0,"Sí","No"))</f>
        <v/>
      </c>
      <c r="I64" s="17" t="str">
        <f aca="false">IF($B64="","",COUNTIFS(Calibración!$B$3:$B$152,$B64,Calibración!$Q$3:$Q$152,"VENCIDO"))</f>
        <v/>
      </c>
      <c r="J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6" t="str">
        <f aca="false">IF($B65="","",IF(COUNTIFS(Calibración!$B$3:$B$152,$B65,Calibración!$I$3:$I$152,"Sí")&gt;0,"Sí","No"))</f>
        <v/>
      </c>
      <c r="I65" s="17" t="str">
        <f aca="false">IF($B65="","",COUNTIFS(Calibración!$B$3:$B$152,$B65,Calibración!$Q$3:$Q$152,"VENCIDO"))</f>
        <v/>
      </c>
      <c r="J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6" t="str">
        <f aca="false">IF($B66="","",IF(COUNTIFS(Calibración!$B$3:$B$152,$B66,Calibración!$I$3:$I$152,"Sí")&gt;0,"Sí","No"))</f>
        <v/>
      </c>
      <c r="I66" s="17" t="str">
        <f aca="false">IF($B66="","",COUNTIFS(Calibración!$B$3:$B$152,$B66,Calibración!$Q$3:$Q$152,"VENCIDO"))</f>
        <v/>
      </c>
      <c r="J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6" t="str">
        <f aca="false">IF($B67="","",IF(COUNTIFS(Calibración!$B$3:$B$152,$B67,Calibración!$I$3:$I$152,"Sí")&gt;0,"Sí","No"))</f>
        <v/>
      </c>
      <c r="I67" s="17" t="str">
        <f aca="false">IF($B67="","",COUNTIFS(Calibración!$B$3:$B$152,$B67,Calibración!$Q$3:$Q$152,"VENCIDO"))</f>
        <v/>
      </c>
      <c r="J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6" t="str">
        <f aca="false">IF($B68="","",IF(COUNTIFS(Calibración!$B$3:$B$152,$B68,Calibración!$I$3:$I$152,"Sí")&gt;0,"Sí","No"))</f>
        <v/>
      </c>
      <c r="I68" s="17" t="str">
        <f aca="false">IF($B68="","",COUNTIFS(Calibración!$B$3:$B$152,$B68,Calibración!$Q$3:$Q$152,"VENCIDO"))</f>
        <v/>
      </c>
      <c r="J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6" t="str">
        <f aca="false">IF($B69="","",IF(COUNTIFS(Calibración!$B$3:$B$152,$B69,Calibración!$I$3:$I$152,"Sí")&gt;0,"Sí","No"))</f>
        <v/>
      </c>
      <c r="I69" s="17" t="str">
        <f aca="false">IF($B69="","",COUNTIFS(Calibración!$B$3:$B$152,$B69,Calibración!$Q$3:$Q$152,"VENCIDO"))</f>
        <v/>
      </c>
      <c r="J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6" t="str">
        <f aca="false">IF($B70="","",IF(COUNTIFS(Calibración!$B$3:$B$152,$B70,Calibración!$I$3:$I$152,"Sí")&gt;0,"Sí","No"))</f>
        <v/>
      </c>
      <c r="I70" s="17" t="str">
        <f aca="false">IF($B70="","",COUNTIFS(Calibración!$B$3:$B$152,$B70,Calibración!$Q$3:$Q$152,"VENCIDO"))</f>
        <v/>
      </c>
      <c r="J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6" t="str">
        <f aca="false">IF($B71="","",IF(COUNTIFS(Calibración!$B$3:$B$152,$B71,Calibración!$I$3:$I$152,"Sí")&gt;0,"Sí","No"))</f>
        <v/>
      </c>
      <c r="I71" s="17" t="str">
        <f aca="false">IF($B71="","",COUNTIFS(Calibración!$B$3:$B$152,$B71,Calibración!$Q$3:$Q$152,"VENCIDO"))</f>
        <v/>
      </c>
      <c r="J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6" t="str">
        <f aca="false">IF($B72="","",IF(COUNTIFS(Calibración!$B$3:$B$152,$B72,Calibración!$I$3:$I$152,"Sí")&gt;0,"Sí","No"))</f>
        <v/>
      </c>
      <c r="I72" s="17" t="str">
        <f aca="false">IF($B72="","",COUNTIFS(Calibración!$B$3:$B$152,$B72,Calibración!$Q$3:$Q$152,"VENCIDO"))</f>
        <v/>
      </c>
      <c r="J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6" t="str">
        <f aca="false">IF($B73="","",IF(COUNTIFS(Calibración!$B$3:$B$152,$B73,Calibración!$I$3:$I$152,"Sí")&gt;0,"Sí","No"))</f>
        <v/>
      </c>
      <c r="I73" s="17" t="str">
        <f aca="false">IF($B73="","",COUNTIFS(Calibración!$B$3:$B$152,$B73,Calibración!$Q$3:$Q$152,"VENCIDO"))</f>
        <v/>
      </c>
      <c r="J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6" t="str">
        <f aca="false">IF($B74="","",IF(COUNTIFS(Calibración!$B$3:$B$152,$B74,Calibración!$I$3:$I$152,"Sí")&gt;0,"Sí","No"))</f>
        <v/>
      </c>
      <c r="I74" s="17" t="str">
        <f aca="false">IF($B74="","",COUNTIFS(Calibración!$B$3:$B$152,$B74,Calibración!$Q$3:$Q$152,"VENCIDO"))</f>
        <v/>
      </c>
      <c r="J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6" t="str">
        <f aca="false">IF($B75="","",IF(COUNTIFS(Calibración!$B$3:$B$152,$B75,Calibración!$I$3:$I$152,"Sí")&gt;0,"Sí","No"))</f>
        <v/>
      </c>
      <c r="I75" s="17" t="str">
        <f aca="false">IF($B75="","",COUNTIFS(Calibración!$B$3:$B$152,$B75,Calibración!$Q$3:$Q$152,"VENCIDO"))</f>
        <v/>
      </c>
      <c r="J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6" t="str">
        <f aca="false">IF($B76="","",IF(COUNTIFS(Calibración!$B$3:$B$152,$B76,Calibración!$I$3:$I$152,"Sí")&gt;0,"Sí","No"))</f>
        <v/>
      </c>
      <c r="I76" s="17" t="str">
        <f aca="false">IF($B76="","",COUNTIFS(Calibración!$B$3:$B$152,$B76,Calibración!$Q$3:$Q$152,"VENCIDO"))</f>
        <v/>
      </c>
      <c r="J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6" t="str">
        <f aca="false">IF($B77="","",IF(COUNTIFS(Calibración!$B$3:$B$152,$B77,Calibración!$I$3:$I$152,"Sí")&gt;0,"Sí","No"))</f>
        <v/>
      </c>
      <c r="I77" s="17" t="str">
        <f aca="false">IF($B77="","",COUNTIFS(Calibración!$B$3:$B$152,$B77,Calibración!$Q$3:$Q$152,"VENCIDO"))</f>
        <v/>
      </c>
      <c r="J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6" t="str">
        <f aca="false">IF($B78="","",IF(COUNTIFS(Calibración!$B$3:$B$152,$B78,Calibración!$I$3:$I$152,"Sí")&gt;0,"Sí","No"))</f>
        <v/>
      </c>
      <c r="I78" s="17" t="str">
        <f aca="false">IF($B78="","",COUNTIFS(Calibración!$B$3:$B$152,$B78,Calibración!$Q$3:$Q$152,"VENCIDO"))</f>
        <v/>
      </c>
      <c r="J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6" t="str">
        <f aca="false">IF($B79="","",IF(COUNTIFS(Calibración!$B$3:$B$152,$B79,Calibración!$I$3:$I$152,"Sí")&gt;0,"Sí","No"))</f>
        <v/>
      </c>
      <c r="I79" s="17" t="str">
        <f aca="false">IF($B79="","",COUNTIFS(Calibración!$B$3:$B$152,$B79,Calibración!$Q$3:$Q$152,"VENCIDO"))</f>
        <v/>
      </c>
      <c r="J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6" t="str">
        <f aca="false">IF($B80="","",IF(COUNTIFS(Calibración!$B$3:$B$152,$B80,Calibración!$I$3:$I$152,"Sí")&gt;0,"Sí","No"))</f>
        <v/>
      </c>
      <c r="I80" s="17" t="str">
        <f aca="false">IF($B80="","",COUNTIFS(Calibración!$B$3:$B$152,$B80,Calibración!$Q$3:$Q$152,"VENCIDO"))</f>
        <v/>
      </c>
      <c r="J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6" t="str">
        <f aca="false">IF($B81="","",IF(COUNTIFS(Calibración!$B$3:$B$152,$B81,Calibración!$I$3:$I$152,"Sí")&gt;0,"Sí","No"))</f>
        <v/>
      </c>
      <c r="I81" s="17" t="str">
        <f aca="false">IF($B81="","",COUNTIFS(Calibración!$B$3:$B$152,$B81,Calibración!$Q$3:$Q$152,"VENCIDO"))</f>
        <v/>
      </c>
      <c r="J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6" t="str">
        <f aca="false">IF($B82="","",IF(COUNTIFS(Calibración!$B$3:$B$152,$B82,Calibración!$I$3:$I$152,"Sí")&gt;0,"Sí","No"))</f>
        <v/>
      </c>
      <c r="I82" s="17" t="str">
        <f aca="false">IF($B82="","",COUNTIFS(Calibración!$B$3:$B$152,$B82,Calibración!$Q$3:$Q$152,"VENCIDO"))</f>
        <v/>
      </c>
      <c r="J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6" t="str">
        <f aca="false">IF($B83="","",IF(COUNTIFS(Calibración!$B$3:$B$152,$B83,Calibración!$I$3:$I$152,"Sí")&gt;0,"Sí","No"))</f>
        <v/>
      </c>
      <c r="I83" s="17" t="str">
        <f aca="false">IF($B83="","",COUNTIFS(Calibración!$B$3:$B$152,$B83,Calibración!$Q$3:$Q$152,"VENCIDO"))</f>
        <v/>
      </c>
      <c r="J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6" t="str">
        <f aca="false">IF($B84="","",IF(COUNTIFS(Calibración!$B$3:$B$152,$B84,Calibración!$I$3:$I$152,"Sí")&gt;0,"Sí","No"))</f>
        <v/>
      </c>
      <c r="I84" s="17" t="str">
        <f aca="false">IF($B84="","",COUNTIFS(Calibración!$B$3:$B$152,$B84,Calibración!$Q$3:$Q$152,"VENCIDO"))</f>
        <v/>
      </c>
      <c r="J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6" t="str">
        <f aca="false">IF($B85="","",IF(COUNTIFS(Calibración!$B$3:$B$152,$B85,Calibración!$I$3:$I$152,"Sí")&gt;0,"Sí","No"))</f>
        <v/>
      </c>
      <c r="I85" s="17" t="str">
        <f aca="false">IF($B85="","",COUNTIFS(Calibración!$B$3:$B$152,$B85,Calibración!$Q$3:$Q$152,"VENCIDO"))</f>
        <v/>
      </c>
      <c r="J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6" t="str">
        <f aca="false">IF($B86="","",IF(COUNTIFS(Calibración!$B$3:$B$152,$B86,Calibración!$I$3:$I$152,"Sí")&gt;0,"Sí","No"))</f>
        <v/>
      </c>
      <c r="I86" s="17" t="str">
        <f aca="false">IF($B86="","",COUNTIFS(Calibración!$B$3:$B$152,$B86,Calibración!$Q$3:$Q$152,"VENCIDO"))</f>
        <v/>
      </c>
      <c r="J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6" t="str">
        <f aca="false">IF($B87="","",IF(COUNTIFS(Calibración!$B$3:$B$152,$B87,Calibración!$I$3:$I$152,"Sí")&gt;0,"Sí","No"))</f>
        <v/>
      </c>
      <c r="I87" s="17" t="str">
        <f aca="false">IF($B87="","",COUNTIFS(Calibración!$B$3:$B$152,$B87,Calibración!$Q$3:$Q$152,"VENCIDO"))</f>
        <v/>
      </c>
      <c r="J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6" t="str">
        <f aca="false">IF($B88="","",IF(COUNTIFS(Calibración!$B$3:$B$152,$B88,Calibración!$I$3:$I$152,"Sí")&gt;0,"Sí","No"))</f>
        <v/>
      </c>
      <c r="I88" s="17" t="str">
        <f aca="false">IF($B88="","",COUNTIFS(Calibración!$B$3:$B$152,$B88,Calibración!$Q$3:$Q$152,"VENCIDO"))</f>
        <v/>
      </c>
      <c r="J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6" t="str">
        <f aca="false">IF($B89="","",IF(COUNTIFS(Calibración!$B$3:$B$152,$B89,Calibración!$I$3:$I$152,"Sí")&gt;0,"Sí","No"))</f>
        <v/>
      </c>
      <c r="I89" s="17" t="str">
        <f aca="false">IF($B89="","",COUNTIFS(Calibración!$B$3:$B$152,$B89,Calibración!$Q$3:$Q$152,"VENCIDO"))</f>
        <v/>
      </c>
      <c r="J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6" t="str">
        <f aca="false">IF($B90="","",IF(COUNTIFS(Calibración!$B$3:$B$152,$B90,Calibración!$I$3:$I$152,"Sí")&gt;0,"Sí","No"))</f>
        <v/>
      </c>
      <c r="I90" s="17" t="str">
        <f aca="false">IF($B90="","",COUNTIFS(Calibración!$B$3:$B$152,$B90,Calibración!$Q$3:$Q$152,"VENCIDO"))</f>
        <v/>
      </c>
      <c r="J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6" t="str">
        <f aca="false">IF($B91="","",IF(COUNTIFS(Calibración!$B$3:$B$152,$B91,Calibración!$I$3:$I$152,"Sí")&gt;0,"Sí","No"))</f>
        <v/>
      </c>
      <c r="I91" s="17" t="str">
        <f aca="false">IF($B91="","",COUNTIFS(Calibración!$B$3:$B$152,$B91,Calibración!$Q$3:$Q$152,"VENCIDO"))</f>
        <v/>
      </c>
      <c r="J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6" t="str">
        <f aca="false">IF($B92="","",IF(COUNTIFS(Calibración!$B$3:$B$152,$B92,Calibración!$I$3:$I$152,"Sí")&gt;0,"Sí","No"))</f>
        <v/>
      </c>
      <c r="I92" s="17" t="str">
        <f aca="false">IF($B92="","",COUNTIFS(Calibración!$B$3:$B$152,$B92,Calibración!$Q$3:$Q$152,"VENCIDO"))</f>
        <v/>
      </c>
      <c r="J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6" t="str">
        <f aca="false">IF($B93="","",IF(COUNTIFS(Calibración!$B$3:$B$152,$B93,Calibración!$I$3:$I$152,"Sí")&gt;0,"Sí","No"))</f>
        <v/>
      </c>
      <c r="I93" s="17" t="str">
        <f aca="false">IF($B93="","",COUNTIFS(Calibración!$B$3:$B$152,$B93,Calibración!$Q$3:$Q$152,"VENCIDO"))</f>
        <v/>
      </c>
      <c r="J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6" t="str">
        <f aca="false">IF($B94="","",IF(COUNTIFS(Calibración!$B$3:$B$152,$B94,Calibración!$I$3:$I$152,"Sí")&gt;0,"Sí","No"))</f>
        <v/>
      </c>
      <c r="I94" s="17" t="str">
        <f aca="false">IF($B94="","",COUNTIFS(Calibración!$B$3:$B$152,$B94,Calibración!$Q$3:$Q$152,"VENCIDO"))</f>
        <v/>
      </c>
      <c r="J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6" t="str">
        <f aca="false">IF($B95="","",IF(COUNTIFS(Calibración!$B$3:$B$152,$B95,Calibración!$I$3:$I$152,"Sí")&gt;0,"Sí","No"))</f>
        <v/>
      </c>
      <c r="I95" s="17" t="str">
        <f aca="false">IF($B95="","",COUNTIFS(Calibración!$B$3:$B$152,$B95,Calibración!$Q$3:$Q$152,"VENCIDO"))</f>
        <v/>
      </c>
      <c r="J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6" t="str">
        <f aca="false">IF($B96="","",IF(COUNTIFS(Calibración!$B$3:$B$152,$B96,Calibración!$I$3:$I$152,"Sí")&gt;0,"Sí","No"))</f>
        <v/>
      </c>
      <c r="I96" s="17" t="str">
        <f aca="false">IF($B96="","",COUNTIFS(Calibración!$B$3:$B$152,$B96,Calibración!$Q$3:$Q$152,"VENCIDO"))</f>
        <v/>
      </c>
      <c r="J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6" t="str">
        <f aca="false">IF($B97="","",IF(COUNTIFS(Calibración!$B$3:$B$152,$B97,Calibración!$I$3:$I$152,"Sí")&gt;0,"Sí","No"))</f>
        <v/>
      </c>
      <c r="I97" s="17" t="str">
        <f aca="false">IF($B97="","",COUNTIFS(Calibración!$B$3:$B$152,$B97,Calibración!$Q$3:$Q$152,"VENCIDO"))</f>
        <v/>
      </c>
      <c r="J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6" t="str">
        <f aca="false">IF($B98="","",IF(COUNTIFS(Calibración!$B$3:$B$152,$B98,Calibración!$I$3:$I$152,"Sí")&gt;0,"Sí","No"))</f>
        <v/>
      </c>
      <c r="I98" s="17" t="str">
        <f aca="false">IF($B98="","",COUNTIFS(Calibración!$B$3:$B$152,$B98,Calibración!$Q$3:$Q$152,"VENCIDO"))</f>
        <v/>
      </c>
      <c r="J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6" t="str">
        <f aca="false">IF($B99="","",IF(COUNTIFS(Calibración!$B$3:$B$152,$B99,Calibración!$I$3:$I$152,"Sí")&gt;0,"Sí","No"))</f>
        <v/>
      </c>
      <c r="I99" s="17" t="str">
        <f aca="false">IF($B99="","",COUNTIFS(Calibración!$B$3:$B$152,$B99,Calibración!$Q$3:$Q$152,"VENCIDO"))</f>
        <v/>
      </c>
      <c r="J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6" t="str">
        <f aca="false">IF($B100="","",IF(COUNTIFS(Calibración!$B$3:$B$152,$B100,Calibración!$I$3:$I$152,"Sí")&gt;0,"Sí","No"))</f>
        <v/>
      </c>
      <c r="I100" s="17" t="str">
        <f aca="false">IF($B100="","",COUNTIFS(Calibración!$B$3:$B$152,$B100,Calibración!$Q$3:$Q$152,"VENCIDO"))</f>
        <v/>
      </c>
      <c r="J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6" t="str">
        <f aca="false">IF($B101="","",IF(COUNTIFS(Calibración!$B$3:$B$152,$B101,Calibración!$I$3:$I$152,"Sí")&gt;0,"Sí","No"))</f>
        <v/>
      </c>
      <c r="I101" s="17" t="str">
        <f aca="false">IF($B101="","",COUNTIFS(Calibración!$B$3:$B$152,$B101,Calibración!$Q$3:$Q$152,"VENCIDO"))</f>
        <v/>
      </c>
      <c r="J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6" t="str">
        <f aca="false">IF($B102="","",IF(COUNTIFS(Calibración!$B$3:$B$152,$B102,Calibración!$I$3:$I$152,"Sí")&gt;0,"Sí","No"))</f>
        <v/>
      </c>
      <c r="I102" s="17" t="str">
        <f aca="false">IF($B102="","",COUNTIFS(Calibración!$B$3:$B$152,$B102,Calibración!$Q$3:$Q$152,"VENCIDO"))</f>
        <v/>
      </c>
      <c r="J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6" t="str">
        <f aca="false">IF($B103="","",IF(COUNTIFS(Calibración!$B$3:$B$152,$B103,Calibración!$I$3:$I$152,"Sí")&gt;0,"Sí","No"))</f>
        <v/>
      </c>
      <c r="I103" s="17" t="str">
        <f aca="false">IF($B103="","",COUNTIFS(Calibración!$B$3:$B$152,$B103,Calibración!$Q$3:$Q$152,"VENCIDO"))</f>
        <v/>
      </c>
      <c r="J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6" t="str">
        <f aca="false">IF($B104="","",IF(COUNTIFS(Calibración!$B$3:$B$152,$B104,Calibración!$I$3:$I$152,"Sí")&gt;0,"Sí","No"))</f>
        <v/>
      </c>
      <c r="I104" s="17" t="str">
        <f aca="false">IF($B104="","",COUNTIFS(Calibración!$B$3:$B$152,$B104,Calibración!$Q$3:$Q$152,"VENCIDO"))</f>
        <v/>
      </c>
      <c r="J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6" t="str">
        <f aca="false">IF($B105="","",IF(COUNTIFS(Calibración!$B$3:$B$152,$B105,Calibración!$I$3:$I$152,"Sí")&gt;0,"Sí","No"))</f>
        <v/>
      </c>
      <c r="I105" s="17" t="str">
        <f aca="false">IF($B105="","",COUNTIFS(Calibración!$B$3:$B$152,$B105,Calibración!$Q$3:$Q$152,"VENCIDO"))</f>
        <v/>
      </c>
      <c r="J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6" t="str">
        <f aca="false">IF($B106="","",IF(COUNTIFS(Calibración!$B$3:$B$152,$B106,Calibración!$I$3:$I$152,"Sí")&gt;0,"Sí","No"))</f>
        <v/>
      </c>
      <c r="I106" s="17" t="str">
        <f aca="false">IF($B106="","",COUNTIFS(Calibración!$B$3:$B$152,$B106,Calibración!$Q$3:$Q$152,"VENCIDO"))</f>
        <v/>
      </c>
      <c r="J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6" t="str">
        <f aca="false">IF($B107="","",IF(COUNTIFS(Calibración!$B$3:$B$152,$B107,Calibración!$I$3:$I$152,"Sí")&gt;0,"Sí","No"))</f>
        <v/>
      </c>
      <c r="I107" s="17" t="str">
        <f aca="false">IF($B107="","",COUNTIFS(Calibración!$B$3:$B$152,$B107,Calibración!$Q$3:$Q$152,"VENCIDO"))</f>
        <v/>
      </c>
      <c r="J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6" t="str">
        <f aca="false">IF($B108="","",IF(COUNTIFS(Calibración!$B$3:$B$152,$B108,Calibración!$I$3:$I$152,"Sí")&gt;0,"Sí","No"))</f>
        <v/>
      </c>
      <c r="I108" s="17" t="str">
        <f aca="false">IF($B108="","",COUNTIFS(Calibración!$B$3:$B$152,$B108,Calibración!$Q$3:$Q$152,"VENCIDO"))</f>
        <v/>
      </c>
      <c r="J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6" t="str">
        <f aca="false">IF($B109="","",IF(COUNTIFS(Calibración!$B$3:$B$152,$B109,Calibración!$I$3:$I$152,"Sí")&gt;0,"Sí","No"))</f>
        <v/>
      </c>
      <c r="I109" s="17" t="str">
        <f aca="false">IF($B109="","",COUNTIFS(Calibración!$B$3:$B$152,$B109,Calibración!$Q$3:$Q$152,"VENCIDO"))</f>
        <v/>
      </c>
      <c r="J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6" t="str">
        <f aca="false">IF($B110="","",IF(COUNTIFS(Calibración!$B$3:$B$152,$B110,Calibración!$I$3:$I$152,"Sí")&gt;0,"Sí","No"))</f>
        <v/>
      </c>
      <c r="I110" s="17" t="str">
        <f aca="false">IF($B110="","",COUNTIFS(Calibración!$B$3:$B$152,$B110,Calibración!$Q$3:$Q$152,"VENCIDO"))</f>
        <v/>
      </c>
      <c r="J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6" t="str">
        <f aca="false">IF($B111="","",IF(COUNTIFS(Calibración!$B$3:$B$152,$B111,Calibración!$I$3:$I$152,"Sí")&gt;0,"Sí","No"))</f>
        <v/>
      </c>
      <c r="I111" s="17" t="str">
        <f aca="false">IF($B111="","",COUNTIFS(Calibración!$B$3:$B$152,$B111,Calibración!$Q$3:$Q$152,"VENCIDO"))</f>
        <v/>
      </c>
      <c r="J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6" t="str">
        <f aca="false">IF($B112="","",IF(COUNTIFS(Calibración!$B$3:$B$152,$B112,Calibración!$I$3:$I$152,"Sí")&gt;0,"Sí","No"))</f>
        <v/>
      </c>
      <c r="I112" s="17" t="str">
        <f aca="false">IF($B112="","",COUNTIFS(Calibración!$B$3:$B$152,$B112,Calibración!$Q$3:$Q$152,"VENCIDO"))</f>
        <v/>
      </c>
      <c r="J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6" t="str">
        <f aca="false">IF($B113="","",IF(COUNTIFS(Calibración!$B$3:$B$152,$B113,Calibración!$I$3:$I$152,"Sí")&gt;0,"Sí","No"))</f>
        <v/>
      </c>
      <c r="I113" s="17" t="str">
        <f aca="false">IF($B113="","",COUNTIFS(Calibración!$B$3:$B$152,$B113,Calibración!$Q$3:$Q$152,"VENCIDO"))</f>
        <v/>
      </c>
      <c r="J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6" t="str">
        <f aca="false">IF($B114="","",IF(COUNTIFS(Calibración!$B$3:$B$152,$B114,Calibración!$I$3:$I$152,"Sí")&gt;0,"Sí","No"))</f>
        <v/>
      </c>
      <c r="I114" s="17" t="str">
        <f aca="false">IF($B114="","",COUNTIFS(Calibración!$B$3:$B$152,$B114,Calibración!$Q$3:$Q$152,"VENCIDO"))</f>
        <v/>
      </c>
      <c r="J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6" t="str">
        <f aca="false">IF($B115="","",IF(COUNTIFS(Calibración!$B$3:$B$152,$B115,Calibración!$I$3:$I$152,"Sí")&gt;0,"Sí","No"))</f>
        <v/>
      </c>
      <c r="I115" s="17" t="str">
        <f aca="false">IF($B115="","",COUNTIFS(Calibración!$B$3:$B$152,$B115,Calibración!$Q$3:$Q$152,"VENCIDO"))</f>
        <v/>
      </c>
      <c r="J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6" t="str">
        <f aca="false">IF($B116="","",IF(COUNTIFS(Calibración!$B$3:$B$152,$B116,Calibración!$I$3:$I$152,"Sí")&gt;0,"Sí","No"))</f>
        <v/>
      </c>
      <c r="I116" s="17" t="str">
        <f aca="false">IF($B116="","",COUNTIFS(Calibración!$B$3:$B$152,$B116,Calibración!$Q$3:$Q$152,"VENCIDO"))</f>
        <v/>
      </c>
      <c r="J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6" t="str">
        <f aca="false">IF($B117="","",IF(COUNTIFS(Calibración!$B$3:$B$152,$B117,Calibración!$I$3:$I$152,"Sí")&gt;0,"Sí","No"))</f>
        <v/>
      </c>
      <c r="I117" s="17" t="str">
        <f aca="false">IF($B117="","",COUNTIFS(Calibración!$B$3:$B$152,$B117,Calibración!$Q$3:$Q$152,"VENCIDO"))</f>
        <v/>
      </c>
      <c r="J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6" t="str">
        <f aca="false">IF($B118="","",IF(COUNTIFS(Calibración!$B$3:$B$152,$B118,Calibración!$I$3:$I$152,"Sí")&gt;0,"Sí","No"))</f>
        <v/>
      </c>
      <c r="I118" s="17" t="str">
        <f aca="false">IF($B118="","",COUNTIFS(Calibración!$B$3:$B$152,$B118,Calibración!$Q$3:$Q$152,"VENCIDO"))</f>
        <v/>
      </c>
      <c r="J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6" t="str">
        <f aca="false">IF($B119="","",IF(COUNTIFS(Calibración!$B$3:$B$152,$B119,Calibración!$I$3:$I$152,"Sí")&gt;0,"Sí","No"))</f>
        <v/>
      </c>
      <c r="I119" s="17" t="str">
        <f aca="false">IF($B119="","",COUNTIFS(Calibración!$B$3:$B$152,$B119,Calibración!$Q$3:$Q$152,"VENCIDO"))</f>
        <v/>
      </c>
      <c r="J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6" t="str">
        <f aca="false">IF($B120="","",IF(COUNTIFS(Calibración!$B$3:$B$152,$B120,Calibración!$I$3:$I$152,"Sí")&gt;0,"Sí","No"))</f>
        <v/>
      </c>
      <c r="I120" s="17" t="str">
        <f aca="false">IF($B120="","",COUNTIFS(Calibración!$B$3:$B$152,$B120,Calibración!$Q$3:$Q$152,"VENCIDO"))</f>
        <v/>
      </c>
      <c r="J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6" t="str">
        <f aca="false">IF($B121="","",IF(COUNTIFS(Calibración!$B$3:$B$152,$B121,Calibración!$I$3:$I$152,"Sí")&gt;0,"Sí","No"))</f>
        <v/>
      </c>
      <c r="I121" s="17" t="str">
        <f aca="false">IF($B121="","",COUNTIFS(Calibración!$B$3:$B$152,$B121,Calibración!$Q$3:$Q$152,"VENCIDO"))</f>
        <v/>
      </c>
      <c r="J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6" t="str">
        <f aca="false">IF($B122="","",IF(COUNTIFS(Calibración!$B$3:$B$152,$B122,Calibración!$I$3:$I$152,"Sí")&gt;0,"Sí","No"))</f>
        <v/>
      </c>
      <c r="I122" s="17" t="str">
        <f aca="false">IF($B122="","",COUNTIFS(Calibración!$B$3:$B$152,$B122,Calibración!$Q$3:$Q$152,"VENCIDO"))</f>
        <v/>
      </c>
      <c r="J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6" t="str">
        <f aca="false">IF($B123="","",IF(COUNTIFS(Calibración!$B$3:$B$152,$B123,Calibración!$I$3:$I$152,"Sí")&gt;0,"Sí","No"))</f>
        <v/>
      </c>
      <c r="I123" s="17" t="str">
        <f aca="false">IF($B123="","",COUNTIFS(Calibración!$B$3:$B$152,$B123,Calibración!$Q$3:$Q$152,"VENCIDO"))</f>
        <v/>
      </c>
      <c r="J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6" t="str">
        <f aca="false">IF($B124="","",IF(COUNTIFS(Calibración!$B$3:$B$152,$B124,Calibración!$I$3:$I$152,"Sí")&gt;0,"Sí","No"))</f>
        <v/>
      </c>
      <c r="I124" s="17" t="str">
        <f aca="false">IF($B124="","",COUNTIFS(Calibración!$B$3:$B$152,$B124,Calibración!$Q$3:$Q$152,"VENCIDO"))</f>
        <v/>
      </c>
      <c r="J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6" t="str">
        <f aca="false">IF($B125="","",IF(COUNTIFS(Calibración!$B$3:$B$152,$B125,Calibración!$I$3:$I$152,"Sí")&gt;0,"Sí","No"))</f>
        <v/>
      </c>
      <c r="I125" s="17" t="str">
        <f aca="false">IF($B125="","",COUNTIFS(Calibración!$B$3:$B$152,$B125,Calibración!$Q$3:$Q$152,"VENCIDO"))</f>
        <v/>
      </c>
      <c r="J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6" t="str">
        <f aca="false">IF($B126="","",IF(COUNTIFS(Calibración!$B$3:$B$152,$B126,Calibración!$I$3:$I$152,"Sí")&gt;0,"Sí","No"))</f>
        <v/>
      </c>
      <c r="I126" s="17" t="str">
        <f aca="false">IF($B126="","",COUNTIFS(Calibración!$B$3:$B$152,$B126,Calibración!$Q$3:$Q$152,"VENCIDO"))</f>
        <v/>
      </c>
      <c r="J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6" t="str">
        <f aca="false">IF($B127="","",IF(COUNTIFS(Calibración!$B$3:$B$152,$B127,Calibración!$I$3:$I$152,"Sí")&gt;0,"Sí","No"))</f>
        <v/>
      </c>
      <c r="I127" s="17" t="str">
        <f aca="false">IF($B127="","",COUNTIFS(Calibración!$B$3:$B$152,$B127,Calibración!$Q$3:$Q$152,"VENCIDO"))</f>
        <v/>
      </c>
      <c r="J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6" t="str">
        <f aca="false">IF($B128="","",IF(COUNTIFS(Calibración!$B$3:$B$152,$B128,Calibración!$I$3:$I$152,"Sí")&gt;0,"Sí","No"))</f>
        <v/>
      </c>
      <c r="I128" s="17" t="str">
        <f aca="false">IF($B128="","",COUNTIFS(Calibración!$B$3:$B$152,$B128,Calibración!$Q$3:$Q$152,"VENCIDO"))</f>
        <v/>
      </c>
      <c r="J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6" t="str">
        <f aca="false">IF($B129="","",IF(COUNTIFS(Calibración!$B$3:$B$152,$B129,Calibración!$I$3:$I$152,"Sí")&gt;0,"Sí","No"))</f>
        <v/>
      </c>
      <c r="I129" s="17" t="str">
        <f aca="false">IF($B129="","",COUNTIFS(Calibración!$B$3:$B$152,$B129,Calibración!$Q$3:$Q$152,"VENCIDO"))</f>
        <v/>
      </c>
      <c r="J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6" t="str">
        <f aca="false">IF($B130="","",IF(COUNTIFS(Calibración!$B$3:$B$152,$B130,Calibración!$I$3:$I$152,"Sí")&gt;0,"Sí","No"))</f>
        <v/>
      </c>
      <c r="I130" s="17" t="str">
        <f aca="false">IF($B130="","",COUNTIFS(Calibración!$B$3:$B$152,$B130,Calibración!$Q$3:$Q$152,"VENCIDO"))</f>
        <v/>
      </c>
      <c r="J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6" t="str">
        <f aca="false">IF($B131="","",IF(COUNTIFS(Calibración!$B$3:$B$152,$B131,Calibración!$I$3:$I$152,"Sí")&gt;0,"Sí","No"))</f>
        <v/>
      </c>
      <c r="I131" s="17" t="str">
        <f aca="false">IF($B131="","",COUNTIFS(Calibración!$B$3:$B$152,$B131,Calibración!$Q$3:$Q$152,"VENCIDO"))</f>
        <v/>
      </c>
      <c r="J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6" t="str">
        <f aca="false">IF($B132="","",IF(COUNTIFS(Calibración!$B$3:$B$152,$B132,Calibración!$I$3:$I$152,"Sí")&gt;0,"Sí","No"))</f>
        <v/>
      </c>
      <c r="I132" s="17" t="str">
        <f aca="false">IF($B132="","",COUNTIFS(Calibración!$B$3:$B$152,$B132,Calibración!$Q$3:$Q$152,"VENCIDO"))</f>
        <v/>
      </c>
      <c r="J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6" t="str">
        <f aca="false">IF($B133="","",IF(COUNTIFS(Calibración!$B$3:$B$152,$B133,Calibración!$I$3:$I$152,"Sí")&gt;0,"Sí","No"))</f>
        <v/>
      </c>
      <c r="I133" s="17" t="str">
        <f aca="false">IF($B133="","",COUNTIFS(Calibración!$B$3:$B$152,$B133,Calibración!$Q$3:$Q$152,"VENCIDO"))</f>
        <v/>
      </c>
      <c r="J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6" t="str">
        <f aca="false">IF($B134="","",IF(COUNTIFS(Calibración!$B$3:$B$152,$B134,Calibración!$I$3:$I$152,"Sí")&gt;0,"Sí","No"))</f>
        <v/>
      </c>
      <c r="I134" s="17" t="str">
        <f aca="false">IF($B134="","",COUNTIFS(Calibración!$B$3:$B$152,$B134,Calibración!$Q$3:$Q$152,"VENCIDO"))</f>
        <v/>
      </c>
      <c r="J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6" t="str">
        <f aca="false">IF($B135="","",IF(COUNTIFS(Calibración!$B$3:$B$152,$B135,Calibración!$I$3:$I$152,"Sí")&gt;0,"Sí","No"))</f>
        <v/>
      </c>
      <c r="I135" s="17" t="str">
        <f aca="false">IF($B135="","",COUNTIFS(Calibración!$B$3:$B$152,$B135,Calibración!$Q$3:$Q$152,"VENCIDO"))</f>
        <v/>
      </c>
      <c r="J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6" t="str">
        <f aca="false">IF($B136="","",IF(COUNTIFS(Calibración!$B$3:$B$152,$B136,Calibración!$I$3:$I$152,"Sí")&gt;0,"Sí","No"))</f>
        <v/>
      </c>
      <c r="I136" s="17" t="str">
        <f aca="false">IF($B136="","",COUNTIFS(Calibración!$B$3:$B$152,$B136,Calibración!$Q$3:$Q$152,"VENCIDO"))</f>
        <v/>
      </c>
      <c r="J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6" t="str">
        <f aca="false">IF($B137="","",IF(COUNTIFS(Calibración!$B$3:$B$152,$B137,Calibración!$I$3:$I$152,"Sí")&gt;0,"Sí","No"))</f>
        <v/>
      </c>
      <c r="I137" s="17" t="str">
        <f aca="false">IF($B137="","",COUNTIFS(Calibración!$B$3:$B$152,$B137,Calibración!$Q$3:$Q$152,"VENCIDO"))</f>
        <v/>
      </c>
      <c r="J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6" t="str">
        <f aca="false">IF($B138="","",IF(COUNTIFS(Calibración!$B$3:$B$152,$B138,Calibración!$I$3:$I$152,"Sí")&gt;0,"Sí","No"))</f>
        <v/>
      </c>
      <c r="I138" s="17" t="str">
        <f aca="false">IF($B138="","",COUNTIFS(Calibración!$B$3:$B$152,$B138,Calibración!$Q$3:$Q$152,"VENCIDO"))</f>
        <v/>
      </c>
      <c r="J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6" t="str">
        <f aca="false">IF($B139="","",IF(COUNTIFS(Calibración!$B$3:$B$152,$B139,Calibración!$I$3:$I$152,"Sí")&gt;0,"Sí","No"))</f>
        <v/>
      </c>
      <c r="I139" s="17" t="str">
        <f aca="false">IF($B139="","",COUNTIFS(Calibración!$B$3:$B$152,$B139,Calibración!$Q$3:$Q$152,"VENCIDO"))</f>
        <v/>
      </c>
      <c r="J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6" t="str">
        <f aca="false">IF($B140="","",IF(COUNTIFS(Calibración!$B$3:$B$152,$B140,Calibración!$I$3:$I$152,"Sí")&gt;0,"Sí","No"))</f>
        <v/>
      </c>
      <c r="I140" s="17" t="str">
        <f aca="false">IF($B140="","",COUNTIFS(Calibración!$B$3:$B$152,$B140,Calibración!$Q$3:$Q$152,"VENCIDO"))</f>
        <v/>
      </c>
      <c r="J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6" t="str">
        <f aca="false">IF($B141="","",IF(COUNTIFS(Calibración!$B$3:$B$152,$B141,Calibración!$I$3:$I$152,"Sí")&gt;0,"Sí","No"))</f>
        <v/>
      </c>
      <c r="I141" s="17" t="str">
        <f aca="false">IF($B141="","",COUNTIFS(Calibración!$B$3:$B$152,$B141,Calibración!$Q$3:$Q$152,"VENCIDO"))</f>
        <v/>
      </c>
      <c r="J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6" t="str">
        <f aca="false">IF($B142="","",IF(COUNTIFS(Calibración!$B$3:$B$152,$B142,Calibración!$I$3:$I$152,"Sí")&gt;0,"Sí","No"))</f>
        <v/>
      </c>
      <c r="I142" s="17" t="str">
        <f aca="false">IF($B142="","",COUNTIFS(Calibración!$B$3:$B$152,$B142,Calibración!$Q$3:$Q$152,"VENCIDO"))</f>
        <v/>
      </c>
      <c r="J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6" t="str">
        <f aca="false">IF($B143="","",IF(COUNTIFS(Calibración!$B$3:$B$152,$B143,Calibración!$I$3:$I$152,"Sí")&gt;0,"Sí","No"))</f>
        <v/>
      </c>
      <c r="I143" s="17" t="str">
        <f aca="false">IF($B143="","",COUNTIFS(Calibración!$B$3:$B$152,$B143,Calibración!$Q$3:$Q$152,"VENCIDO"))</f>
        <v/>
      </c>
      <c r="J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6" t="str">
        <f aca="false">IF($B144="","",IF(COUNTIFS(Calibración!$B$3:$B$152,$B144,Calibración!$I$3:$I$152,"Sí")&gt;0,"Sí","No"))</f>
        <v/>
      </c>
      <c r="I144" s="17" t="str">
        <f aca="false">IF($B144="","",COUNTIFS(Calibración!$B$3:$B$152,$B144,Calibración!$Q$3:$Q$152,"VENCIDO"))</f>
        <v/>
      </c>
      <c r="J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6" t="str">
        <f aca="false">IF($B145="","",IF(COUNTIFS(Calibración!$B$3:$B$152,$B145,Calibración!$I$3:$I$152,"Sí")&gt;0,"Sí","No"))</f>
        <v/>
      </c>
      <c r="I145" s="17" t="str">
        <f aca="false">IF($B145="","",COUNTIFS(Calibración!$B$3:$B$152,$B145,Calibración!$Q$3:$Q$152,"VENCIDO"))</f>
        <v/>
      </c>
      <c r="J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6" t="str">
        <f aca="false">IF($B146="","",IF(COUNTIFS(Calibración!$B$3:$B$152,$B146,Calibración!$I$3:$I$152,"Sí")&gt;0,"Sí","No"))</f>
        <v/>
      </c>
      <c r="I146" s="17" t="str">
        <f aca="false">IF($B146="","",COUNTIFS(Calibración!$B$3:$B$152,$B146,Calibración!$Q$3:$Q$152,"VENCIDO"))</f>
        <v/>
      </c>
      <c r="J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6" t="str">
        <f aca="false">IF($B147="","",IF(COUNTIFS(Calibración!$B$3:$B$152,$B147,Calibración!$I$3:$I$152,"Sí")&gt;0,"Sí","No"))</f>
        <v/>
      </c>
      <c r="I147" s="17" t="str">
        <f aca="false">IF($B147="","",COUNTIFS(Calibración!$B$3:$B$152,$B147,Calibración!$Q$3:$Q$152,"VENCIDO"))</f>
        <v/>
      </c>
      <c r="J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6" t="str">
        <f aca="false">IF($B148="","",IF(COUNTIFS(Calibración!$B$3:$B$152,$B148,Calibración!$I$3:$I$152,"Sí")&gt;0,"Sí","No"))</f>
        <v/>
      </c>
      <c r="I148" s="17" t="str">
        <f aca="false">IF($B148="","",COUNTIFS(Calibración!$B$3:$B$152,$B148,Calibración!$Q$3:$Q$152,"VENCIDO"))</f>
        <v/>
      </c>
      <c r="J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6" t="str">
        <f aca="false">IF($B149="","",IF(COUNTIFS(Calibración!$B$3:$B$152,$B149,Calibración!$I$3:$I$152,"Sí")&gt;0,"Sí","No"))</f>
        <v/>
      </c>
      <c r="I149" s="17" t="str">
        <f aca="false">IF($B149="","",COUNTIFS(Calibración!$B$3:$B$152,$B149,Calibración!$Q$3:$Q$152,"VENCIDO"))</f>
        <v/>
      </c>
      <c r="J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6" t="str">
        <f aca="false">IF($B150="","",IF(COUNTIFS(Calibración!$B$3:$B$152,$B150,Calibración!$I$3:$I$152,"Sí")&gt;0,"Sí","No"))</f>
        <v/>
      </c>
      <c r="I150" s="17" t="str">
        <f aca="false">IF($B150="","",COUNTIFS(Calibración!$B$3:$B$152,$B150,Calibración!$Q$3:$Q$152,"VENCIDO"))</f>
        <v/>
      </c>
      <c r="J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6" t="str">
        <f aca="false">IF($B151="","",IF(COUNTIFS(Calibración!$B$3:$B$152,$B151,Calibración!$I$3:$I$152,"Sí")&gt;0,"Sí","No"))</f>
        <v/>
      </c>
      <c r="I151" s="17" t="str">
        <f aca="false">IF($B151="","",COUNTIFS(Calibración!$B$3:$B$152,$B151,Calibración!$Q$3:$Q$152,"VENCIDO"))</f>
        <v/>
      </c>
      <c r="J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6" t="str">
        <f aca="false">IF($B152="","",IF(COUNTIFS(Calibración!$B$3:$B$152,$B152,Calibración!$I$3:$I$152,"Sí")&gt;0,"Sí","No"))</f>
        <v/>
      </c>
      <c r="I152" s="17" t="str">
        <f aca="false">IF($B152="","",COUNTIFS(Calibración!$B$3:$B$152,$B152,Calibración!$Q$3:$Q$152,"VENCIDO"))</f>
        <v/>
      </c>
      <c r="J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6" t="str">
        <f aca="false">IF($B153="","",IF(COUNTIFS(Calibración!$B$3:$B$152,$B153,Calibración!$I$3:$I$152,"Sí")&gt;0,"Sí","No"))</f>
        <v/>
      </c>
      <c r="I153" s="17" t="str">
        <f aca="false">IF($B153="","",COUNTIFS(Calibración!$B$3:$B$152,$B153,Calibración!$Q$3:$Q$152,"VENCIDO"))</f>
        <v/>
      </c>
      <c r="J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6" t="str">
        <f aca="false">IF($B154="","",IF(COUNTIFS(Calibración!$B$3:$B$152,$B154,Calibración!$I$3:$I$152,"Sí")&gt;0,"Sí","No"))</f>
        <v/>
      </c>
      <c r="I154" s="17" t="str">
        <f aca="false">IF($B154="","",COUNTIFS(Calibración!$B$3:$B$152,$B154,Calibración!$Q$3:$Q$152,"VENCIDO"))</f>
        <v/>
      </c>
      <c r="J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6" t="str">
        <f aca="false">IF($B155="","",IF(COUNTIFS(Calibración!$B$3:$B$152,$B155,Calibración!$I$3:$I$152,"Sí")&gt;0,"Sí","No"))</f>
        <v/>
      </c>
      <c r="I155" s="17" t="str">
        <f aca="false">IF($B155="","",COUNTIFS(Calibración!$B$3:$B$152,$B155,Calibración!$Q$3:$Q$152,"VENCIDO"))</f>
        <v/>
      </c>
      <c r="J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6" t="str">
        <f aca="false">IF($B156="","",IF(COUNTIFS(Calibración!$B$3:$B$152,$B156,Calibración!$I$3:$I$152,"Sí")&gt;0,"Sí","No"))</f>
        <v/>
      </c>
      <c r="I156" s="17" t="str">
        <f aca="false">IF($B156="","",COUNTIFS(Calibración!$B$3:$B$152,$B156,Calibración!$Q$3:$Q$152,"VENCIDO"))</f>
        <v/>
      </c>
      <c r="J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6" t="str">
        <f aca="false">IF($B157="","",IF(COUNTIFS(Calibración!$B$3:$B$152,$B157,Calibración!$I$3:$I$152,"Sí")&gt;0,"Sí","No"))</f>
        <v/>
      </c>
      <c r="I157" s="17" t="str">
        <f aca="false">IF($B157="","",COUNTIFS(Calibración!$B$3:$B$152,$B157,Calibración!$Q$3:$Q$152,"VENCIDO"))</f>
        <v/>
      </c>
      <c r="J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6" t="str">
        <f aca="false">IF($B158="","",IF(COUNTIFS(Calibración!$B$3:$B$152,$B158,Calibración!$I$3:$I$152,"Sí")&gt;0,"Sí","No"))</f>
        <v/>
      </c>
      <c r="I158" s="17" t="str">
        <f aca="false">IF($B158="","",COUNTIFS(Calibración!$B$3:$B$152,$B158,Calibración!$Q$3:$Q$152,"VENCIDO"))</f>
        <v/>
      </c>
      <c r="J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6" t="str">
        <f aca="false">IF($B159="","",IF(COUNTIFS(Calibración!$B$3:$B$152,$B159,Calibración!$I$3:$I$152,"Sí")&gt;0,"Sí","No"))</f>
        <v/>
      </c>
      <c r="I159" s="17" t="str">
        <f aca="false">IF($B159="","",COUNTIFS(Calibración!$B$3:$B$152,$B159,Calibración!$Q$3:$Q$152,"VENCIDO"))</f>
        <v/>
      </c>
      <c r="J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6" t="str">
        <f aca="false">IF($B160="","",IF(COUNTIFS(Calibración!$B$3:$B$152,$B160,Calibración!$I$3:$I$152,"Sí")&gt;0,"Sí","No"))</f>
        <v/>
      </c>
      <c r="I160" s="17" t="str">
        <f aca="false">IF($B160="","",COUNTIFS(Calibración!$B$3:$B$152,$B160,Calibración!$Q$3:$Q$152,"VENCIDO"))</f>
        <v/>
      </c>
      <c r="J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6" t="str">
        <f aca="false">IF($B161="","",IF(COUNTIFS(Calibración!$B$3:$B$152,$B161,Calibración!$I$3:$I$152,"Sí")&gt;0,"Sí","No"))</f>
        <v/>
      </c>
      <c r="I161" s="17" t="str">
        <f aca="false">IF($B161="","",COUNTIFS(Calibración!$B$3:$B$152,$B161,Calibración!$Q$3:$Q$152,"VENCIDO"))</f>
        <v/>
      </c>
      <c r="J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6" t="str">
        <f aca="false">IF($B162="","",IF(COUNTIFS(Calibración!$B$3:$B$152,$B162,Calibración!$I$3:$I$152,"Sí")&gt;0,"Sí","No"))</f>
        <v/>
      </c>
      <c r="I162" s="17" t="str">
        <f aca="false">IF($B162="","",COUNTIFS(Calibración!$B$3:$B$152,$B162,Calibración!$Q$3:$Q$152,"VENCIDO"))</f>
        <v/>
      </c>
      <c r="J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6" t="str">
        <f aca="false">IF($B163="","",IF(COUNTIFS(Calibración!$B$3:$B$152,$B163,Calibración!$I$3:$I$152,"Sí")&gt;0,"Sí","No"))</f>
        <v/>
      </c>
      <c r="I163" s="17" t="str">
        <f aca="false">IF($B163="","",COUNTIFS(Calibración!$B$3:$B$152,$B163,Calibración!$Q$3:$Q$152,"VENCIDO"))</f>
        <v/>
      </c>
      <c r="J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6" t="str">
        <f aca="false">IF($B164="","",IF(COUNTIFS(Calibración!$B$3:$B$152,$B164,Calibración!$I$3:$I$152,"Sí")&gt;0,"Sí","No"))</f>
        <v/>
      </c>
      <c r="I164" s="17" t="str">
        <f aca="false">IF($B164="","",COUNTIFS(Calibración!$B$3:$B$152,$B164,Calibración!$Q$3:$Q$152,"VENCIDO"))</f>
        <v/>
      </c>
      <c r="J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6" t="str">
        <f aca="false">IF($B165="","",IF(COUNTIFS(Calibración!$B$3:$B$152,$B165,Calibración!$I$3:$I$152,"Sí")&gt;0,"Sí","No"))</f>
        <v/>
      </c>
      <c r="I165" s="17" t="str">
        <f aca="false">IF($B165="","",COUNTIFS(Calibración!$B$3:$B$152,$B165,Calibración!$Q$3:$Q$152,"VENCIDO"))</f>
        <v/>
      </c>
      <c r="J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6" t="str">
        <f aca="false">IF($B166="","",IF(COUNTIFS(Calibración!$B$3:$B$152,$B166,Calibración!$I$3:$I$152,"Sí")&gt;0,"Sí","No"))</f>
        <v/>
      </c>
      <c r="I166" s="17" t="str">
        <f aca="false">IF($B166="","",COUNTIFS(Calibración!$B$3:$B$152,$B166,Calibración!$Q$3:$Q$152,"VENCIDO"))</f>
        <v/>
      </c>
      <c r="J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6" t="str">
        <f aca="false">IF($B167="","",IF(COUNTIFS(Calibración!$B$3:$B$152,$B167,Calibración!$I$3:$I$152,"Sí")&gt;0,"Sí","No"))</f>
        <v/>
      </c>
      <c r="I167" s="17" t="str">
        <f aca="false">IF($B167="","",COUNTIFS(Calibración!$B$3:$B$152,$B167,Calibración!$Q$3:$Q$152,"VENCIDO"))</f>
        <v/>
      </c>
      <c r="J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6" t="str">
        <f aca="false">IF($B168="","",IF(COUNTIFS(Calibración!$B$3:$B$152,$B168,Calibración!$I$3:$I$152,"Sí")&gt;0,"Sí","No"))</f>
        <v/>
      </c>
      <c r="I168" s="17" t="str">
        <f aca="false">IF($B168="","",COUNTIFS(Calibración!$B$3:$B$152,$B168,Calibración!$Q$3:$Q$152,"VENCIDO"))</f>
        <v/>
      </c>
      <c r="J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6" t="str">
        <f aca="false">IF($B169="","",IF(COUNTIFS(Calibración!$B$3:$B$152,$B169,Calibración!$I$3:$I$152,"Sí")&gt;0,"Sí","No"))</f>
        <v/>
      </c>
      <c r="I169" s="17" t="str">
        <f aca="false">IF($B169="","",COUNTIFS(Calibración!$B$3:$B$152,$B169,Calibración!$Q$3:$Q$152,"VENCIDO"))</f>
        <v/>
      </c>
      <c r="J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6" t="str">
        <f aca="false">IF($B170="","",IF(COUNTIFS(Calibración!$B$3:$B$152,$B170,Calibración!$I$3:$I$152,"Sí")&gt;0,"Sí","No"))</f>
        <v/>
      </c>
      <c r="I170" s="17" t="str">
        <f aca="false">IF($B170="","",COUNTIFS(Calibración!$B$3:$B$152,$B170,Calibración!$Q$3:$Q$152,"VENCIDO"))</f>
        <v/>
      </c>
      <c r="J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6" t="str">
        <f aca="false">IF($B171="","",IF(COUNTIFS(Calibración!$B$3:$B$152,$B171,Calibración!$I$3:$I$152,"Sí")&gt;0,"Sí","No"))</f>
        <v/>
      </c>
      <c r="I171" s="17" t="str">
        <f aca="false">IF($B171="","",COUNTIFS(Calibración!$B$3:$B$152,$B171,Calibración!$Q$3:$Q$152,"VENCIDO"))</f>
        <v/>
      </c>
      <c r="J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6" t="str">
        <f aca="false">IF($B172="","",IF(COUNTIFS(Calibración!$B$3:$B$152,$B172,Calibración!$I$3:$I$152,"Sí")&gt;0,"Sí","No"))</f>
        <v/>
      </c>
      <c r="I172" s="17" t="str">
        <f aca="false">IF($B172="","",COUNTIFS(Calibración!$B$3:$B$152,$B172,Calibración!$Q$3:$Q$152,"VENCIDO"))</f>
        <v/>
      </c>
      <c r="J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6" t="str">
        <f aca="false">IF($B173="","",IF(COUNTIFS(Calibración!$B$3:$B$152,$B173,Calibración!$I$3:$I$152,"Sí")&gt;0,"Sí","No"))</f>
        <v/>
      </c>
      <c r="I173" s="17" t="str">
        <f aca="false">IF($B173="","",COUNTIFS(Calibración!$B$3:$B$152,$B173,Calibración!$Q$3:$Q$152,"VENCIDO"))</f>
        <v/>
      </c>
      <c r="J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6" t="str">
        <f aca="false">IF($B174="","",IF(COUNTIFS(Calibración!$B$3:$B$152,$B174,Calibración!$I$3:$I$152,"Sí")&gt;0,"Sí","No"))</f>
        <v/>
      </c>
      <c r="I174" s="17" t="str">
        <f aca="false">IF($B174="","",COUNTIFS(Calibración!$B$3:$B$152,$B174,Calibración!$Q$3:$Q$152,"VENCIDO"))</f>
        <v/>
      </c>
      <c r="J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6" t="str">
        <f aca="false">IF($B175="","",IF(COUNTIFS(Calibración!$B$3:$B$152,$B175,Calibración!$I$3:$I$152,"Sí")&gt;0,"Sí","No"))</f>
        <v/>
      </c>
      <c r="I175" s="17" t="str">
        <f aca="false">IF($B175="","",COUNTIFS(Calibración!$B$3:$B$152,$B175,Calibración!$Q$3:$Q$152,"VENCIDO"))</f>
        <v/>
      </c>
      <c r="J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6" t="str">
        <f aca="false">IF($B176="","",IF(COUNTIFS(Calibración!$B$3:$B$152,$B176,Calibración!$I$3:$I$152,"Sí")&gt;0,"Sí","No"))</f>
        <v/>
      </c>
      <c r="I176" s="17" t="str">
        <f aca="false">IF($B176="","",COUNTIFS(Calibración!$B$3:$B$152,$B176,Calibración!$Q$3:$Q$152,"VENCIDO"))</f>
        <v/>
      </c>
      <c r="J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6" t="str">
        <f aca="false">IF($B177="","",IF(COUNTIFS(Calibración!$B$3:$B$152,$B177,Calibración!$I$3:$I$152,"Sí")&gt;0,"Sí","No"))</f>
        <v/>
      </c>
      <c r="I177" s="17" t="str">
        <f aca="false">IF($B177="","",COUNTIFS(Calibración!$B$3:$B$152,$B177,Calibración!$Q$3:$Q$152,"VENCIDO"))</f>
        <v/>
      </c>
      <c r="J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6" t="str">
        <f aca="false">IF($B178="","",IF(COUNTIFS(Calibración!$B$3:$B$152,$B178,Calibración!$I$3:$I$152,"Sí")&gt;0,"Sí","No"))</f>
        <v/>
      </c>
      <c r="I178" s="17" t="str">
        <f aca="false">IF($B178="","",COUNTIFS(Calibración!$B$3:$B$152,$B178,Calibración!$Q$3:$Q$152,"VENCIDO"))</f>
        <v/>
      </c>
      <c r="J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6" t="str">
        <f aca="false">IF($B179="","",IF(COUNTIFS(Calibración!$B$3:$B$152,$B179,Calibración!$I$3:$I$152,"Sí")&gt;0,"Sí","No"))</f>
        <v/>
      </c>
      <c r="I179" s="17" t="str">
        <f aca="false">IF($B179="","",COUNTIFS(Calibración!$B$3:$B$152,$B179,Calibración!$Q$3:$Q$152,"VENCIDO"))</f>
        <v/>
      </c>
      <c r="J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6" t="str">
        <f aca="false">IF($B180="","",IF(COUNTIFS(Calibración!$B$3:$B$152,$B180,Calibración!$I$3:$I$152,"Sí")&gt;0,"Sí","No"))</f>
        <v/>
      </c>
      <c r="I180" s="17" t="str">
        <f aca="false">IF($B180="","",COUNTIFS(Calibración!$B$3:$B$152,$B180,Calibración!$Q$3:$Q$152,"VENCIDO"))</f>
        <v/>
      </c>
      <c r="J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6" t="str">
        <f aca="false">IF($B181="","",IF(COUNTIFS(Calibración!$B$3:$B$152,$B181,Calibración!$I$3:$I$152,"Sí")&gt;0,"Sí","No"))</f>
        <v/>
      </c>
      <c r="I181" s="17" t="str">
        <f aca="false">IF($B181="","",COUNTIFS(Calibración!$B$3:$B$152,$B181,Calibración!$Q$3:$Q$152,"VENCIDO"))</f>
        <v/>
      </c>
      <c r="J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6" t="str">
        <f aca="false">IF($B182="","",IF(COUNTIFS(Calibración!$B$3:$B$152,$B182,Calibración!$I$3:$I$152,"Sí")&gt;0,"Sí","No"))</f>
        <v/>
      </c>
      <c r="I182" s="17" t="str">
        <f aca="false">IF($B182="","",COUNTIFS(Calibración!$B$3:$B$152,$B182,Calibración!$Q$3:$Q$152,"VENCIDO"))</f>
        <v/>
      </c>
      <c r="J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6" t="str">
        <f aca="false">IF($B183="","",IF(COUNTIFS(Calibración!$B$3:$B$152,$B183,Calibración!$I$3:$I$152,"Sí")&gt;0,"Sí","No"))</f>
        <v/>
      </c>
      <c r="I183" s="17" t="str">
        <f aca="false">IF($B183="","",COUNTIFS(Calibración!$B$3:$B$152,$B183,Calibración!$Q$3:$Q$152,"VENCIDO"))</f>
        <v/>
      </c>
      <c r="J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6" t="str">
        <f aca="false">IF($B184="","",IF(COUNTIFS(Calibración!$B$3:$B$152,$B184,Calibración!$I$3:$I$152,"Sí")&gt;0,"Sí","No"))</f>
        <v/>
      </c>
      <c r="I184" s="17" t="str">
        <f aca="false">IF($B184="","",COUNTIFS(Calibración!$B$3:$B$152,$B184,Calibración!$Q$3:$Q$152,"VENCIDO"))</f>
        <v/>
      </c>
      <c r="J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6" t="str">
        <f aca="false">IF($B185="","",IF(COUNTIFS(Calibración!$B$3:$B$152,$B185,Calibración!$I$3:$I$152,"Sí")&gt;0,"Sí","No"))</f>
        <v/>
      </c>
      <c r="I185" s="17" t="str">
        <f aca="false">IF($B185="","",COUNTIFS(Calibración!$B$3:$B$152,$B185,Calibración!$Q$3:$Q$152,"VENCIDO"))</f>
        <v/>
      </c>
      <c r="J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6" t="str">
        <f aca="false">IF($B186="","",IF(COUNTIFS(Calibración!$B$3:$B$152,$B186,Calibración!$I$3:$I$152,"Sí")&gt;0,"Sí","No"))</f>
        <v/>
      </c>
      <c r="I186" s="17" t="str">
        <f aca="false">IF($B186="","",COUNTIFS(Calibración!$B$3:$B$152,$B186,Calibración!$Q$3:$Q$152,"VENCIDO"))</f>
        <v/>
      </c>
      <c r="J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6" t="str">
        <f aca="false">IF($B187="","",IF(COUNTIFS(Calibración!$B$3:$B$152,$B187,Calibración!$I$3:$I$152,"Sí")&gt;0,"Sí","No"))</f>
        <v/>
      </c>
      <c r="I187" s="17" t="str">
        <f aca="false">IF($B187="","",COUNTIFS(Calibración!$B$3:$B$152,$B187,Calibración!$Q$3:$Q$152,"VENCIDO"))</f>
        <v/>
      </c>
      <c r="J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6" t="str">
        <f aca="false">IF($B188="","",IF(COUNTIFS(Calibración!$B$3:$B$152,$B188,Calibración!$I$3:$I$152,"Sí")&gt;0,"Sí","No"))</f>
        <v/>
      </c>
      <c r="I188" s="17" t="str">
        <f aca="false">IF($B188="","",COUNTIFS(Calibración!$B$3:$B$152,$B188,Calibración!$Q$3:$Q$152,"VENCIDO"))</f>
        <v/>
      </c>
      <c r="J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6" t="str">
        <f aca="false">IF($B189="","",IF(COUNTIFS(Calibración!$B$3:$B$152,$B189,Calibración!$I$3:$I$152,"Sí")&gt;0,"Sí","No"))</f>
        <v/>
      </c>
      <c r="I189" s="17" t="str">
        <f aca="false">IF($B189="","",COUNTIFS(Calibración!$B$3:$B$152,$B189,Calibración!$Q$3:$Q$152,"VENCIDO"))</f>
        <v/>
      </c>
      <c r="J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6" t="str">
        <f aca="false">IF($B190="","",IF(COUNTIFS(Calibración!$B$3:$B$152,$B190,Calibración!$I$3:$I$152,"Sí")&gt;0,"Sí","No"))</f>
        <v/>
      </c>
      <c r="I190" s="17" t="str">
        <f aca="false">IF($B190="","",COUNTIFS(Calibración!$B$3:$B$152,$B190,Calibración!$Q$3:$Q$152,"VENCIDO"))</f>
        <v/>
      </c>
      <c r="J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6" t="str">
        <f aca="false">IF($B191="","",IF(COUNTIFS(Calibración!$B$3:$B$152,$B191,Calibración!$I$3:$I$152,"Sí")&gt;0,"Sí","No"))</f>
        <v/>
      </c>
      <c r="I191" s="17" t="str">
        <f aca="false">IF($B191="","",COUNTIFS(Calibración!$B$3:$B$152,$B191,Calibración!$Q$3:$Q$152,"VENCIDO"))</f>
        <v/>
      </c>
      <c r="J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6" t="str">
        <f aca="false">IF($B192="","",IF(COUNTIFS(Calibración!$B$3:$B$152,$B192,Calibración!$I$3:$I$152,"Sí")&gt;0,"Sí","No"))</f>
        <v/>
      </c>
      <c r="I192" s="17" t="str">
        <f aca="false">IF($B192="","",COUNTIFS(Calibración!$B$3:$B$152,$B192,Calibración!$Q$3:$Q$152,"VENCIDO"))</f>
        <v/>
      </c>
      <c r="J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6" t="str">
        <f aca="false">IF($B193="","",IF(COUNTIFS(Calibración!$B$3:$B$152,$B193,Calibración!$I$3:$I$152,"Sí")&gt;0,"Sí","No"))</f>
        <v/>
      </c>
      <c r="I193" s="17" t="str">
        <f aca="false">IF($B193="","",COUNTIFS(Calibración!$B$3:$B$152,$B193,Calibración!$Q$3:$Q$152,"VENCIDO"))</f>
        <v/>
      </c>
      <c r="J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6" t="str">
        <f aca="false">IF($B194="","",IF(COUNTIFS(Calibración!$B$3:$B$152,$B194,Calibración!$I$3:$I$152,"Sí")&gt;0,"Sí","No"))</f>
        <v/>
      </c>
      <c r="I194" s="17" t="str">
        <f aca="false">IF($B194="","",COUNTIFS(Calibración!$B$3:$B$152,$B194,Calibración!$Q$3:$Q$152,"VENCIDO"))</f>
        <v/>
      </c>
      <c r="J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6" t="str">
        <f aca="false">IF($B195="","",IF(COUNTIFS(Calibración!$B$3:$B$152,$B195,Calibración!$I$3:$I$152,"Sí")&gt;0,"Sí","No"))</f>
        <v/>
      </c>
      <c r="I195" s="17" t="str">
        <f aca="false">IF($B195="","",COUNTIFS(Calibración!$B$3:$B$152,$B195,Calibración!$Q$3:$Q$152,"VENCIDO"))</f>
        <v/>
      </c>
      <c r="J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6" t="str">
        <f aca="false">IF($B196="","",IF(COUNTIFS(Calibración!$B$3:$B$152,$B196,Calibración!$I$3:$I$152,"Sí")&gt;0,"Sí","No"))</f>
        <v/>
      </c>
      <c r="I196" s="17" t="str">
        <f aca="false">IF($B196="","",COUNTIFS(Calibración!$B$3:$B$152,$B196,Calibración!$Q$3:$Q$152,"VENCIDO"))</f>
        <v/>
      </c>
      <c r="J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6" t="str">
        <f aca="false">IF($B197="","",IF(COUNTIFS(Calibración!$B$3:$B$152,$B197,Calibración!$I$3:$I$152,"Sí")&gt;0,"Sí","No"))</f>
        <v/>
      </c>
      <c r="I197" s="17" t="str">
        <f aca="false">IF($B197="","",COUNTIFS(Calibración!$B$3:$B$152,$B197,Calibración!$Q$3:$Q$152,"VENCIDO"))</f>
        <v/>
      </c>
      <c r="J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6" t="str">
        <f aca="false">IF($B198="","",IF(COUNTIFS(Calibración!$B$3:$B$152,$B198,Calibración!$I$3:$I$152,"Sí")&gt;0,"Sí","No"))</f>
        <v/>
      </c>
      <c r="I198" s="17" t="str">
        <f aca="false">IF($B198="","",COUNTIFS(Calibración!$B$3:$B$152,$B198,Calibración!$Q$3:$Q$152,"VENCIDO"))</f>
        <v/>
      </c>
      <c r="J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6" t="str">
        <f aca="false">IF($B199="","",IF(COUNTIFS(Calibración!$B$3:$B$152,$B199,Calibración!$I$3:$I$152,"Sí")&gt;0,"Sí","No"))</f>
        <v/>
      </c>
      <c r="I199" s="17" t="str">
        <f aca="false">IF($B199="","",COUNTIFS(Calibración!$B$3:$B$152,$B199,Calibración!$Q$3:$Q$152,"VENCIDO"))</f>
        <v/>
      </c>
      <c r="J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6" t="str">
        <f aca="false">IF($B200="","",IF(COUNTIFS(Calibración!$B$3:$B$152,$B200,Calibración!$I$3:$I$152,"Sí")&gt;0,"Sí","No"))</f>
        <v/>
      </c>
      <c r="I200" s="17" t="str">
        <f aca="false">IF($B200="","",COUNTIFS(Calibración!$B$3:$B$152,$B200,Calibración!$Q$3:$Q$152,"VENCIDO"))</f>
        <v/>
      </c>
      <c r="J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6" t="str">
        <f aca="false">IF($B201="","",IF(COUNTIFS(Calibración!$B$3:$B$152,$B201,Calibración!$I$3:$I$152,"Sí")&gt;0,"Sí","No"))</f>
        <v/>
      </c>
      <c r="I201" s="17" t="str">
        <f aca="false">IF($B201="","",COUNTIFS(Calibración!$B$3:$B$152,$B201,Calibración!$Q$3:$Q$152,"VENCIDO"))</f>
        <v/>
      </c>
      <c r="J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6" t="str">
        <f aca="false">IF($B202="","",IF(COUNTIFS(Calibración!$B$3:$B$152,$B202,Calibración!$I$3:$I$152,"Sí")&gt;0,"Sí","No"))</f>
        <v/>
      </c>
      <c r="I202" s="17" t="str">
        <f aca="false">IF($B202="","",COUNTIFS(Calibración!$B$3:$B$152,$B202,Calibración!$Q$3:$Q$152,"VENCIDO"))</f>
        <v/>
      </c>
      <c r="J202" s="15"/>
    </row>
  </sheetData>
  <sheetProtection sheet="true" formatCells="false" formatColumns="false" formatRows="false" insertRows="false" sort="false" autoFilter="false"/>
  <autoFilter ref="A2:J202"/>
  <mergeCells count="2">
    <mergeCell ref="B1:G1"/>
    <mergeCell ref="H1:J1"/>
  </mergeCells>
  <conditionalFormatting sqref="I3:I202">
    <cfRule type="cellIs" priority="2" operator="greaterThan" aboveAverage="0" equalAverage="0" bottom="0" percent="0" rank="0" text="" dxfId="7">
      <formula>0</formula>
    </cfRule>
  </conditionalFormatting>
  <dataValidations count="2">
    <dataValidation allowBlank="true" errorStyle="stop" operator="between" showDropDown="false" showErrorMessage="false" showInputMessage="false" sqref="C3:C202" type="list">
      <formula1>Listas!$F$2:$F$4</formula1>
      <formula2>0</formula2>
    </dataValidation>
    <dataValidation allowBlank="true" errorStyle="stop" operator="between" showDropDown="false" showErrorMessage="false" showInputMessage="false" sqref="G3:G202" type="list">
      <formula1>Listas!$D$2:$D$4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6" min="5" style="0" width="18"/>
  </cols>
  <sheetData>
    <row r="1" customFormat="false" ht="43.5" hidden="false" customHeight="true" outlineLevel="0" collapsed="false">
      <c r="A1" s="1"/>
      <c r="B1" s="2" t="s">
        <v>94</v>
      </c>
      <c r="C1" s="2"/>
      <c r="D1" s="3" t="s">
        <v>1</v>
      </c>
      <c r="E1" s="3"/>
      <c r="F1" s="3"/>
    </row>
    <row r="2" customFormat="false" ht="27.75" hidden="false" customHeight="true" outlineLevel="0" collapsed="false">
      <c r="A2" s="14" t="s">
        <v>95</v>
      </c>
      <c r="B2" s="14" t="s">
        <v>31</v>
      </c>
      <c r="C2" s="14" t="s">
        <v>96</v>
      </c>
      <c r="D2" s="14" t="s">
        <v>97</v>
      </c>
      <c r="E2" s="14" t="s">
        <v>98</v>
      </c>
      <c r="F2" s="14" t="s">
        <v>99</v>
      </c>
    </row>
    <row r="3" customFormat="false" ht="15" hidden="false" customHeight="false" outlineLevel="0" collapsed="false">
      <c r="A3" s="15" t="s">
        <v>100</v>
      </c>
      <c r="B3" s="15" t="s">
        <v>90</v>
      </c>
      <c r="C3" s="15" t="s">
        <v>101</v>
      </c>
      <c r="D3" s="15" t="s">
        <v>102</v>
      </c>
      <c r="E3" s="18" t="n">
        <v>2</v>
      </c>
      <c r="F3" s="15" t="s">
        <v>103</v>
      </c>
    </row>
    <row r="4" customFormat="false" ht="15" hidden="false" customHeight="false" outlineLevel="0" collapsed="false">
      <c r="A4" s="15" t="s">
        <v>104</v>
      </c>
      <c r="B4" s="15" t="s">
        <v>41</v>
      </c>
      <c r="C4" s="15" t="s">
        <v>105</v>
      </c>
      <c r="D4" s="15" t="s">
        <v>106</v>
      </c>
      <c r="E4" s="18" t="n">
        <v>1</v>
      </c>
      <c r="F4" s="15" t="s">
        <v>103</v>
      </c>
    </row>
    <row r="5" customFormat="false" ht="15" hidden="false" customHeight="false" outlineLevel="0" collapsed="false">
      <c r="A5" s="15" t="s">
        <v>107</v>
      </c>
      <c r="B5" s="15" t="s">
        <v>53</v>
      </c>
      <c r="C5" s="15" t="s">
        <v>108</v>
      </c>
      <c r="D5" s="15" t="s">
        <v>109</v>
      </c>
      <c r="E5" s="18" t="n">
        <v>26</v>
      </c>
      <c r="F5" s="15" t="s">
        <v>110</v>
      </c>
    </row>
    <row r="6" customFormat="false" ht="15" hidden="false" customHeight="false" outlineLevel="0" collapsed="false">
      <c r="A6" s="15"/>
      <c r="B6" s="15"/>
      <c r="C6" s="15"/>
      <c r="D6" s="15"/>
      <c r="E6" s="18"/>
      <c r="F6" s="15"/>
    </row>
    <row r="7" customFormat="false" ht="15" hidden="false" customHeight="false" outlineLevel="0" collapsed="false">
      <c r="A7" s="15"/>
      <c r="B7" s="15"/>
      <c r="C7" s="15"/>
      <c r="D7" s="15"/>
      <c r="E7" s="18"/>
      <c r="F7" s="15"/>
    </row>
    <row r="8" customFormat="false" ht="15" hidden="false" customHeight="false" outlineLevel="0" collapsed="false">
      <c r="A8" s="15"/>
      <c r="B8" s="15"/>
      <c r="C8" s="15"/>
      <c r="D8" s="15"/>
      <c r="E8" s="18"/>
      <c r="F8" s="15"/>
    </row>
    <row r="9" customFormat="false" ht="15" hidden="false" customHeight="false" outlineLevel="0" collapsed="false">
      <c r="A9" s="15"/>
      <c r="B9" s="15"/>
      <c r="C9" s="15"/>
      <c r="D9" s="15"/>
      <c r="E9" s="18"/>
      <c r="F9" s="15"/>
    </row>
    <row r="10" customFormat="false" ht="15" hidden="false" customHeight="false" outlineLevel="0" collapsed="false">
      <c r="A10" s="15"/>
      <c r="B10" s="15"/>
      <c r="C10" s="15"/>
      <c r="D10" s="15"/>
      <c r="E10" s="18"/>
      <c r="F10" s="15"/>
    </row>
    <row r="11" customFormat="false" ht="15" hidden="false" customHeight="false" outlineLevel="0" collapsed="false">
      <c r="A11" s="15"/>
      <c r="B11" s="15"/>
      <c r="C11" s="15"/>
      <c r="D11" s="15"/>
      <c r="E11" s="18"/>
      <c r="F11" s="15"/>
    </row>
    <row r="12" customFormat="false" ht="15" hidden="false" customHeight="false" outlineLevel="0" collapsed="false">
      <c r="A12" s="15"/>
      <c r="B12" s="15"/>
      <c r="C12" s="15"/>
      <c r="D12" s="15"/>
      <c r="E12" s="18"/>
      <c r="F12" s="15"/>
    </row>
    <row r="13" customFormat="false" ht="15" hidden="false" customHeight="false" outlineLevel="0" collapsed="false">
      <c r="A13" s="15"/>
      <c r="B13" s="15"/>
      <c r="C13" s="15"/>
      <c r="D13" s="15"/>
      <c r="E13" s="18"/>
      <c r="F13" s="15"/>
    </row>
    <row r="14" customFormat="false" ht="15" hidden="false" customHeight="false" outlineLevel="0" collapsed="false">
      <c r="A14" s="15"/>
      <c r="B14" s="15"/>
      <c r="C14" s="15"/>
      <c r="D14" s="15"/>
      <c r="E14" s="18"/>
      <c r="F14" s="15"/>
    </row>
    <row r="15" customFormat="false" ht="15" hidden="false" customHeight="false" outlineLevel="0" collapsed="false">
      <c r="A15" s="15"/>
      <c r="B15" s="15"/>
      <c r="C15" s="15"/>
      <c r="D15" s="15"/>
      <c r="E15" s="18"/>
      <c r="F15" s="15"/>
    </row>
    <row r="16" customFormat="false" ht="15" hidden="false" customHeight="false" outlineLevel="0" collapsed="false">
      <c r="A16" s="15"/>
      <c r="B16" s="15"/>
      <c r="C16" s="15"/>
      <c r="D16" s="15"/>
      <c r="E16" s="18"/>
      <c r="F16" s="15"/>
    </row>
    <row r="17" customFormat="false" ht="15" hidden="false" customHeight="false" outlineLevel="0" collapsed="false">
      <c r="A17" s="15"/>
      <c r="B17" s="15"/>
      <c r="C17" s="15"/>
      <c r="D17" s="15"/>
      <c r="E17" s="18"/>
      <c r="F17" s="15"/>
    </row>
    <row r="18" customFormat="false" ht="15" hidden="false" customHeight="false" outlineLevel="0" collapsed="false">
      <c r="A18" s="15"/>
      <c r="B18" s="15"/>
      <c r="C18" s="15"/>
      <c r="D18" s="15"/>
      <c r="E18" s="18"/>
      <c r="F18" s="15"/>
    </row>
    <row r="19" customFormat="false" ht="15" hidden="false" customHeight="false" outlineLevel="0" collapsed="false">
      <c r="A19" s="15"/>
      <c r="B19" s="15"/>
      <c r="C19" s="15"/>
      <c r="D19" s="15"/>
      <c r="E19" s="18"/>
      <c r="F19" s="15"/>
    </row>
    <row r="20" customFormat="false" ht="15" hidden="false" customHeight="false" outlineLevel="0" collapsed="false">
      <c r="A20" s="15"/>
      <c r="B20" s="15"/>
      <c r="C20" s="15"/>
      <c r="D20" s="15"/>
      <c r="E20" s="18"/>
      <c r="F20" s="15"/>
    </row>
    <row r="21" customFormat="false" ht="15" hidden="false" customHeight="false" outlineLevel="0" collapsed="false">
      <c r="A21" s="15"/>
      <c r="B21" s="15"/>
      <c r="C21" s="15"/>
      <c r="D21" s="15"/>
      <c r="E21" s="18"/>
      <c r="F21" s="15"/>
    </row>
    <row r="22" customFormat="false" ht="15" hidden="false" customHeight="false" outlineLevel="0" collapsed="false">
      <c r="A22" s="15"/>
      <c r="B22" s="15"/>
      <c r="C22" s="15"/>
      <c r="D22" s="15"/>
      <c r="E22" s="18"/>
      <c r="F22" s="15"/>
    </row>
    <row r="23" customFormat="false" ht="15" hidden="false" customHeight="false" outlineLevel="0" collapsed="false">
      <c r="A23" s="15"/>
      <c r="B23" s="15"/>
      <c r="C23" s="15"/>
      <c r="D23" s="15"/>
      <c r="E23" s="18"/>
      <c r="F23" s="15"/>
    </row>
    <row r="24" customFormat="false" ht="15" hidden="false" customHeight="false" outlineLevel="0" collapsed="false">
      <c r="A24" s="15"/>
      <c r="B24" s="15"/>
      <c r="C24" s="15"/>
      <c r="D24" s="15"/>
      <c r="E24" s="18"/>
      <c r="F24" s="15"/>
    </row>
    <row r="25" customFormat="false" ht="15" hidden="false" customHeight="false" outlineLevel="0" collapsed="false">
      <c r="A25" s="15"/>
      <c r="B25" s="15"/>
      <c r="C25" s="15"/>
      <c r="D25" s="15"/>
      <c r="E25" s="18"/>
      <c r="F25" s="15"/>
    </row>
    <row r="26" customFormat="false" ht="15" hidden="false" customHeight="false" outlineLevel="0" collapsed="false">
      <c r="A26" s="15"/>
      <c r="B26" s="15"/>
      <c r="C26" s="15"/>
      <c r="D26" s="15"/>
      <c r="E26" s="18"/>
      <c r="F26" s="15"/>
    </row>
    <row r="27" customFormat="false" ht="15" hidden="false" customHeight="false" outlineLevel="0" collapsed="false">
      <c r="A27" s="15"/>
      <c r="B27" s="15"/>
      <c r="C27" s="15"/>
      <c r="D27" s="15"/>
      <c r="E27" s="18"/>
      <c r="F27" s="15"/>
    </row>
    <row r="28" customFormat="false" ht="15" hidden="false" customHeight="false" outlineLevel="0" collapsed="false">
      <c r="A28" s="15"/>
      <c r="B28" s="15"/>
      <c r="C28" s="15"/>
      <c r="D28" s="15"/>
      <c r="E28" s="18"/>
      <c r="F28" s="15"/>
    </row>
    <row r="29" customFormat="false" ht="15" hidden="false" customHeight="false" outlineLevel="0" collapsed="false">
      <c r="A29" s="15"/>
      <c r="B29" s="15"/>
      <c r="C29" s="15"/>
      <c r="D29" s="15"/>
      <c r="E29" s="18"/>
      <c r="F29" s="15"/>
    </row>
    <row r="30" customFormat="false" ht="15" hidden="false" customHeight="false" outlineLevel="0" collapsed="false">
      <c r="A30" s="15"/>
      <c r="B30" s="15"/>
      <c r="C30" s="15"/>
      <c r="D30" s="15"/>
      <c r="E30" s="18"/>
      <c r="F30" s="15"/>
    </row>
    <row r="31" customFormat="false" ht="15" hidden="false" customHeight="false" outlineLevel="0" collapsed="false">
      <c r="A31" s="15"/>
      <c r="B31" s="15"/>
      <c r="C31" s="15"/>
      <c r="D31" s="15"/>
      <c r="E31" s="18"/>
      <c r="F31" s="15"/>
    </row>
    <row r="32" customFormat="false" ht="15" hidden="false" customHeight="false" outlineLevel="0" collapsed="false">
      <c r="A32" s="15"/>
      <c r="B32" s="15"/>
      <c r="C32" s="15"/>
      <c r="D32" s="15"/>
      <c r="E32" s="18"/>
      <c r="F32" s="15"/>
    </row>
    <row r="33" customFormat="false" ht="15" hidden="false" customHeight="false" outlineLevel="0" collapsed="false">
      <c r="A33" s="15"/>
      <c r="B33" s="15"/>
      <c r="C33" s="15"/>
      <c r="D33" s="15"/>
      <c r="E33" s="18"/>
      <c r="F33" s="15"/>
    </row>
    <row r="34" customFormat="false" ht="15" hidden="false" customHeight="false" outlineLevel="0" collapsed="false">
      <c r="A34" s="15"/>
      <c r="B34" s="15"/>
      <c r="C34" s="15"/>
      <c r="D34" s="15"/>
      <c r="E34" s="18"/>
      <c r="F34" s="15"/>
    </row>
    <row r="35" customFormat="false" ht="15" hidden="false" customHeight="false" outlineLevel="0" collapsed="false">
      <c r="A35" s="15"/>
      <c r="B35" s="15"/>
      <c r="C35" s="15"/>
      <c r="D35" s="15"/>
      <c r="E35" s="18"/>
      <c r="F35" s="15"/>
    </row>
    <row r="36" customFormat="false" ht="15" hidden="false" customHeight="false" outlineLevel="0" collapsed="false">
      <c r="A36" s="15"/>
      <c r="B36" s="15"/>
      <c r="C36" s="15"/>
      <c r="D36" s="15"/>
      <c r="E36" s="18"/>
      <c r="F36" s="15"/>
    </row>
    <row r="37" customFormat="false" ht="15" hidden="false" customHeight="false" outlineLevel="0" collapsed="false">
      <c r="A37" s="15"/>
      <c r="B37" s="15"/>
      <c r="C37" s="15"/>
      <c r="D37" s="15"/>
      <c r="E37" s="18"/>
      <c r="F37" s="15"/>
    </row>
    <row r="38" customFormat="false" ht="15" hidden="false" customHeight="false" outlineLevel="0" collapsed="false">
      <c r="A38" s="15"/>
      <c r="B38" s="15"/>
      <c r="C38" s="15"/>
      <c r="D38" s="15"/>
      <c r="E38" s="18"/>
      <c r="F38" s="15"/>
    </row>
    <row r="39" customFormat="false" ht="15" hidden="false" customHeight="false" outlineLevel="0" collapsed="false">
      <c r="A39" s="15"/>
      <c r="B39" s="15"/>
      <c r="C39" s="15"/>
      <c r="D39" s="15"/>
      <c r="E39" s="18"/>
      <c r="F39" s="15"/>
    </row>
    <row r="40" customFormat="false" ht="15" hidden="false" customHeight="false" outlineLevel="0" collapsed="false">
      <c r="A40" s="15"/>
      <c r="B40" s="15"/>
      <c r="C40" s="15"/>
      <c r="D40" s="15"/>
      <c r="E40" s="18"/>
      <c r="F40" s="15"/>
    </row>
    <row r="41" customFormat="false" ht="15" hidden="false" customHeight="false" outlineLevel="0" collapsed="false">
      <c r="A41" s="15"/>
      <c r="B41" s="15"/>
      <c r="C41" s="15"/>
      <c r="D41" s="15"/>
      <c r="E41" s="18"/>
      <c r="F41" s="15"/>
    </row>
    <row r="42" customFormat="false" ht="15" hidden="false" customHeight="false" outlineLevel="0" collapsed="false">
      <c r="A42" s="15"/>
      <c r="B42" s="15"/>
      <c r="C42" s="15"/>
      <c r="D42" s="15"/>
      <c r="E42" s="18"/>
      <c r="F42" s="15"/>
    </row>
    <row r="43" customFormat="false" ht="15" hidden="false" customHeight="false" outlineLevel="0" collapsed="false">
      <c r="A43" s="15"/>
      <c r="B43" s="15"/>
      <c r="C43" s="15"/>
      <c r="D43" s="15"/>
      <c r="E43" s="18"/>
      <c r="F43" s="15"/>
    </row>
    <row r="44" customFormat="false" ht="15" hidden="false" customHeight="false" outlineLevel="0" collapsed="false">
      <c r="A44" s="15"/>
      <c r="B44" s="15"/>
      <c r="C44" s="15"/>
      <c r="D44" s="15"/>
      <c r="E44" s="18"/>
      <c r="F44" s="15"/>
    </row>
    <row r="45" customFormat="false" ht="15" hidden="false" customHeight="false" outlineLevel="0" collapsed="false">
      <c r="A45" s="15"/>
      <c r="B45" s="15"/>
      <c r="C45" s="15"/>
      <c r="D45" s="15"/>
      <c r="E45" s="18"/>
      <c r="F45" s="15"/>
    </row>
    <row r="46" customFormat="false" ht="15" hidden="false" customHeight="false" outlineLevel="0" collapsed="false">
      <c r="A46" s="15"/>
      <c r="B46" s="15"/>
      <c r="C46" s="15"/>
      <c r="D46" s="15"/>
      <c r="E46" s="18"/>
      <c r="F46" s="15"/>
    </row>
    <row r="47" customFormat="false" ht="15" hidden="false" customHeight="false" outlineLevel="0" collapsed="false">
      <c r="A47" s="15"/>
      <c r="B47" s="15"/>
      <c r="C47" s="15"/>
      <c r="D47" s="15"/>
      <c r="E47" s="18"/>
      <c r="F47" s="15"/>
    </row>
    <row r="48" customFormat="false" ht="15" hidden="false" customHeight="false" outlineLevel="0" collapsed="false">
      <c r="A48" s="15"/>
      <c r="B48" s="15"/>
      <c r="C48" s="15"/>
      <c r="D48" s="15"/>
      <c r="E48" s="18"/>
      <c r="F48" s="15"/>
    </row>
    <row r="49" customFormat="false" ht="15" hidden="false" customHeight="false" outlineLevel="0" collapsed="false">
      <c r="A49" s="15"/>
      <c r="B49" s="15"/>
      <c r="C49" s="15"/>
      <c r="D49" s="15"/>
      <c r="E49" s="18"/>
      <c r="F49" s="15"/>
    </row>
    <row r="50" customFormat="false" ht="15" hidden="false" customHeight="false" outlineLevel="0" collapsed="false">
      <c r="A50" s="15"/>
      <c r="B50" s="15"/>
      <c r="C50" s="15"/>
      <c r="D50" s="15"/>
      <c r="E50" s="18"/>
      <c r="F50" s="15"/>
    </row>
    <row r="51" customFormat="false" ht="15" hidden="false" customHeight="false" outlineLevel="0" collapsed="false">
      <c r="A51" s="15"/>
      <c r="B51" s="15"/>
      <c r="C51" s="15"/>
      <c r="D51" s="15"/>
      <c r="E51" s="18"/>
      <c r="F51" s="15"/>
    </row>
    <row r="52" customFormat="false" ht="15" hidden="false" customHeight="false" outlineLevel="0" collapsed="false">
      <c r="A52" s="15"/>
      <c r="B52" s="15"/>
      <c r="C52" s="15"/>
      <c r="D52" s="15"/>
      <c r="E52" s="18"/>
      <c r="F52" s="15"/>
    </row>
    <row r="53" customFormat="false" ht="15" hidden="false" customHeight="false" outlineLevel="0" collapsed="false">
      <c r="A53" s="15"/>
      <c r="B53" s="15"/>
      <c r="C53" s="15"/>
      <c r="D53" s="15"/>
      <c r="E53" s="18"/>
      <c r="F53" s="15"/>
    </row>
    <row r="54" customFormat="false" ht="15" hidden="false" customHeight="false" outlineLevel="0" collapsed="false">
      <c r="A54" s="15"/>
      <c r="B54" s="15"/>
      <c r="C54" s="15"/>
      <c r="D54" s="15"/>
      <c r="E54" s="18"/>
      <c r="F54" s="15"/>
    </row>
    <row r="55" customFormat="false" ht="15" hidden="false" customHeight="false" outlineLevel="0" collapsed="false">
      <c r="A55" s="15"/>
      <c r="B55" s="15"/>
      <c r="C55" s="15"/>
      <c r="D55" s="15"/>
      <c r="E55" s="18"/>
      <c r="F55" s="15"/>
    </row>
    <row r="56" customFormat="false" ht="15" hidden="false" customHeight="false" outlineLevel="0" collapsed="false">
      <c r="A56" s="15"/>
      <c r="B56" s="15"/>
      <c r="C56" s="15"/>
      <c r="D56" s="15"/>
      <c r="E56" s="18"/>
      <c r="F56" s="15"/>
    </row>
    <row r="57" customFormat="false" ht="15" hidden="false" customHeight="false" outlineLevel="0" collapsed="false">
      <c r="A57" s="15"/>
      <c r="B57" s="15"/>
      <c r="C57" s="15"/>
      <c r="D57" s="15"/>
      <c r="E57" s="18"/>
      <c r="F57" s="15"/>
    </row>
    <row r="58" customFormat="false" ht="15" hidden="false" customHeight="false" outlineLevel="0" collapsed="false">
      <c r="A58" s="15"/>
      <c r="B58" s="15"/>
      <c r="C58" s="15"/>
      <c r="D58" s="15"/>
      <c r="E58" s="18"/>
      <c r="F58" s="15"/>
    </row>
    <row r="59" customFormat="false" ht="15" hidden="false" customHeight="false" outlineLevel="0" collapsed="false">
      <c r="A59" s="15"/>
      <c r="B59" s="15"/>
      <c r="C59" s="15"/>
      <c r="D59" s="15"/>
      <c r="E59" s="18"/>
      <c r="F59" s="15"/>
    </row>
    <row r="60" customFormat="false" ht="15" hidden="false" customHeight="false" outlineLevel="0" collapsed="false">
      <c r="A60" s="15"/>
      <c r="B60" s="15"/>
      <c r="C60" s="15"/>
      <c r="D60" s="15"/>
      <c r="E60" s="18"/>
      <c r="F60" s="15"/>
    </row>
    <row r="61" customFormat="false" ht="15" hidden="false" customHeight="false" outlineLevel="0" collapsed="false">
      <c r="A61" s="15"/>
      <c r="B61" s="15"/>
      <c r="C61" s="15"/>
      <c r="D61" s="15"/>
      <c r="E61" s="18"/>
      <c r="F61" s="15"/>
    </row>
    <row r="62" customFormat="false" ht="15" hidden="false" customHeight="false" outlineLevel="0" collapsed="false">
      <c r="A62" s="15"/>
      <c r="B62" s="15"/>
      <c r="C62" s="15"/>
      <c r="D62" s="15"/>
      <c r="E62" s="18"/>
      <c r="F62" s="15"/>
    </row>
  </sheetData>
  <sheetProtection sheet="true" formatCells="false" formatColumns="false" formatRows="false" insertRows="false" sort="false" autoFilter="false"/>
  <mergeCells count="2">
    <mergeCell ref="B1:C1"/>
    <mergeCell ref="D1:F1"/>
  </mergeCells>
  <dataValidations count="3">
    <dataValidation allowBlank="true" errorStyle="stop" operator="between" showDropDown="false" showErrorMessage="false" showInputMessage="false" sqref="B3:B62" type="list">
      <formula1>Equipos!$B$3:$B$202</formula1>
      <formula2>0</formula2>
    </dataValidation>
    <dataValidation allowBlank="true" errorStyle="stop" operator="between" showDropDown="false" showErrorMessage="false" showInputMessage="false" sqref="D3:D62" type="list">
      <formula1>Listas!$A$2:$A$8</formula1>
      <formula2>0</formula2>
    </dataValidation>
    <dataValidation allowBlank="true" error="Captura un número entre 1 y 52." errorStyle="stop" errorTitle="Semana inválida" operator="between" showDropDown="false" showErrorMessage="false" showInputMessage="false" sqref="E3:E62" type="whole">
      <formula1>1</formula1>
      <formula2>52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F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55" min="4" style="0" width="3.4"/>
    <col collapsed="false" customWidth="true" hidden="false" outlineLevel="0" max="58" min="56" style="0" width="8"/>
  </cols>
  <sheetData>
    <row r="1" customFormat="false" ht="43.5" hidden="false" customHeight="true" outlineLevel="0" collapsed="false">
      <c r="A1" s="1"/>
      <c r="B1" s="2" t="s">
        <v>111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 t="s">
        <v>1</v>
      </c>
      <c r="BE1" s="3"/>
      <c r="BF1" s="3"/>
    </row>
    <row r="2" customFormat="false" ht="15" hidden="false" customHeight="false" outlineLevel="0" collapsed="false">
      <c r="A2" s="19" t="s">
        <v>112</v>
      </c>
      <c r="B2" s="20" t="n">
        <v>2026</v>
      </c>
      <c r="C2" s="21" t="s">
        <v>113</v>
      </c>
    </row>
    <row r="3" customFormat="false" ht="15" hidden="false" customHeight="false" outlineLevel="0" collapsed="false">
      <c r="D3" s="22" t="str">
        <f aca="false">TEXT(DATE($B$2,1,1)+(1-1)*7,"[$-C0A]mmm")</f>
        <v>ene</v>
      </c>
      <c r="E3" s="22" t="str">
        <f aca="false">TEXT(DATE($B$2,1,1)+(2-1)*7,"[$-C0A]mmm")</f>
        <v>ene</v>
      </c>
      <c r="F3" s="22" t="str">
        <f aca="false">TEXT(DATE($B$2,1,1)+(3-1)*7,"[$-C0A]mmm")</f>
        <v>ene</v>
      </c>
      <c r="G3" s="22" t="str">
        <f aca="false">TEXT(DATE($B$2,1,1)+(4-1)*7,"[$-C0A]mmm")</f>
        <v>ene</v>
      </c>
      <c r="H3" s="22" t="str">
        <f aca="false">TEXT(DATE($B$2,1,1)+(5-1)*7,"[$-C0A]mmm")</f>
        <v>ene</v>
      </c>
      <c r="I3" s="22" t="str">
        <f aca="false">TEXT(DATE($B$2,1,1)+(6-1)*7,"[$-C0A]mmm")</f>
        <v>feb</v>
      </c>
      <c r="J3" s="22" t="str">
        <f aca="false">TEXT(DATE($B$2,1,1)+(7-1)*7,"[$-C0A]mmm")</f>
        <v>feb</v>
      </c>
      <c r="K3" s="22" t="str">
        <f aca="false">TEXT(DATE($B$2,1,1)+(8-1)*7,"[$-C0A]mmm")</f>
        <v>feb</v>
      </c>
      <c r="L3" s="22" t="str">
        <f aca="false">TEXT(DATE($B$2,1,1)+(9-1)*7,"[$-C0A]mmm")</f>
        <v>feb</v>
      </c>
      <c r="M3" s="22" t="str">
        <f aca="false">TEXT(DATE($B$2,1,1)+(10-1)*7,"[$-C0A]mmm")</f>
        <v>mar</v>
      </c>
      <c r="N3" s="22" t="str">
        <f aca="false">TEXT(DATE($B$2,1,1)+(11-1)*7,"[$-C0A]mmm")</f>
        <v>mar</v>
      </c>
      <c r="O3" s="22" t="str">
        <f aca="false">TEXT(DATE($B$2,1,1)+(12-1)*7,"[$-C0A]mmm")</f>
        <v>mar</v>
      </c>
      <c r="P3" s="22" t="str">
        <f aca="false">TEXT(DATE($B$2,1,1)+(13-1)*7,"[$-C0A]mmm")</f>
        <v>mar</v>
      </c>
      <c r="Q3" s="22" t="str">
        <f aca="false">TEXT(DATE($B$2,1,1)+(14-1)*7,"[$-C0A]mmm")</f>
        <v>abr</v>
      </c>
      <c r="R3" s="22" t="str">
        <f aca="false">TEXT(DATE($B$2,1,1)+(15-1)*7,"[$-C0A]mmm")</f>
        <v>abr</v>
      </c>
      <c r="S3" s="22" t="str">
        <f aca="false">TEXT(DATE($B$2,1,1)+(16-1)*7,"[$-C0A]mmm")</f>
        <v>abr</v>
      </c>
      <c r="T3" s="22" t="str">
        <f aca="false">TEXT(DATE($B$2,1,1)+(17-1)*7,"[$-C0A]mmm")</f>
        <v>abr</v>
      </c>
      <c r="U3" s="22" t="str">
        <f aca="false">TEXT(DATE($B$2,1,1)+(18-1)*7,"[$-C0A]mmm")</f>
        <v>abr</v>
      </c>
      <c r="V3" s="22" t="str">
        <f aca="false">TEXT(DATE($B$2,1,1)+(19-1)*7,"[$-C0A]mmm")</f>
        <v>may</v>
      </c>
      <c r="W3" s="22" t="str">
        <f aca="false">TEXT(DATE($B$2,1,1)+(20-1)*7,"[$-C0A]mmm")</f>
        <v>may</v>
      </c>
      <c r="X3" s="22" t="str">
        <f aca="false">TEXT(DATE($B$2,1,1)+(21-1)*7,"[$-C0A]mmm")</f>
        <v>may</v>
      </c>
      <c r="Y3" s="22" t="str">
        <f aca="false">TEXT(DATE($B$2,1,1)+(22-1)*7,"[$-C0A]mmm")</f>
        <v>may</v>
      </c>
      <c r="Z3" s="22" t="str">
        <f aca="false">TEXT(DATE($B$2,1,1)+(23-1)*7,"[$-C0A]mmm")</f>
        <v>jun</v>
      </c>
      <c r="AA3" s="22" t="str">
        <f aca="false">TEXT(DATE($B$2,1,1)+(24-1)*7,"[$-C0A]mmm")</f>
        <v>jun</v>
      </c>
      <c r="AB3" s="22" t="str">
        <f aca="false">TEXT(DATE($B$2,1,1)+(25-1)*7,"[$-C0A]mmm")</f>
        <v>jun</v>
      </c>
      <c r="AC3" s="22" t="str">
        <f aca="false">TEXT(DATE($B$2,1,1)+(26-1)*7,"[$-C0A]mmm")</f>
        <v>jun</v>
      </c>
      <c r="AD3" s="22" t="str">
        <f aca="false">TEXT(DATE($B$2,1,1)+(27-1)*7,"[$-C0A]mmm")</f>
        <v>jul</v>
      </c>
      <c r="AE3" s="22" t="str">
        <f aca="false">TEXT(DATE($B$2,1,1)+(28-1)*7,"[$-C0A]mmm")</f>
        <v>jul</v>
      </c>
      <c r="AF3" s="22" t="str">
        <f aca="false">TEXT(DATE($B$2,1,1)+(29-1)*7,"[$-C0A]mmm")</f>
        <v>jul</v>
      </c>
      <c r="AG3" s="22" t="str">
        <f aca="false">TEXT(DATE($B$2,1,1)+(30-1)*7,"[$-C0A]mmm")</f>
        <v>jul</v>
      </c>
      <c r="AH3" s="22" t="str">
        <f aca="false">TEXT(DATE($B$2,1,1)+(31-1)*7,"[$-C0A]mmm")</f>
        <v>jul</v>
      </c>
      <c r="AI3" s="22" t="str">
        <f aca="false">TEXT(DATE($B$2,1,1)+(32-1)*7,"[$-C0A]mmm")</f>
        <v>ago</v>
      </c>
      <c r="AJ3" s="22" t="str">
        <f aca="false">TEXT(DATE($B$2,1,1)+(33-1)*7,"[$-C0A]mmm")</f>
        <v>ago</v>
      </c>
      <c r="AK3" s="22" t="str">
        <f aca="false">TEXT(DATE($B$2,1,1)+(34-1)*7,"[$-C0A]mmm")</f>
        <v>ago</v>
      </c>
      <c r="AL3" s="22" t="str">
        <f aca="false">TEXT(DATE($B$2,1,1)+(35-1)*7,"[$-C0A]mmm")</f>
        <v>ago</v>
      </c>
      <c r="AM3" s="22" t="str">
        <f aca="false">TEXT(DATE($B$2,1,1)+(36-1)*7,"[$-C0A]mmm")</f>
        <v>sep</v>
      </c>
      <c r="AN3" s="22" t="str">
        <f aca="false">TEXT(DATE($B$2,1,1)+(37-1)*7,"[$-C0A]mmm")</f>
        <v>sep</v>
      </c>
      <c r="AO3" s="22" t="str">
        <f aca="false">TEXT(DATE($B$2,1,1)+(38-1)*7,"[$-C0A]mmm")</f>
        <v>sep</v>
      </c>
      <c r="AP3" s="22" t="str">
        <f aca="false">TEXT(DATE($B$2,1,1)+(39-1)*7,"[$-C0A]mmm")</f>
        <v>sep</v>
      </c>
      <c r="AQ3" s="22" t="str">
        <f aca="false">TEXT(DATE($B$2,1,1)+(40-1)*7,"[$-C0A]mmm")</f>
        <v>oct</v>
      </c>
      <c r="AR3" s="22" t="str">
        <f aca="false">TEXT(DATE($B$2,1,1)+(41-1)*7,"[$-C0A]mmm")</f>
        <v>oct</v>
      </c>
      <c r="AS3" s="22" t="str">
        <f aca="false">TEXT(DATE($B$2,1,1)+(42-1)*7,"[$-C0A]mmm")</f>
        <v>oct</v>
      </c>
      <c r="AT3" s="22" t="str">
        <f aca="false">TEXT(DATE($B$2,1,1)+(43-1)*7,"[$-C0A]mmm")</f>
        <v>oct</v>
      </c>
      <c r="AU3" s="22" t="str">
        <f aca="false">TEXT(DATE($B$2,1,1)+(44-1)*7,"[$-C0A]mmm")</f>
        <v>oct</v>
      </c>
      <c r="AV3" s="22" t="str">
        <f aca="false">TEXT(DATE($B$2,1,1)+(45-1)*7,"[$-C0A]mmm")</f>
        <v>nov</v>
      </c>
      <c r="AW3" s="22" t="str">
        <f aca="false">TEXT(DATE($B$2,1,1)+(46-1)*7,"[$-C0A]mmm")</f>
        <v>nov</v>
      </c>
      <c r="AX3" s="22" t="str">
        <f aca="false">TEXT(DATE($B$2,1,1)+(47-1)*7,"[$-C0A]mmm")</f>
        <v>nov</v>
      </c>
      <c r="AY3" s="22" t="str">
        <f aca="false">TEXT(DATE($B$2,1,1)+(48-1)*7,"[$-C0A]mmm")</f>
        <v>nov</v>
      </c>
      <c r="AZ3" s="22" t="str">
        <f aca="false">TEXT(DATE($B$2,1,1)+(49-1)*7,"[$-C0A]mmm")</f>
        <v>dic</v>
      </c>
      <c r="BA3" s="22" t="str">
        <f aca="false">TEXT(DATE($B$2,1,1)+(50-1)*7,"[$-C0A]mmm")</f>
        <v>dic</v>
      </c>
      <c r="BB3" s="22" t="str">
        <f aca="false">TEXT(DATE($B$2,1,1)+(51-1)*7,"[$-C0A]mmm")</f>
        <v>dic</v>
      </c>
      <c r="BC3" s="22" t="str">
        <f aca="false">TEXT(DATE($B$2,1,1)+(52-1)*7,"[$-C0A]mmm")</f>
        <v>dic</v>
      </c>
    </row>
    <row r="4" customFormat="false" ht="15" hidden="false" customHeight="false" outlineLevel="0" collapsed="false">
      <c r="A4" s="14" t="s">
        <v>31</v>
      </c>
      <c r="B4" s="14" t="s">
        <v>96</v>
      </c>
      <c r="C4" s="14" t="s">
        <v>114</v>
      </c>
      <c r="D4" s="23" t="n">
        <v>1</v>
      </c>
      <c r="E4" s="23" t="n">
        <v>2</v>
      </c>
      <c r="F4" s="23" t="n">
        <v>3</v>
      </c>
      <c r="G4" s="23" t="n">
        <v>4</v>
      </c>
      <c r="H4" s="23" t="n">
        <v>5</v>
      </c>
      <c r="I4" s="23" t="n">
        <v>6</v>
      </c>
      <c r="J4" s="23" t="n">
        <v>7</v>
      </c>
      <c r="K4" s="23" t="n">
        <v>8</v>
      </c>
      <c r="L4" s="23" t="n">
        <v>9</v>
      </c>
      <c r="M4" s="23" t="n">
        <v>10</v>
      </c>
      <c r="N4" s="23" t="n">
        <v>11</v>
      </c>
      <c r="O4" s="23" t="n">
        <v>12</v>
      </c>
      <c r="P4" s="23" t="n">
        <v>13</v>
      </c>
      <c r="Q4" s="23" t="n">
        <v>14</v>
      </c>
      <c r="R4" s="23" t="n">
        <v>15</v>
      </c>
      <c r="S4" s="23" t="n">
        <v>16</v>
      </c>
      <c r="T4" s="23" t="n">
        <v>17</v>
      </c>
      <c r="U4" s="23" t="n">
        <v>18</v>
      </c>
      <c r="V4" s="23" t="n">
        <v>19</v>
      </c>
      <c r="W4" s="23" t="n">
        <v>20</v>
      </c>
      <c r="X4" s="23" t="n">
        <v>21</v>
      </c>
      <c r="Y4" s="23" t="n">
        <v>22</v>
      </c>
      <c r="Z4" s="23" t="n">
        <v>23</v>
      </c>
      <c r="AA4" s="23" t="n">
        <v>24</v>
      </c>
      <c r="AB4" s="23" t="n">
        <v>25</v>
      </c>
      <c r="AC4" s="23" t="n">
        <v>26</v>
      </c>
      <c r="AD4" s="23" t="n">
        <v>27</v>
      </c>
      <c r="AE4" s="23" t="n">
        <v>28</v>
      </c>
      <c r="AF4" s="23" t="n">
        <v>29</v>
      </c>
      <c r="AG4" s="23" t="n">
        <v>30</v>
      </c>
      <c r="AH4" s="23" t="n">
        <v>31</v>
      </c>
      <c r="AI4" s="23" t="n">
        <v>32</v>
      </c>
      <c r="AJ4" s="23" t="n">
        <v>33</v>
      </c>
      <c r="AK4" s="23" t="n">
        <v>34</v>
      </c>
      <c r="AL4" s="23" t="n">
        <v>35</v>
      </c>
      <c r="AM4" s="23" t="n">
        <v>36</v>
      </c>
      <c r="AN4" s="23" t="n">
        <v>37</v>
      </c>
      <c r="AO4" s="23" t="n">
        <v>38</v>
      </c>
      <c r="AP4" s="23" t="n">
        <v>39</v>
      </c>
      <c r="AQ4" s="23" t="n">
        <v>40</v>
      </c>
      <c r="AR4" s="23" t="n">
        <v>41</v>
      </c>
      <c r="AS4" s="23" t="n">
        <v>42</v>
      </c>
      <c r="AT4" s="23" t="n">
        <v>43</v>
      </c>
      <c r="AU4" s="23" t="n">
        <v>44</v>
      </c>
      <c r="AV4" s="23" t="n">
        <v>45</v>
      </c>
      <c r="AW4" s="23" t="n">
        <v>46</v>
      </c>
      <c r="AX4" s="23" t="n">
        <v>47</v>
      </c>
      <c r="AY4" s="23" t="n">
        <v>48</v>
      </c>
      <c r="AZ4" s="23" t="n">
        <v>49</v>
      </c>
      <c r="BA4" s="23" t="n">
        <v>50</v>
      </c>
      <c r="BB4" s="23" t="n">
        <v>51</v>
      </c>
      <c r="BC4" s="23" t="n">
        <v>52</v>
      </c>
      <c r="BD4" s="14" t="s">
        <v>115</v>
      </c>
      <c r="BE4" s="14" t="s">
        <v>116</v>
      </c>
      <c r="BF4" s="14" t="s">
        <v>117</v>
      </c>
    </row>
    <row r="5" customFormat="false" ht="15" hidden="false" customHeight="false" outlineLevel="0" collapsed="false">
      <c r="A5" s="24" t="str">
        <f aca="false">IF(Actividades!$B3="","",Actividades!$B3)</f>
        <v>Dynamometer</v>
      </c>
      <c r="B5" s="24" t="str">
        <f aca="false">IF(Actividades!$C3="","",Actividades!$C3)</f>
        <v>Limpieza (soplado)</v>
      </c>
      <c r="C5" s="24" t="str">
        <f aca="false">IF($A5="","","Plan")</f>
        <v>Plan</v>
      </c>
      <c r="D5" s="25" t="str">
        <f aca="false">IF($A5="","",IF(AND(N(Actividades!$E3)&gt;0,D$4&gt;=Actividades!$E3,MOD(D$4-Actividades!$E3,IFERROR(VLOOKUP(Actividades!$D3,Listas!$A$2:$B$8,2,0),52))=0),"P",""))</f>
        <v/>
      </c>
      <c r="E5" s="25" t="str">
        <f aca="false">IF($A5="","",IF(AND(N(Actividades!$E3)&gt;0,E$4&gt;=Actividades!$E3,MOD(E$4-Actividades!$E3,IFERROR(VLOOKUP(Actividades!$D3,Listas!$A$2:$B$8,2,0),52))=0),"P",""))</f>
        <v>P</v>
      </c>
      <c r="F5" s="25" t="str">
        <f aca="false">IF($A5="","",IF(AND(N(Actividades!$E3)&gt;0,F$4&gt;=Actividades!$E3,MOD(F$4-Actividades!$E3,IFERROR(VLOOKUP(Actividades!$D3,Listas!$A$2:$B$8,2,0),52))=0),"P",""))</f>
        <v/>
      </c>
      <c r="G5" s="25" t="str">
        <f aca="false">IF($A5="","",IF(AND(N(Actividades!$E3)&gt;0,G$4&gt;=Actividades!$E3,MOD(G$4-Actividades!$E3,IFERROR(VLOOKUP(Actividades!$D3,Listas!$A$2:$B$8,2,0),52))=0),"P",""))</f>
        <v/>
      </c>
      <c r="H5" s="25" t="str">
        <f aca="false">IF($A5="","",IF(AND(N(Actividades!$E3)&gt;0,H$4&gt;=Actividades!$E3,MOD(H$4-Actividades!$E3,IFERROR(VLOOKUP(Actividades!$D3,Listas!$A$2:$B$8,2,0),52))=0),"P",""))</f>
        <v/>
      </c>
      <c r="I5" s="25" t="str">
        <f aca="false">IF($A5="","",IF(AND(N(Actividades!$E3)&gt;0,I$4&gt;=Actividades!$E3,MOD(I$4-Actividades!$E3,IFERROR(VLOOKUP(Actividades!$D3,Listas!$A$2:$B$8,2,0),52))=0),"P",""))</f>
        <v>P</v>
      </c>
      <c r="J5" s="25" t="str">
        <f aca="false">IF($A5="","",IF(AND(N(Actividades!$E3)&gt;0,J$4&gt;=Actividades!$E3,MOD(J$4-Actividades!$E3,IFERROR(VLOOKUP(Actividades!$D3,Listas!$A$2:$B$8,2,0),52))=0),"P",""))</f>
        <v/>
      </c>
      <c r="K5" s="25" t="str">
        <f aca="false">IF($A5="","",IF(AND(N(Actividades!$E3)&gt;0,K$4&gt;=Actividades!$E3,MOD(K$4-Actividades!$E3,IFERROR(VLOOKUP(Actividades!$D3,Listas!$A$2:$B$8,2,0),52))=0),"P",""))</f>
        <v/>
      </c>
      <c r="L5" s="25" t="str">
        <f aca="false">IF($A5="","",IF(AND(N(Actividades!$E3)&gt;0,L$4&gt;=Actividades!$E3,MOD(L$4-Actividades!$E3,IFERROR(VLOOKUP(Actividades!$D3,Listas!$A$2:$B$8,2,0),52))=0),"P",""))</f>
        <v/>
      </c>
      <c r="M5" s="25" t="str">
        <f aca="false">IF($A5="","",IF(AND(N(Actividades!$E3)&gt;0,M$4&gt;=Actividades!$E3,MOD(M$4-Actividades!$E3,IFERROR(VLOOKUP(Actividades!$D3,Listas!$A$2:$B$8,2,0),52))=0),"P",""))</f>
        <v>P</v>
      </c>
      <c r="N5" s="25" t="str">
        <f aca="false">IF($A5="","",IF(AND(N(Actividades!$E3)&gt;0,N$4&gt;=Actividades!$E3,MOD(N$4-Actividades!$E3,IFERROR(VLOOKUP(Actividades!$D3,Listas!$A$2:$B$8,2,0),52))=0),"P",""))</f>
        <v/>
      </c>
      <c r="O5" s="25" t="str">
        <f aca="false">IF($A5="","",IF(AND(N(Actividades!$E3)&gt;0,O$4&gt;=Actividades!$E3,MOD(O$4-Actividades!$E3,IFERROR(VLOOKUP(Actividades!$D3,Listas!$A$2:$B$8,2,0),52))=0),"P",""))</f>
        <v/>
      </c>
      <c r="P5" s="25" t="str">
        <f aca="false">IF($A5="","",IF(AND(N(Actividades!$E3)&gt;0,P$4&gt;=Actividades!$E3,MOD(P$4-Actividades!$E3,IFERROR(VLOOKUP(Actividades!$D3,Listas!$A$2:$B$8,2,0),52))=0),"P",""))</f>
        <v/>
      </c>
      <c r="Q5" s="25" t="str">
        <f aca="false">IF($A5="","",IF(AND(N(Actividades!$E3)&gt;0,Q$4&gt;=Actividades!$E3,MOD(Q$4-Actividades!$E3,IFERROR(VLOOKUP(Actividades!$D3,Listas!$A$2:$B$8,2,0),52))=0),"P",""))</f>
        <v>P</v>
      </c>
      <c r="R5" s="25" t="str">
        <f aca="false">IF($A5="","",IF(AND(N(Actividades!$E3)&gt;0,R$4&gt;=Actividades!$E3,MOD(R$4-Actividades!$E3,IFERROR(VLOOKUP(Actividades!$D3,Listas!$A$2:$B$8,2,0),52))=0),"P",""))</f>
        <v/>
      </c>
      <c r="S5" s="25" t="str">
        <f aca="false">IF($A5="","",IF(AND(N(Actividades!$E3)&gt;0,S$4&gt;=Actividades!$E3,MOD(S$4-Actividades!$E3,IFERROR(VLOOKUP(Actividades!$D3,Listas!$A$2:$B$8,2,0),52))=0),"P",""))</f>
        <v/>
      </c>
      <c r="T5" s="25" t="str">
        <f aca="false">IF($A5="","",IF(AND(N(Actividades!$E3)&gt;0,T$4&gt;=Actividades!$E3,MOD(T$4-Actividades!$E3,IFERROR(VLOOKUP(Actividades!$D3,Listas!$A$2:$B$8,2,0),52))=0),"P",""))</f>
        <v/>
      </c>
      <c r="U5" s="25" t="str">
        <f aca="false">IF($A5="","",IF(AND(N(Actividades!$E3)&gt;0,U$4&gt;=Actividades!$E3,MOD(U$4-Actividades!$E3,IFERROR(VLOOKUP(Actividades!$D3,Listas!$A$2:$B$8,2,0),52))=0),"P",""))</f>
        <v>P</v>
      </c>
      <c r="V5" s="25" t="str">
        <f aca="false">IF($A5="","",IF(AND(N(Actividades!$E3)&gt;0,V$4&gt;=Actividades!$E3,MOD(V$4-Actividades!$E3,IFERROR(VLOOKUP(Actividades!$D3,Listas!$A$2:$B$8,2,0),52))=0),"P",""))</f>
        <v/>
      </c>
      <c r="W5" s="25" t="str">
        <f aca="false">IF($A5="","",IF(AND(N(Actividades!$E3)&gt;0,W$4&gt;=Actividades!$E3,MOD(W$4-Actividades!$E3,IFERROR(VLOOKUP(Actividades!$D3,Listas!$A$2:$B$8,2,0),52))=0),"P",""))</f>
        <v/>
      </c>
      <c r="X5" s="25" t="str">
        <f aca="false">IF($A5="","",IF(AND(N(Actividades!$E3)&gt;0,X$4&gt;=Actividades!$E3,MOD(X$4-Actividades!$E3,IFERROR(VLOOKUP(Actividades!$D3,Listas!$A$2:$B$8,2,0),52))=0),"P",""))</f>
        <v/>
      </c>
      <c r="Y5" s="25" t="str">
        <f aca="false">IF($A5="","",IF(AND(N(Actividades!$E3)&gt;0,Y$4&gt;=Actividades!$E3,MOD(Y$4-Actividades!$E3,IFERROR(VLOOKUP(Actividades!$D3,Listas!$A$2:$B$8,2,0),52))=0),"P",""))</f>
        <v>P</v>
      </c>
      <c r="Z5" s="25" t="str">
        <f aca="false">IF($A5="","",IF(AND(N(Actividades!$E3)&gt;0,Z$4&gt;=Actividades!$E3,MOD(Z$4-Actividades!$E3,IFERROR(VLOOKUP(Actividades!$D3,Listas!$A$2:$B$8,2,0),52))=0),"P",""))</f>
        <v/>
      </c>
      <c r="AA5" s="25" t="str">
        <f aca="false">IF($A5="","",IF(AND(N(Actividades!$E3)&gt;0,AA$4&gt;=Actividades!$E3,MOD(AA$4-Actividades!$E3,IFERROR(VLOOKUP(Actividades!$D3,Listas!$A$2:$B$8,2,0),52))=0),"P",""))</f>
        <v/>
      </c>
      <c r="AB5" s="25" t="str">
        <f aca="false">IF($A5="","",IF(AND(N(Actividades!$E3)&gt;0,AB$4&gt;=Actividades!$E3,MOD(AB$4-Actividades!$E3,IFERROR(VLOOKUP(Actividades!$D3,Listas!$A$2:$B$8,2,0),52))=0),"P",""))</f>
        <v/>
      </c>
      <c r="AC5" s="25" t="str">
        <f aca="false">IF($A5="","",IF(AND(N(Actividades!$E3)&gt;0,AC$4&gt;=Actividades!$E3,MOD(AC$4-Actividades!$E3,IFERROR(VLOOKUP(Actividades!$D3,Listas!$A$2:$B$8,2,0),52))=0),"P",""))</f>
        <v>P</v>
      </c>
      <c r="AD5" s="25" t="str">
        <f aca="false">IF($A5="","",IF(AND(N(Actividades!$E3)&gt;0,AD$4&gt;=Actividades!$E3,MOD(AD$4-Actividades!$E3,IFERROR(VLOOKUP(Actividades!$D3,Listas!$A$2:$B$8,2,0),52))=0),"P",""))</f>
        <v/>
      </c>
      <c r="AE5" s="25" t="str">
        <f aca="false">IF($A5="","",IF(AND(N(Actividades!$E3)&gt;0,AE$4&gt;=Actividades!$E3,MOD(AE$4-Actividades!$E3,IFERROR(VLOOKUP(Actividades!$D3,Listas!$A$2:$B$8,2,0),52))=0),"P",""))</f>
        <v/>
      </c>
      <c r="AF5" s="25" t="str">
        <f aca="false">IF($A5="","",IF(AND(N(Actividades!$E3)&gt;0,AF$4&gt;=Actividades!$E3,MOD(AF$4-Actividades!$E3,IFERROR(VLOOKUP(Actividades!$D3,Listas!$A$2:$B$8,2,0),52))=0),"P",""))</f>
        <v/>
      </c>
      <c r="AG5" s="25" t="str">
        <f aca="false">IF($A5="","",IF(AND(N(Actividades!$E3)&gt;0,AG$4&gt;=Actividades!$E3,MOD(AG$4-Actividades!$E3,IFERROR(VLOOKUP(Actividades!$D3,Listas!$A$2:$B$8,2,0),52))=0),"P",""))</f>
        <v>P</v>
      </c>
      <c r="AH5" s="25" t="str">
        <f aca="false">IF($A5="","",IF(AND(N(Actividades!$E3)&gt;0,AH$4&gt;=Actividades!$E3,MOD(AH$4-Actividades!$E3,IFERROR(VLOOKUP(Actividades!$D3,Listas!$A$2:$B$8,2,0),52))=0),"P",""))</f>
        <v/>
      </c>
      <c r="AI5" s="25" t="str">
        <f aca="false">IF($A5="","",IF(AND(N(Actividades!$E3)&gt;0,AI$4&gt;=Actividades!$E3,MOD(AI$4-Actividades!$E3,IFERROR(VLOOKUP(Actividades!$D3,Listas!$A$2:$B$8,2,0),52))=0),"P",""))</f>
        <v/>
      </c>
      <c r="AJ5" s="25" t="str">
        <f aca="false">IF($A5="","",IF(AND(N(Actividades!$E3)&gt;0,AJ$4&gt;=Actividades!$E3,MOD(AJ$4-Actividades!$E3,IFERROR(VLOOKUP(Actividades!$D3,Listas!$A$2:$B$8,2,0),52))=0),"P",""))</f>
        <v/>
      </c>
      <c r="AK5" s="25" t="str">
        <f aca="false">IF($A5="","",IF(AND(N(Actividades!$E3)&gt;0,AK$4&gt;=Actividades!$E3,MOD(AK$4-Actividades!$E3,IFERROR(VLOOKUP(Actividades!$D3,Listas!$A$2:$B$8,2,0),52))=0),"P",""))</f>
        <v>P</v>
      </c>
      <c r="AL5" s="25" t="str">
        <f aca="false">IF($A5="","",IF(AND(N(Actividades!$E3)&gt;0,AL$4&gt;=Actividades!$E3,MOD(AL$4-Actividades!$E3,IFERROR(VLOOKUP(Actividades!$D3,Listas!$A$2:$B$8,2,0),52))=0),"P",""))</f>
        <v/>
      </c>
      <c r="AM5" s="25" t="str">
        <f aca="false">IF($A5="","",IF(AND(N(Actividades!$E3)&gt;0,AM$4&gt;=Actividades!$E3,MOD(AM$4-Actividades!$E3,IFERROR(VLOOKUP(Actividades!$D3,Listas!$A$2:$B$8,2,0),52))=0),"P",""))</f>
        <v/>
      </c>
      <c r="AN5" s="25" t="str">
        <f aca="false">IF($A5="","",IF(AND(N(Actividades!$E3)&gt;0,AN$4&gt;=Actividades!$E3,MOD(AN$4-Actividades!$E3,IFERROR(VLOOKUP(Actividades!$D3,Listas!$A$2:$B$8,2,0),52))=0),"P",""))</f>
        <v/>
      </c>
      <c r="AO5" s="25" t="str">
        <f aca="false">IF($A5="","",IF(AND(N(Actividades!$E3)&gt;0,AO$4&gt;=Actividades!$E3,MOD(AO$4-Actividades!$E3,IFERROR(VLOOKUP(Actividades!$D3,Listas!$A$2:$B$8,2,0),52))=0),"P",""))</f>
        <v>P</v>
      </c>
      <c r="AP5" s="25" t="str">
        <f aca="false">IF($A5="","",IF(AND(N(Actividades!$E3)&gt;0,AP$4&gt;=Actividades!$E3,MOD(AP$4-Actividades!$E3,IFERROR(VLOOKUP(Actividades!$D3,Listas!$A$2:$B$8,2,0),52))=0),"P",""))</f>
        <v/>
      </c>
      <c r="AQ5" s="25" t="str">
        <f aca="false">IF($A5="","",IF(AND(N(Actividades!$E3)&gt;0,AQ$4&gt;=Actividades!$E3,MOD(AQ$4-Actividades!$E3,IFERROR(VLOOKUP(Actividades!$D3,Listas!$A$2:$B$8,2,0),52))=0),"P",""))</f>
        <v/>
      </c>
      <c r="AR5" s="25" t="str">
        <f aca="false">IF($A5="","",IF(AND(N(Actividades!$E3)&gt;0,AR$4&gt;=Actividades!$E3,MOD(AR$4-Actividades!$E3,IFERROR(VLOOKUP(Actividades!$D3,Listas!$A$2:$B$8,2,0),52))=0),"P",""))</f>
        <v/>
      </c>
      <c r="AS5" s="25" t="str">
        <f aca="false">IF($A5="","",IF(AND(N(Actividades!$E3)&gt;0,AS$4&gt;=Actividades!$E3,MOD(AS$4-Actividades!$E3,IFERROR(VLOOKUP(Actividades!$D3,Listas!$A$2:$B$8,2,0),52))=0),"P",""))</f>
        <v>P</v>
      </c>
      <c r="AT5" s="25" t="str">
        <f aca="false">IF($A5="","",IF(AND(N(Actividades!$E3)&gt;0,AT$4&gt;=Actividades!$E3,MOD(AT$4-Actividades!$E3,IFERROR(VLOOKUP(Actividades!$D3,Listas!$A$2:$B$8,2,0),52))=0),"P",""))</f>
        <v/>
      </c>
      <c r="AU5" s="25" t="str">
        <f aca="false">IF($A5="","",IF(AND(N(Actividades!$E3)&gt;0,AU$4&gt;=Actividades!$E3,MOD(AU$4-Actividades!$E3,IFERROR(VLOOKUP(Actividades!$D3,Listas!$A$2:$B$8,2,0),52))=0),"P",""))</f>
        <v/>
      </c>
      <c r="AV5" s="25" t="str">
        <f aca="false">IF($A5="","",IF(AND(N(Actividades!$E3)&gt;0,AV$4&gt;=Actividades!$E3,MOD(AV$4-Actividades!$E3,IFERROR(VLOOKUP(Actividades!$D3,Listas!$A$2:$B$8,2,0),52))=0),"P",""))</f>
        <v/>
      </c>
      <c r="AW5" s="25" t="str">
        <f aca="false">IF($A5="","",IF(AND(N(Actividades!$E3)&gt;0,AW$4&gt;=Actividades!$E3,MOD(AW$4-Actividades!$E3,IFERROR(VLOOKUP(Actividades!$D3,Listas!$A$2:$B$8,2,0),52))=0),"P",""))</f>
        <v>P</v>
      </c>
      <c r="AX5" s="25" t="str">
        <f aca="false">IF($A5="","",IF(AND(N(Actividades!$E3)&gt;0,AX$4&gt;=Actividades!$E3,MOD(AX$4-Actividades!$E3,IFERROR(VLOOKUP(Actividades!$D3,Listas!$A$2:$B$8,2,0),52))=0),"P",""))</f>
        <v/>
      </c>
      <c r="AY5" s="25" t="str">
        <f aca="false">IF($A5="","",IF(AND(N(Actividades!$E3)&gt;0,AY$4&gt;=Actividades!$E3,MOD(AY$4-Actividades!$E3,IFERROR(VLOOKUP(Actividades!$D3,Listas!$A$2:$B$8,2,0),52))=0),"P",""))</f>
        <v/>
      </c>
      <c r="AZ5" s="25" t="str">
        <f aca="false">IF($A5="","",IF(AND(N(Actividades!$E3)&gt;0,AZ$4&gt;=Actividades!$E3,MOD(AZ$4-Actividades!$E3,IFERROR(VLOOKUP(Actividades!$D3,Listas!$A$2:$B$8,2,0),52))=0),"P",""))</f>
        <v/>
      </c>
      <c r="BA5" s="25" t="str">
        <f aca="false">IF($A5="","",IF(AND(N(Actividades!$E3)&gt;0,BA$4&gt;=Actividades!$E3,MOD(BA$4-Actividades!$E3,IFERROR(VLOOKUP(Actividades!$D3,Listas!$A$2:$B$8,2,0),52))=0),"P",""))</f>
        <v>P</v>
      </c>
      <c r="BB5" s="25" t="str">
        <f aca="false">IF($A5="","",IF(AND(N(Actividades!$E3)&gt;0,BB$4&gt;=Actividades!$E3,MOD(BB$4-Actividades!$E3,IFERROR(VLOOKUP(Actividades!$D3,Listas!$A$2:$B$8,2,0),52))=0),"P",""))</f>
        <v/>
      </c>
      <c r="BC5" s="25" t="str">
        <f aca="false">IF($A5="","",IF(AND(N(Actividades!$E3)&gt;0,BC$4&gt;=Actividades!$E3,MOD(BC$4-Actividades!$E3,IFERROR(VLOOKUP(Actividades!$D3,Listas!$A$2:$B$8,2,0),52))=0),"P",""))</f>
        <v/>
      </c>
      <c r="BD5" s="26" t="n">
        <f aca="false">IF($A5="","",COUNTIF(D5:BC5,"P"))</f>
        <v>13</v>
      </c>
      <c r="BE5" s="26" t="n">
        <f aca="false">IF($A5="","",SUMPRODUCT((D5:BC5="P")*(D6:BC6="✓")))</f>
        <v>1</v>
      </c>
      <c r="BF5" s="27" t="n">
        <f aca="false">IF($A5="","",IF(BD5=0,"",BE5/BD5))</f>
        <v>0.0769230769230769</v>
      </c>
    </row>
    <row r="6" customFormat="false" ht="15" hidden="false" customHeight="false" outlineLevel="0" collapsed="false">
      <c r="A6" s="28"/>
      <c r="B6" s="28"/>
      <c r="C6" s="28" t="str">
        <f aca="false">IF($A5="","","Real")</f>
        <v>Real</v>
      </c>
      <c r="D6" s="29" t="str">
        <f aca="false">IF($A5="","",IF(COUNTIFS(Historial!$B$3:$B$502,$A5,Historial!$C$3:$C$502,$B5,Historial!$G$3:$G$502,D$4,Historial!$H$3:$H$502,$B$2)&gt;0,"✓",""))</f>
        <v/>
      </c>
      <c r="E6" s="29" t="str">
        <f aca="false">IF($A5="","",IF(COUNTIFS(Historial!$B$3:$B$502,$A5,Historial!$C$3:$C$502,$B5,Historial!$G$3:$G$502,E$4,Historial!$H$3:$H$502,$B$2)&gt;0,"✓",""))</f>
        <v>✓</v>
      </c>
      <c r="F6" s="29" t="str">
        <f aca="false">IF($A5="","",IF(COUNTIFS(Historial!$B$3:$B$502,$A5,Historial!$C$3:$C$502,$B5,Historial!$G$3:$G$502,F$4,Historial!$H$3:$H$502,$B$2)&gt;0,"✓",""))</f>
        <v/>
      </c>
      <c r="G6" s="29" t="str">
        <f aca="false">IF($A5="","",IF(COUNTIFS(Historial!$B$3:$B$502,$A5,Historial!$C$3:$C$502,$B5,Historial!$G$3:$G$502,G$4,Historial!$H$3:$H$502,$B$2)&gt;0,"✓",""))</f>
        <v/>
      </c>
      <c r="H6" s="29" t="str">
        <f aca="false">IF($A5="","",IF(COUNTIFS(Historial!$B$3:$B$502,$A5,Historial!$C$3:$C$502,$B5,Historial!$G$3:$G$502,H$4,Historial!$H$3:$H$502,$B$2)&gt;0,"✓",""))</f>
        <v/>
      </c>
      <c r="I6" s="29" t="str">
        <f aca="false">IF($A5="","",IF(COUNTIFS(Historial!$B$3:$B$502,$A5,Historial!$C$3:$C$502,$B5,Historial!$G$3:$G$502,I$4,Historial!$H$3:$H$502,$B$2)&gt;0,"✓",""))</f>
        <v/>
      </c>
      <c r="J6" s="29" t="str">
        <f aca="false">IF($A5="","",IF(COUNTIFS(Historial!$B$3:$B$502,$A5,Historial!$C$3:$C$502,$B5,Historial!$G$3:$G$502,J$4,Historial!$H$3:$H$502,$B$2)&gt;0,"✓",""))</f>
        <v/>
      </c>
      <c r="K6" s="29" t="str">
        <f aca="false">IF($A5="","",IF(COUNTIFS(Historial!$B$3:$B$502,$A5,Historial!$C$3:$C$502,$B5,Historial!$G$3:$G$502,K$4,Historial!$H$3:$H$502,$B$2)&gt;0,"✓",""))</f>
        <v/>
      </c>
      <c r="L6" s="29" t="str">
        <f aca="false">IF($A5="","",IF(COUNTIFS(Historial!$B$3:$B$502,$A5,Historial!$C$3:$C$502,$B5,Historial!$G$3:$G$502,L$4,Historial!$H$3:$H$502,$B$2)&gt;0,"✓",""))</f>
        <v/>
      </c>
      <c r="M6" s="29" t="str">
        <f aca="false">IF($A5="","",IF(COUNTIFS(Historial!$B$3:$B$502,$A5,Historial!$C$3:$C$502,$B5,Historial!$G$3:$G$502,M$4,Historial!$H$3:$H$502,$B$2)&gt;0,"✓",""))</f>
        <v/>
      </c>
      <c r="N6" s="29" t="str">
        <f aca="false">IF($A5="","",IF(COUNTIFS(Historial!$B$3:$B$502,$A5,Historial!$C$3:$C$502,$B5,Historial!$G$3:$G$502,N$4,Historial!$H$3:$H$502,$B$2)&gt;0,"✓",""))</f>
        <v/>
      </c>
      <c r="O6" s="29" t="str">
        <f aca="false">IF($A5="","",IF(COUNTIFS(Historial!$B$3:$B$502,$A5,Historial!$C$3:$C$502,$B5,Historial!$G$3:$G$502,O$4,Historial!$H$3:$H$502,$B$2)&gt;0,"✓",""))</f>
        <v/>
      </c>
      <c r="P6" s="29" t="str">
        <f aca="false">IF($A5="","",IF(COUNTIFS(Historial!$B$3:$B$502,$A5,Historial!$C$3:$C$502,$B5,Historial!$G$3:$G$502,P$4,Historial!$H$3:$H$502,$B$2)&gt;0,"✓",""))</f>
        <v/>
      </c>
      <c r="Q6" s="29" t="str">
        <f aca="false">IF($A5="","",IF(COUNTIFS(Historial!$B$3:$B$502,$A5,Historial!$C$3:$C$502,$B5,Historial!$G$3:$G$502,Q$4,Historial!$H$3:$H$502,$B$2)&gt;0,"✓",""))</f>
        <v/>
      </c>
      <c r="R6" s="29" t="str">
        <f aca="false">IF($A5="","",IF(COUNTIFS(Historial!$B$3:$B$502,$A5,Historial!$C$3:$C$502,$B5,Historial!$G$3:$G$502,R$4,Historial!$H$3:$H$502,$B$2)&gt;0,"✓",""))</f>
        <v/>
      </c>
      <c r="S6" s="29" t="str">
        <f aca="false">IF($A5="","",IF(COUNTIFS(Historial!$B$3:$B$502,$A5,Historial!$C$3:$C$502,$B5,Historial!$G$3:$G$502,S$4,Historial!$H$3:$H$502,$B$2)&gt;0,"✓",""))</f>
        <v/>
      </c>
      <c r="T6" s="29" t="str">
        <f aca="false">IF($A5="","",IF(COUNTIFS(Historial!$B$3:$B$502,$A5,Historial!$C$3:$C$502,$B5,Historial!$G$3:$G$502,T$4,Historial!$H$3:$H$502,$B$2)&gt;0,"✓",""))</f>
        <v/>
      </c>
      <c r="U6" s="29" t="str">
        <f aca="false">IF($A5="","",IF(COUNTIFS(Historial!$B$3:$B$502,$A5,Historial!$C$3:$C$502,$B5,Historial!$G$3:$G$502,U$4,Historial!$H$3:$H$502,$B$2)&gt;0,"✓",""))</f>
        <v/>
      </c>
      <c r="V6" s="29" t="str">
        <f aca="false">IF($A5="","",IF(COUNTIFS(Historial!$B$3:$B$502,$A5,Historial!$C$3:$C$502,$B5,Historial!$G$3:$G$502,V$4,Historial!$H$3:$H$502,$B$2)&gt;0,"✓",""))</f>
        <v/>
      </c>
      <c r="W6" s="29" t="str">
        <f aca="false">IF($A5="","",IF(COUNTIFS(Historial!$B$3:$B$502,$A5,Historial!$C$3:$C$502,$B5,Historial!$G$3:$G$502,W$4,Historial!$H$3:$H$502,$B$2)&gt;0,"✓",""))</f>
        <v/>
      </c>
      <c r="X6" s="29" t="str">
        <f aca="false">IF($A5="","",IF(COUNTIFS(Historial!$B$3:$B$502,$A5,Historial!$C$3:$C$502,$B5,Historial!$G$3:$G$502,X$4,Historial!$H$3:$H$502,$B$2)&gt;0,"✓",""))</f>
        <v/>
      </c>
      <c r="Y6" s="29" t="str">
        <f aca="false">IF($A5="","",IF(COUNTIFS(Historial!$B$3:$B$502,$A5,Historial!$C$3:$C$502,$B5,Historial!$G$3:$G$502,Y$4,Historial!$H$3:$H$502,$B$2)&gt;0,"✓",""))</f>
        <v/>
      </c>
      <c r="Z6" s="29" t="str">
        <f aca="false">IF($A5="","",IF(COUNTIFS(Historial!$B$3:$B$502,$A5,Historial!$C$3:$C$502,$B5,Historial!$G$3:$G$502,Z$4,Historial!$H$3:$H$502,$B$2)&gt;0,"✓",""))</f>
        <v/>
      </c>
      <c r="AA6" s="29" t="str">
        <f aca="false">IF($A5="","",IF(COUNTIFS(Historial!$B$3:$B$502,$A5,Historial!$C$3:$C$502,$B5,Historial!$G$3:$G$502,AA$4,Historial!$H$3:$H$502,$B$2)&gt;0,"✓",""))</f>
        <v/>
      </c>
      <c r="AB6" s="29" t="str">
        <f aca="false">IF($A5="","",IF(COUNTIFS(Historial!$B$3:$B$502,$A5,Historial!$C$3:$C$502,$B5,Historial!$G$3:$G$502,AB$4,Historial!$H$3:$H$502,$B$2)&gt;0,"✓",""))</f>
        <v/>
      </c>
      <c r="AC6" s="29" t="str">
        <f aca="false">IF($A5="","",IF(COUNTIFS(Historial!$B$3:$B$502,$A5,Historial!$C$3:$C$502,$B5,Historial!$G$3:$G$502,AC$4,Historial!$H$3:$H$502,$B$2)&gt;0,"✓",""))</f>
        <v/>
      </c>
      <c r="AD6" s="29" t="str">
        <f aca="false">IF($A5="","",IF(COUNTIFS(Historial!$B$3:$B$502,$A5,Historial!$C$3:$C$502,$B5,Historial!$G$3:$G$502,AD$4,Historial!$H$3:$H$502,$B$2)&gt;0,"✓",""))</f>
        <v/>
      </c>
      <c r="AE6" s="29" t="str">
        <f aca="false">IF($A5="","",IF(COUNTIFS(Historial!$B$3:$B$502,$A5,Historial!$C$3:$C$502,$B5,Historial!$G$3:$G$502,AE$4,Historial!$H$3:$H$502,$B$2)&gt;0,"✓",""))</f>
        <v/>
      </c>
      <c r="AF6" s="29" t="str">
        <f aca="false">IF($A5="","",IF(COUNTIFS(Historial!$B$3:$B$502,$A5,Historial!$C$3:$C$502,$B5,Historial!$G$3:$G$502,AF$4,Historial!$H$3:$H$502,$B$2)&gt;0,"✓",""))</f>
        <v/>
      </c>
      <c r="AG6" s="29" t="str">
        <f aca="false">IF($A5="","",IF(COUNTIFS(Historial!$B$3:$B$502,$A5,Historial!$C$3:$C$502,$B5,Historial!$G$3:$G$502,AG$4,Historial!$H$3:$H$502,$B$2)&gt;0,"✓",""))</f>
        <v/>
      </c>
      <c r="AH6" s="29" t="str">
        <f aca="false">IF($A5="","",IF(COUNTIFS(Historial!$B$3:$B$502,$A5,Historial!$C$3:$C$502,$B5,Historial!$G$3:$G$502,AH$4,Historial!$H$3:$H$502,$B$2)&gt;0,"✓",""))</f>
        <v/>
      </c>
      <c r="AI6" s="29" t="str">
        <f aca="false">IF($A5="","",IF(COUNTIFS(Historial!$B$3:$B$502,$A5,Historial!$C$3:$C$502,$B5,Historial!$G$3:$G$502,AI$4,Historial!$H$3:$H$502,$B$2)&gt;0,"✓",""))</f>
        <v/>
      </c>
      <c r="AJ6" s="29" t="str">
        <f aca="false">IF($A5="","",IF(COUNTIFS(Historial!$B$3:$B$502,$A5,Historial!$C$3:$C$502,$B5,Historial!$G$3:$G$502,AJ$4,Historial!$H$3:$H$502,$B$2)&gt;0,"✓",""))</f>
        <v/>
      </c>
      <c r="AK6" s="29" t="str">
        <f aca="false">IF($A5="","",IF(COUNTIFS(Historial!$B$3:$B$502,$A5,Historial!$C$3:$C$502,$B5,Historial!$G$3:$G$502,AK$4,Historial!$H$3:$H$502,$B$2)&gt;0,"✓",""))</f>
        <v/>
      </c>
      <c r="AL6" s="29" t="str">
        <f aca="false">IF($A5="","",IF(COUNTIFS(Historial!$B$3:$B$502,$A5,Historial!$C$3:$C$502,$B5,Historial!$G$3:$G$502,AL$4,Historial!$H$3:$H$502,$B$2)&gt;0,"✓",""))</f>
        <v/>
      </c>
      <c r="AM6" s="29" t="str">
        <f aca="false">IF($A5="","",IF(COUNTIFS(Historial!$B$3:$B$502,$A5,Historial!$C$3:$C$502,$B5,Historial!$G$3:$G$502,AM$4,Historial!$H$3:$H$502,$B$2)&gt;0,"✓",""))</f>
        <v/>
      </c>
      <c r="AN6" s="29" t="str">
        <f aca="false">IF($A5="","",IF(COUNTIFS(Historial!$B$3:$B$502,$A5,Historial!$C$3:$C$502,$B5,Historial!$G$3:$G$502,AN$4,Historial!$H$3:$H$502,$B$2)&gt;0,"✓",""))</f>
        <v/>
      </c>
      <c r="AO6" s="29" t="str">
        <f aca="false">IF($A5="","",IF(COUNTIFS(Historial!$B$3:$B$502,$A5,Historial!$C$3:$C$502,$B5,Historial!$G$3:$G$502,AO$4,Historial!$H$3:$H$502,$B$2)&gt;0,"✓",""))</f>
        <v/>
      </c>
      <c r="AP6" s="29" t="str">
        <f aca="false">IF($A5="","",IF(COUNTIFS(Historial!$B$3:$B$502,$A5,Historial!$C$3:$C$502,$B5,Historial!$G$3:$G$502,AP$4,Historial!$H$3:$H$502,$B$2)&gt;0,"✓",""))</f>
        <v/>
      </c>
      <c r="AQ6" s="29" t="str">
        <f aca="false">IF($A5="","",IF(COUNTIFS(Historial!$B$3:$B$502,$A5,Historial!$C$3:$C$502,$B5,Historial!$G$3:$G$502,AQ$4,Historial!$H$3:$H$502,$B$2)&gt;0,"✓",""))</f>
        <v/>
      </c>
      <c r="AR6" s="29" t="str">
        <f aca="false">IF($A5="","",IF(COUNTIFS(Historial!$B$3:$B$502,$A5,Historial!$C$3:$C$502,$B5,Historial!$G$3:$G$502,AR$4,Historial!$H$3:$H$502,$B$2)&gt;0,"✓",""))</f>
        <v/>
      </c>
      <c r="AS6" s="29" t="str">
        <f aca="false">IF($A5="","",IF(COUNTIFS(Historial!$B$3:$B$502,$A5,Historial!$C$3:$C$502,$B5,Historial!$G$3:$G$502,AS$4,Historial!$H$3:$H$502,$B$2)&gt;0,"✓",""))</f>
        <v/>
      </c>
      <c r="AT6" s="29" t="str">
        <f aca="false">IF($A5="","",IF(COUNTIFS(Historial!$B$3:$B$502,$A5,Historial!$C$3:$C$502,$B5,Historial!$G$3:$G$502,AT$4,Historial!$H$3:$H$502,$B$2)&gt;0,"✓",""))</f>
        <v/>
      </c>
      <c r="AU6" s="29" t="str">
        <f aca="false">IF($A5="","",IF(COUNTIFS(Historial!$B$3:$B$502,$A5,Historial!$C$3:$C$502,$B5,Historial!$G$3:$G$502,AU$4,Historial!$H$3:$H$502,$B$2)&gt;0,"✓",""))</f>
        <v/>
      </c>
      <c r="AV6" s="29" t="str">
        <f aca="false">IF($A5="","",IF(COUNTIFS(Historial!$B$3:$B$502,$A5,Historial!$C$3:$C$502,$B5,Historial!$G$3:$G$502,AV$4,Historial!$H$3:$H$502,$B$2)&gt;0,"✓",""))</f>
        <v/>
      </c>
      <c r="AW6" s="29" t="str">
        <f aca="false">IF($A5="","",IF(COUNTIFS(Historial!$B$3:$B$502,$A5,Historial!$C$3:$C$502,$B5,Historial!$G$3:$G$502,AW$4,Historial!$H$3:$H$502,$B$2)&gt;0,"✓",""))</f>
        <v/>
      </c>
      <c r="AX6" s="29" t="str">
        <f aca="false">IF($A5="","",IF(COUNTIFS(Historial!$B$3:$B$502,$A5,Historial!$C$3:$C$502,$B5,Historial!$G$3:$G$502,AX$4,Historial!$H$3:$H$502,$B$2)&gt;0,"✓",""))</f>
        <v/>
      </c>
      <c r="AY6" s="29" t="str">
        <f aca="false">IF($A5="","",IF(COUNTIFS(Historial!$B$3:$B$502,$A5,Historial!$C$3:$C$502,$B5,Historial!$G$3:$G$502,AY$4,Historial!$H$3:$H$502,$B$2)&gt;0,"✓",""))</f>
        <v/>
      </c>
      <c r="AZ6" s="29" t="str">
        <f aca="false">IF($A5="","",IF(COUNTIFS(Historial!$B$3:$B$502,$A5,Historial!$C$3:$C$502,$B5,Historial!$G$3:$G$502,AZ$4,Historial!$H$3:$H$502,$B$2)&gt;0,"✓",""))</f>
        <v/>
      </c>
      <c r="BA6" s="29" t="str">
        <f aca="false">IF($A5="","",IF(COUNTIFS(Historial!$B$3:$B$502,$A5,Historial!$C$3:$C$502,$B5,Historial!$G$3:$G$502,BA$4,Historial!$H$3:$H$502,$B$2)&gt;0,"✓",""))</f>
        <v/>
      </c>
      <c r="BB6" s="29" t="str">
        <f aca="false">IF($A5="","",IF(COUNTIFS(Historial!$B$3:$B$502,$A5,Historial!$C$3:$C$502,$B5,Historial!$G$3:$G$502,BB$4,Historial!$H$3:$H$502,$B$2)&gt;0,"✓",""))</f>
        <v/>
      </c>
      <c r="BC6" s="29" t="str">
        <f aca="false">IF($A5="","",IF(COUNTIFS(Historial!$B$3:$B$502,$A5,Historial!$C$3:$C$502,$B5,Historial!$G$3:$G$502,BC$4,Historial!$H$3:$H$502,$B$2)&gt;0,"✓",""))</f>
        <v/>
      </c>
      <c r="BD6" s="29"/>
      <c r="BE6" s="29"/>
      <c r="BF6" s="29"/>
    </row>
    <row r="7" customFormat="false" ht="15" hidden="false" customHeight="false" outlineLevel="0" collapsed="false">
      <c r="A7" s="24" t="str">
        <f aca="false">IF(Actividades!$B4="","",Actividades!$B4)</f>
        <v>HVAC</v>
      </c>
      <c r="B7" s="24" t="str">
        <f aca="false">IF(Actividades!$C4="","",Actividades!$C4)</f>
        <v>Inspección general de filtros</v>
      </c>
      <c r="C7" s="24" t="str">
        <f aca="false">IF($A7="","","Plan")</f>
        <v>Plan</v>
      </c>
      <c r="D7" s="25" t="str">
        <f aca="false">IF($A7="","",IF(AND(N(Actividades!$E4)&gt;0,D$4&gt;=Actividades!$E4,MOD(D$4-Actividades!$E4,IFERROR(VLOOKUP(Actividades!$D4,Listas!$A$2:$B$8,2,0),52))=0),"P",""))</f>
        <v>P</v>
      </c>
      <c r="E7" s="25" t="str">
        <f aca="false">IF($A7="","",IF(AND(N(Actividades!$E4)&gt;0,E$4&gt;=Actividades!$E4,MOD(E$4-Actividades!$E4,IFERROR(VLOOKUP(Actividades!$D4,Listas!$A$2:$B$8,2,0),52))=0),"P",""))</f>
        <v/>
      </c>
      <c r="F7" s="25" t="str">
        <f aca="false">IF($A7="","",IF(AND(N(Actividades!$E4)&gt;0,F$4&gt;=Actividades!$E4,MOD(F$4-Actividades!$E4,IFERROR(VLOOKUP(Actividades!$D4,Listas!$A$2:$B$8,2,0),52))=0),"P",""))</f>
        <v/>
      </c>
      <c r="G7" s="25" t="str">
        <f aca="false">IF($A7="","",IF(AND(N(Actividades!$E4)&gt;0,G$4&gt;=Actividades!$E4,MOD(G$4-Actividades!$E4,IFERROR(VLOOKUP(Actividades!$D4,Listas!$A$2:$B$8,2,0),52))=0),"P",""))</f>
        <v/>
      </c>
      <c r="H7" s="25" t="str">
        <f aca="false">IF($A7="","",IF(AND(N(Actividades!$E4)&gt;0,H$4&gt;=Actividades!$E4,MOD(H$4-Actividades!$E4,IFERROR(VLOOKUP(Actividades!$D4,Listas!$A$2:$B$8,2,0),52))=0),"P",""))</f>
        <v/>
      </c>
      <c r="I7" s="25" t="str">
        <f aca="false">IF($A7="","",IF(AND(N(Actividades!$E4)&gt;0,I$4&gt;=Actividades!$E4,MOD(I$4-Actividades!$E4,IFERROR(VLOOKUP(Actividades!$D4,Listas!$A$2:$B$8,2,0),52))=0),"P",""))</f>
        <v/>
      </c>
      <c r="J7" s="25" t="str">
        <f aca="false">IF($A7="","",IF(AND(N(Actividades!$E4)&gt;0,J$4&gt;=Actividades!$E4,MOD(J$4-Actividades!$E4,IFERROR(VLOOKUP(Actividades!$D4,Listas!$A$2:$B$8,2,0),52))=0),"P",""))</f>
        <v/>
      </c>
      <c r="K7" s="25" t="str">
        <f aca="false">IF($A7="","",IF(AND(N(Actividades!$E4)&gt;0,K$4&gt;=Actividades!$E4,MOD(K$4-Actividades!$E4,IFERROR(VLOOKUP(Actividades!$D4,Listas!$A$2:$B$8,2,0),52))=0),"P",""))</f>
        <v/>
      </c>
      <c r="L7" s="25" t="str">
        <f aca="false">IF($A7="","",IF(AND(N(Actividades!$E4)&gt;0,L$4&gt;=Actividades!$E4,MOD(L$4-Actividades!$E4,IFERROR(VLOOKUP(Actividades!$D4,Listas!$A$2:$B$8,2,0),52))=0),"P",""))</f>
        <v/>
      </c>
      <c r="M7" s="25" t="str">
        <f aca="false">IF($A7="","",IF(AND(N(Actividades!$E4)&gt;0,M$4&gt;=Actividades!$E4,MOD(M$4-Actividades!$E4,IFERROR(VLOOKUP(Actividades!$D4,Listas!$A$2:$B$8,2,0),52))=0),"P",""))</f>
        <v/>
      </c>
      <c r="N7" s="25" t="str">
        <f aca="false">IF($A7="","",IF(AND(N(Actividades!$E4)&gt;0,N$4&gt;=Actividades!$E4,MOD(N$4-Actividades!$E4,IFERROR(VLOOKUP(Actividades!$D4,Listas!$A$2:$B$8,2,0),52))=0),"P",""))</f>
        <v/>
      </c>
      <c r="O7" s="25" t="str">
        <f aca="false">IF($A7="","",IF(AND(N(Actividades!$E4)&gt;0,O$4&gt;=Actividades!$E4,MOD(O$4-Actividades!$E4,IFERROR(VLOOKUP(Actividades!$D4,Listas!$A$2:$B$8,2,0),52))=0),"P",""))</f>
        <v/>
      </c>
      <c r="P7" s="25" t="str">
        <f aca="false">IF($A7="","",IF(AND(N(Actividades!$E4)&gt;0,P$4&gt;=Actividades!$E4,MOD(P$4-Actividades!$E4,IFERROR(VLOOKUP(Actividades!$D4,Listas!$A$2:$B$8,2,0),52))=0),"P",""))</f>
        <v/>
      </c>
      <c r="Q7" s="25" t="str">
        <f aca="false">IF($A7="","",IF(AND(N(Actividades!$E4)&gt;0,Q$4&gt;=Actividades!$E4,MOD(Q$4-Actividades!$E4,IFERROR(VLOOKUP(Actividades!$D4,Listas!$A$2:$B$8,2,0),52))=0),"P",""))</f>
        <v>P</v>
      </c>
      <c r="R7" s="25" t="str">
        <f aca="false">IF($A7="","",IF(AND(N(Actividades!$E4)&gt;0,R$4&gt;=Actividades!$E4,MOD(R$4-Actividades!$E4,IFERROR(VLOOKUP(Actividades!$D4,Listas!$A$2:$B$8,2,0),52))=0),"P",""))</f>
        <v/>
      </c>
      <c r="S7" s="25" t="str">
        <f aca="false">IF($A7="","",IF(AND(N(Actividades!$E4)&gt;0,S$4&gt;=Actividades!$E4,MOD(S$4-Actividades!$E4,IFERROR(VLOOKUP(Actividades!$D4,Listas!$A$2:$B$8,2,0),52))=0),"P",""))</f>
        <v/>
      </c>
      <c r="T7" s="25" t="str">
        <f aca="false">IF($A7="","",IF(AND(N(Actividades!$E4)&gt;0,T$4&gt;=Actividades!$E4,MOD(T$4-Actividades!$E4,IFERROR(VLOOKUP(Actividades!$D4,Listas!$A$2:$B$8,2,0),52))=0),"P",""))</f>
        <v/>
      </c>
      <c r="U7" s="25" t="str">
        <f aca="false">IF($A7="","",IF(AND(N(Actividades!$E4)&gt;0,U$4&gt;=Actividades!$E4,MOD(U$4-Actividades!$E4,IFERROR(VLOOKUP(Actividades!$D4,Listas!$A$2:$B$8,2,0),52))=0),"P",""))</f>
        <v/>
      </c>
      <c r="V7" s="25" t="str">
        <f aca="false">IF($A7="","",IF(AND(N(Actividades!$E4)&gt;0,V$4&gt;=Actividades!$E4,MOD(V$4-Actividades!$E4,IFERROR(VLOOKUP(Actividades!$D4,Listas!$A$2:$B$8,2,0),52))=0),"P",""))</f>
        <v/>
      </c>
      <c r="W7" s="25" t="str">
        <f aca="false">IF($A7="","",IF(AND(N(Actividades!$E4)&gt;0,W$4&gt;=Actividades!$E4,MOD(W$4-Actividades!$E4,IFERROR(VLOOKUP(Actividades!$D4,Listas!$A$2:$B$8,2,0),52))=0),"P",""))</f>
        <v/>
      </c>
      <c r="X7" s="25" t="str">
        <f aca="false">IF($A7="","",IF(AND(N(Actividades!$E4)&gt;0,X$4&gt;=Actividades!$E4,MOD(X$4-Actividades!$E4,IFERROR(VLOOKUP(Actividades!$D4,Listas!$A$2:$B$8,2,0),52))=0),"P",""))</f>
        <v/>
      </c>
      <c r="Y7" s="25" t="str">
        <f aca="false">IF($A7="","",IF(AND(N(Actividades!$E4)&gt;0,Y$4&gt;=Actividades!$E4,MOD(Y$4-Actividades!$E4,IFERROR(VLOOKUP(Actividades!$D4,Listas!$A$2:$B$8,2,0),52))=0),"P",""))</f>
        <v/>
      </c>
      <c r="Z7" s="25" t="str">
        <f aca="false">IF($A7="","",IF(AND(N(Actividades!$E4)&gt;0,Z$4&gt;=Actividades!$E4,MOD(Z$4-Actividades!$E4,IFERROR(VLOOKUP(Actividades!$D4,Listas!$A$2:$B$8,2,0),52))=0),"P",""))</f>
        <v/>
      </c>
      <c r="AA7" s="25" t="str">
        <f aca="false">IF($A7="","",IF(AND(N(Actividades!$E4)&gt;0,AA$4&gt;=Actividades!$E4,MOD(AA$4-Actividades!$E4,IFERROR(VLOOKUP(Actividades!$D4,Listas!$A$2:$B$8,2,0),52))=0),"P",""))</f>
        <v/>
      </c>
      <c r="AB7" s="25" t="str">
        <f aca="false">IF($A7="","",IF(AND(N(Actividades!$E4)&gt;0,AB$4&gt;=Actividades!$E4,MOD(AB$4-Actividades!$E4,IFERROR(VLOOKUP(Actividades!$D4,Listas!$A$2:$B$8,2,0),52))=0),"P",""))</f>
        <v/>
      </c>
      <c r="AC7" s="25" t="str">
        <f aca="false">IF($A7="","",IF(AND(N(Actividades!$E4)&gt;0,AC$4&gt;=Actividades!$E4,MOD(AC$4-Actividades!$E4,IFERROR(VLOOKUP(Actividades!$D4,Listas!$A$2:$B$8,2,0),52))=0),"P",""))</f>
        <v/>
      </c>
      <c r="AD7" s="25" t="str">
        <f aca="false">IF($A7="","",IF(AND(N(Actividades!$E4)&gt;0,AD$4&gt;=Actividades!$E4,MOD(AD$4-Actividades!$E4,IFERROR(VLOOKUP(Actividades!$D4,Listas!$A$2:$B$8,2,0),52))=0),"P",""))</f>
        <v>P</v>
      </c>
      <c r="AE7" s="25" t="str">
        <f aca="false">IF($A7="","",IF(AND(N(Actividades!$E4)&gt;0,AE$4&gt;=Actividades!$E4,MOD(AE$4-Actividades!$E4,IFERROR(VLOOKUP(Actividades!$D4,Listas!$A$2:$B$8,2,0),52))=0),"P",""))</f>
        <v/>
      </c>
      <c r="AF7" s="25" t="str">
        <f aca="false">IF($A7="","",IF(AND(N(Actividades!$E4)&gt;0,AF$4&gt;=Actividades!$E4,MOD(AF$4-Actividades!$E4,IFERROR(VLOOKUP(Actividades!$D4,Listas!$A$2:$B$8,2,0),52))=0),"P",""))</f>
        <v/>
      </c>
      <c r="AG7" s="25" t="str">
        <f aca="false">IF($A7="","",IF(AND(N(Actividades!$E4)&gt;0,AG$4&gt;=Actividades!$E4,MOD(AG$4-Actividades!$E4,IFERROR(VLOOKUP(Actividades!$D4,Listas!$A$2:$B$8,2,0),52))=0),"P",""))</f>
        <v/>
      </c>
      <c r="AH7" s="25" t="str">
        <f aca="false">IF($A7="","",IF(AND(N(Actividades!$E4)&gt;0,AH$4&gt;=Actividades!$E4,MOD(AH$4-Actividades!$E4,IFERROR(VLOOKUP(Actividades!$D4,Listas!$A$2:$B$8,2,0),52))=0),"P",""))</f>
        <v/>
      </c>
      <c r="AI7" s="25" t="str">
        <f aca="false">IF($A7="","",IF(AND(N(Actividades!$E4)&gt;0,AI$4&gt;=Actividades!$E4,MOD(AI$4-Actividades!$E4,IFERROR(VLOOKUP(Actividades!$D4,Listas!$A$2:$B$8,2,0),52))=0),"P",""))</f>
        <v/>
      </c>
      <c r="AJ7" s="25" t="str">
        <f aca="false">IF($A7="","",IF(AND(N(Actividades!$E4)&gt;0,AJ$4&gt;=Actividades!$E4,MOD(AJ$4-Actividades!$E4,IFERROR(VLOOKUP(Actividades!$D4,Listas!$A$2:$B$8,2,0),52))=0),"P",""))</f>
        <v/>
      </c>
      <c r="AK7" s="25" t="str">
        <f aca="false">IF($A7="","",IF(AND(N(Actividades!$E4)&gt;0,AK$4&gt;=Actividades!$E4,MOD(AK$4-Actividades!$E4,IFERROR(VLOOKUP(Actividades!$D4,Listas!$A$2:$B$8,2,0),52))=0),"P",""))</f>
        <v/>
      </c>
      <c r="AL7" s="25" t="str">
        <f aca="false">IF($A7="","",IF(AND(N(Actividades!$E4)&gt;0,AL$4&gt;=Actividades!$E4,MOD(AL$4-Actividades!$E4,IFERROR(VLOOKUP(Actividades!$D4,Listas!$A$2:$B$8,2,0),52))=0),"P",""))</f>
        <v/>
      </c>
      <c r="AM7" s="25" t="str">
        <f aca="false">IF($A7="","",IF(AND(N(Actividades!$E4)&gt;0,AM$4&gt;=Actividades!$E4,MOD(AM$4-Actividades!$E4,IFERROR(VLOOKUP(Actividades!$D4,Listas!$A$2:$B$8,2,0),52))=0),"P",""))</f>
        <v/>
      </c>
      <c r="AN7" s="25" t="str">
        <f aca="false">IF($A7="","",IF(AND(N(Actividades!$E4)&gt;0,AN$4&gt;=Actividades!$E4,MOD(AN$4-Actividades!$E4,IFERROR(VLOOKUP(Actividades!$D4,Listas!$A$2:$B$8,2,0),52))=0),"P",""))</f>
        <v/>
      </c>
      <c r="AO7" s="25" t="str">
        <f aca="false">IF($A7="","",IF(AND(N(Actividades!$E4)&gt;0,AO$4&gt;=Actividades!$E4,MOD(AO$4-Actividades!$E4,IFERROR(VLOOKUP(Actividades!$D4,Listas!$A$2:$B$8,2,0),52))=0),"P",""))</f>
        <v/>
      </c>
      <c r="AP7" s="25" t="str">
        <f aca="false">IF($A7="","",IF(AND(N(Actividades!$E4)&gt;0,AP$4&gt;=Actividades!$E4,MOD(AP$4-Actividades!$E4,IFERROR(VLOOKUP(Actividades!$D4,Listas!$A$2:$B$8,2,0),52))=0),"P",""))</f>
        <v/>
      </c>
      <c r="AQ7" s="25" t="str">
        <f aca="false">IF($A7="","",IF(AND(N(Actividades!$E4)&gt;0,AQ$4&gt;=Actividades!$E4,MOD(AQ$4-Actividades!$E4,IFERROR(VLOOKUP(Actividades!$D4,Listas!$A$2:$B$8,2,0),52))=0),"P",""))</f>
        <v>P</v>
      </c>
      <c r="AR7" s="25" t="str">
        <f aca="false">IF($A7="","",IF(AND(N(Actividades!$E4)&gt;0,AR$4&gt;=Actividades!$E4,MOD(AR$4-Actividades!$E4,IFERROR(VLOOKUP(Actividades!$D4,Listas!$A$2:$B$8,2,0),52))=0),"P",""))</f>
        <v/>
      </c>
      <c r="AS7" s="25" t="str">
        <f aca="false">IF($A7="","",IF(AND(N(Actividades!$E4)&gt;0,AS$4&gt;=Actividades!$E4,MOD(AS$4-Actividades!$E4,IFERROR(VLOOKUP(Actividades!$D4,Listas!$A$2:$B$8,2,0),52))=0),"P",""))</f>
        <v/>
      </c>
      <c r="AT7" s="25" t="str">
        <f aca="false">IF($A7="","",IF(AND(N(Actividades!$E4)&gt;0,AT$4&gt;=Actividades!$E4,MOD(AT$4-Actividades!$E4,IFERROR(VLOOKUP(Actividades!$D4,Listas!$A$2:$B$8,2,0),52))=0),"P",""))</f>
        <v/>
      </c>
      <c r="AU7" s="25" t="str">
        <f aca="false">IF($A7="","",IF(AND(N(Actividades!$E4)&gt;0,AU$4&gt;=Actividades!$E4,MOD(AU$4-Actividades!$E4,IFERROR(VLOOKUP(Actividades!$D4,Listas!$A$2:$B$8,2,0),52))=0),"P",""))</f>
        <v/>
      </c>
      <c r="AV7" s="25" t="str">
        <f aca="false">IF($A7="","",IF(AND(N(Actividades!$E4)&gt;0,AV$4&gt;=Actividades!$E4,MOD(AV$4-Actividades!$E4,IFERROR(VLOOKUP(Actividades!$D4,Listas!$A$2:$B$8,2,0),52))=0),"P",""))</f>
        <v/>
      </c>
      <c r="AW7" s="25" t="str">
        <f aca="false">IF($A7="","",IF(AND(N(Actividades!$E4)&gt;0,AW$4&gt;=Actividades!$E4,MOD(AW$4-Actividades!$E4,IFERROR(VLOOKUP(Actividades!$D4,Listas!$A$2:$B$8,2,0),52))=0),"P",""))</f>
        <v/>
      </c>
      <c r="AX7" s="25" t="str">
        <f aca="false">IF($A7="","",IF(AND(N(Actividades!$E4)&gt;0,AX$4&gt;=Actividades!$E4,MOD(AX$4-Actividades!$E4,IFERROR(VLOOKUP(Actividades!$D4,Listas!$A$2:$B$8,2,0),52))=0),"P",""))</f>
        <v/>
      </c>
      <c r="AY7" s="25" t="str">
        <f aca="false">IF($A7="","",IF(AND(N(Actividades!$E4)&gt;0,AY$4&gt;=Actividades!$E4,MOD(AY$4-Actividades!$E4,IFERROR(VLOOKUP(Actividades!$D4,Listas!$A$2:$B$8,2,0),52))=0),"P",""))</f>
        <v/>
      </c>
      <c r="AZ7" s="25" t="str">
        <f aca="false">IF($A7="","",IF(AND(N(Actividades!$E4)&gt;0,AZ$4&gt;=Actividades!$E4,MOD(AZ$4-Actividades!$E4,IFERROR(VLOOKUP(Actividades!$D4,Listas!$A$2:$B$8,2,0),52))=0),"P",""))</f>
        <v/>
      </c>
      <c r="BA7" s="25" t="str">
        <f aca="false">IF($A7="","",IF(AND(N(Actividades!$E4)&gt;0,BA$4&gt;=Actividades!$E4,MOD(BA$4-Actividades!$E4,IFERROR(VLOOKUP(Actividades!$D4,Listas!$A$2:$B$8,2,0),52))=0),"P",""))</f>
        <v/>
      </c>
      <c r="BB7" s="25" t="str">
        <f aca="false">IF($A7="","",IF(AND(N(Actividades!$E4)&gt;0,BB$4&gt;=Actividades!$E4,MOD(BB$4-Actividades!$E4,IFERROR(VLOOKUP(Actividades!$D4,Listas!$A$2:$B$8,2,0),52))=0),"P",""))</f>
        <v/>
      </c>
      <c r="BC7" s="25" t="str">
        <f aca="false">IF($A7="","",IF(AND(N(Actividades!$E4)&gt;0,BC$4&gt;=Actividades!$E4,MOD(BC$4-Actividades!$E4,IFERROR(VLOOKUP(Actividades!$D4,Listas!$A$2:$B$8,2,0),52))=0),"P",""))</f>
        <v/>
      </c>
      <c r="BD7" s="26" t="n">
        <f aca="false">IF($A7="","",COUNTIF(D7:BC7,"P"))</f>
        <v>4</v>
      </c>
      <c r="BE7" s="26" t="n">
        <f aca="false">IF($A7="","",SUMPRODUCT((D7:BC7="P")*(D8:BC8="✓")))</f>
        <v>0</v>
      </c>
      <c r="BF7" s="27" t="n">
        <f aca="false">IF($A7="","",IF(BD7=0,"",BE7/BD7))</f>
        <v>0</v>
      </c>
    </row>
    <row r="8" customFormat="false" ht="15" hidden="false" customHeight="false" outlineLevel="0" collapsed="false">
      <c r="A8" s="28"/>
      <c r="B8" s="28"/>
      <c r="C8" s="28" t="str">
        <f aca="false">IF($A7="","","Real")</f>
        <v>Real</v>
      </c>
      <c r="D8" s="29" t="str">
        <f aca="false">IF($A7="","",IF(COUNTIFS(Historial!$B$3:$B$502,$A7,Historial!$C$3:$C$502,$B7,Historial!$G$3:$G$502,D$4,Historial!$H$3:$H$502,$B$2)&gt;0,"✓",""))</f>
        <v/>
      </c>
      <c r="E8" s="29" t="str">
        <f aca="false">IF($A7="","",IF(COUNTIFS(Historial!$B$3:$B$502,$A7,Historial!$C$3:$C$502,$B7,Historial!$G$3:$G$502,E$4,Historial!$H$3:$H$502,$B$2)&gt;0,"✓",""))</f>
        <v/>
      </c>
      <c r="F8" s="29" t="str">
        <f aca="false">IF($A7="","",IF(COUNTIFS(Historial!$B$3:$B$502,$A7,Historial!$C$3:$C$502,$B7,Historial!$G$3:$G$502,F$4,Historial!$H$3:$H$502,$B$2)&gt;0,"✓",""))</f>
        <v/>
      </c>
      <c r="G8" s="29" t="str">
        <f aca="false">IF($A7="","",IF(COUNTIFS(Historial!$B$3:$B$502,$A7,Historial!$C$3:$C$502,$B7,Historial!$G$3:$G$502,G$4,Historial!$H$3:$H$502,$B$2)&gt;0,"✓",""))</f>
        <v/>
      </c>
      <c r="H8" s="29" t="str">
        <f aca="false">IF($A7="","",IF(COUNTIFS(Historial!$B$3:$B$502,$A7,Historial!$C$3:$C$502,$B7,Historial!$G$3:$G$502,H$4,Historial!$H$3:$H$502,$B$2)&gt;0,"✓",""))</f>
        <v/>
      </c>
      <c r="I8" s="29" t="str">
        <f aca="false">IF($A7="","",IF(COUNTIFS(Historial!$B$3:$B$502,$A7,Historial!$C$3:$C$502,$B7,Historial!$G$3:$G$502,I$4,Historial!$H$3:$H$502,$B$2)&gt;0,"✓",""))</f>
        <v/>
      </c>
      <c r="J8" s="29" t="str">
        <f aca="false">IF($A7="","",IF(COUNTIFS(Historial!$B$3:$B$502,$A7,Historial!$C$3:$C$502,$B7,Historial!$G$3:$G$502,J$4,Historial!$H$3:$H$502,$B$2)&gt;0,"✓",""))</f>
        <v/>
      </c>
      <c r="K8" s="29" t="str">
        <f aca="false">IF($A7="","",IF(COUNTIFS(Historial!$B$3:$B$502,$A7,Historial!$C$3:$C$502,$B7,Historial!$G$3:$G$502,K$4,Historial!$H$3:$H$502,$B$2)&gt;0,"✓",""))</f>
        <v/>
      </c>
      <c r="L8" s="29" t="str">
        <f aca="false">IF($A7="","",IF(COUNTIFS(Historial!$B$3:$B$502,$A7,Historial!$C$3:$C$502,$B7,Historial!$G$3:$G$502,L$4,Historial!$H$3:$H$502,$B$2)&gt;0,"✓",""))</f>
        <v/>
      </c>
      <c r="M8" s="29" t="str">
        <f aca="false">IF($A7="","",IF(COUNTIFS(Historial!$B$3:$B$502,$A7,Historial!$C$3:$C$502,$B7,Historial!$G$3:$G$502,M$4,Historial!$H$3:$H$502,$B$2)&gt;0,"✓",""))</f>
        <v/>
      </c>
      <c r="N8" s="29" t="str">
        <f aca="false">IF($A7="","",IF(COUNTIFS(Historial!$B$3:$B$502,$A7,Historial!$C$3:$C$502,$B7,Historial!$G$3:$G$502,N$4,Historial!$H$3:$H$502,$B$2)&gt;0,"✓",""))</f>
        <v/>
      </c>
      <c r="O8" s="29" t="str">
        <f aca="false">IF($A7="","",IF(COUNTIFS(Historial!$B$3:$B$502,$A7,Historial!$C$3:$C$502,$B7,Historial!$G$3:$G$502,O$4,Historial!$H$3:$H$502,$B$2)&gt;0,"✓",""))</f>
        <v/>
      </c>
      <c r="P8" s="29" t="str">
        <f aca="false">IF($A7="","",IF(COUNTIFS(Historial!$B$3:$B$502,$A7,Historial!$C$3:$C$502,$B7,Historial!$G$3:$G$502,P$4,Historial!$H$3:$H$502,$B$2)&gt;0,"✓",""))</f>
        <v/>
      </c>
      <c r="Q8" s="29" t="str">
        <f aca="false">IF($A7="","",IF(COUNTIFS(Historial!$B$3:$B$502,$A7,Historial!$C$3:$C$502,$B7,Historial!$G$3:$G$502,Q$4,Historial!$H$3:$H$502,$B$2)&gt;0,"✓",""))</f>
        <v/>
      </c>
      <c r="R8" s="29" t="str">
        <f aca="false">IF($A7="","",IF(COUNTIFS(Historial!$B$3:$B$502,$A7,Historial!$C$3:$C$502,$B7,Historial!$G$3:$G$502,R$4,Historial!$H$3:$H$502,$B$2)&gt;0,"✓",""))</f>
        <v/>
      </c>
      <c r="S8" s="29" t="str">
        <f aca="false">IF($A7="","",IF(COUNTIFS(Historial!$B$3:$B$502,$A7,Historial!$C$3:$C$502,$B7,Historial!$G$3:$G$502,S$4,Historial!$H$3:$H$502,$B$2)&gt;0,"✓",""))</f>
        <v/>
      </c>
      <c r="T8" s="29" t="str">
        <f aca="false">IF($A7="","",IF(COUNTIFS(Historial!$B$3:$B$502,$A7,Historial!$C$3:$C$502,$B7,Historial!$G$3:$G$502,T$4,Historial!$H$3:$H$502,$B$2)&gt;0,"✓",""))</f>
        <v/>
      </c>
      <c r="U8" s="29" t="str">
        <f aca="false">IF($A7="","",IF(COUNTIFS(Historial!$B$3:$B$502,$A7,Historial!$C$3:$C$502,$B7,Historial!$G$3:$G$502,U$4,Historial!$H$3:$H$502,$B$2)&gt;0,"✓",""))</f>
        <v/>
      </c>
      <c r="V8" s="29" t="str">
        <f aca="false">IF($A7="","",IF(COUNTIFS(Historial!$B$3:$B$502,$A7,Historial!$C$3:$C$502,$B7,Historial!$G$3:$G$502,V$4,Historial!$H$3:$H$502,$B$2)&gt;0,"✓",""))</f>
        <v/>
      </c>
      <c r="W8" s="29" t="str">
        <f aca="false">IF($A7="","",IF(COUNTIFS(Historial!$B$3:$B$502,$A7,Historial!$C$3:$C$502,$B7,Historial!$G$3:$G$502,W$4,Historial!$H$3:$H$502,$B$2)&gt;0,"✓",""))</f>
        <v/>
      </c>
      <c r="X8" s="29" t="str">
        <f aca="false">IF($A7="","",IF(COUNTIFS(Historial!$B$3:$B$502,$A7,Historial!$C$3:$C$502,$B7,Historial!$G$3:$G$502,X$4,Historial!$H$3:$H$502,$B$2)&gt;0,"✓",""))</f>
        <v/>
      </c>
      <c r="Y8" s="29" t="str">
        <f aca="false">IF($A7="","",IF(COUNTIFS(Historial!$B$3:$B$502,$A7,Historial!$C$3:$C$502,$B7,Historial!$G$3:$G$502,Y$4,Historial!$H$3:$H$502,$B$2)&gt;0,"✓",""))</f>
        <v/>
      </c>
      <c r="Z8" s="29" t="str">
        <f aca="false">IF($A7="","",IF(COUNTIFS(Historial!$B$3:$B$502,$A7,Historial!$C$3:$C$502,$B7,Historial!$G$3:$G$502,Z$4,Historial!$H$3:$H$502,$B$2)&gt;0,"✓",""))</f>
        <v/>
      </c>
      <c r="AA8" s="29" t="str">
        <f aca="false">IF($A7="","",IF(COUNTIFS(Historial!$B$3:$B$502,$A7,Historial!$C$3:$C$502,$B7,Historial!$G$3:$G$502,AA$4,Historial!$H$3:$H$502,$B$2)&gt;0,"✓",""))</f>
        <v/>
      </c>
      <c r="AB8" s="29" t="str">
        <f aca="false">IF($A7="","",IF(COUNTIFS(Historial!$B$3:$B$502,$A7,Historial!$C$3:$C$502,$B7,Historial!$G$3:$G$502,AB$4,Historial!$H$3:$H$502,$B$2)&gt;0,"✓",""))</f>
        <v/>
      </c>
      <c r="AC8" s="29" t="str">
        <f aca="false">IF($A7="","",IF(COUNTIFS(Historial!$B$3:$B$502,$A7,Historial!$C$3:$C$502,$B7,Historial!$G$3:$G$502,AC$4,Historial!$H$3:$H$502,$B$2)&gt;0,"✓",""))</f>
        <v/>
      </c>
      <c r="AD8" s="29" t="str">
        <f aca="false">IF($A7="","",IF(COUNTIFS(Historial!$B$3:$B$502,$A7,Historial!$C$3:$C$502,$B7,Historial!$G$3:$G$502,AD$4,Historial!$H$3:$H$502,$B$2)&gt;0,"✓",""))</f>
        <v/>
      </c>
      <c r="AE8" s="29" t="str">
        <f aca="false">IF($A7="","",IF(COUNTIFS(Historial!$B$3:$B$502,$A7,Historial!$C$3:$C$502,$B7,Historial!$G$3:$G$502,AE$4,Historial!$H$3:$H$502,$B$2)&gt;0,"✓",""))</f>
        <v/>
      </c>
      <c r="AF8" s="29" t="str">
        <f aca="false">IF($A7="","",IF(COUNTIFS(Historial!$B$3:$B$502,$A7,Historial!$C$3:$C$502,$B7,Historial!$G$3:$G$502,AF$4,Historial!$H$3:$H$502,$B$2)&gt;0,"✓",""))</f>
        <v/>
      </c>
      <c r="AG8" s="29" t="str">
        <f aca="false">IF($A7="","",IF(COUNTIFS(Historial!$B$3:$B$502,$A7,Historial!$C$3:$C$502,$B7,Historial!$G$3:$G$502,AG$4,Historial!$H$3:$H$502,$B$2)&gt;0,"✓",""))</f>
        <v/>
      </c>
      <c r="AH8" s="29" t="str">
        <f aca="false">IF($A7="","",IF(COUNTIFS(Historial!$B$3:$B$502,$A7,Historial!$C$3:$C$502,$B7,Historial!$G$3:$G$502,AH$4,Historial!$H$3:$H$502,$B$2)&gt;0,"✓",""))</f>
        <v/>
      </c>
      <c r="AI8" s="29" t="str">
        <f aca="false">IF($A7="","",IF(COUNTIFS(Historial!$B$3:$B$502,$A7,Historial!$C$3:$C$502,$B7,Historial!$G$3:$G$502,AI$4,Historial!$H$3:$H$502,$B$2)&gt;0,"✓",""))</f>
        <v/>
      </c>
      <c r="AJ8" s="29" t="str">
        <f aca="false">IF($A7="","",IF(COUNTIFS(Historial!$B$3:$B$502,$A7,Historial!$C$3:$C$502,$B7,Historial!$G$3:$G$502,AJ$4,Historial!$H$3:$H$502,$B$2)&gt;0,"✓",""))</f>
        <v/>
      </c>
      <c r="AK8" s="29" t="str">
        <f aca="false">IF($A7="","",IF(COUNTIFS(Historial!$B$3:$B$502,$A7,Historial!$C$3:$C$502,$B7,Historial!$G$3:$G$502,AK$4,Historial!$H$3:$H$502,$B$2)&gt;0,"✓",""))</f>
        <v/>
      </c>
      <c r="AL8" s="29" t="str">
        <f aca="false">IF($A7="","",IF(COUNTIFS(Historial!$B$3:$B$502,$A7,Historial!$C$3:$C$502,$B7,Historial!$G$3:$G$502,AL$4,Historial!$H$3:$H$502,$B$2)&gt;0,"✓",""))</f>
        <v/>
      </c>
      <c r="AM8" s="29" t="str">
        <f aca="false">IF($A7="","",IF(COUNTIFS(Historial!$B$3:$B$502,$A7,Historial!$C$3:$C$502,$B7,Historial!$G$3:$G$502,AM$4,Historial!$H$3:$H$502,$B$2)&gt;0,"✓",""))</f>
        <v/>
      </c>
      <c r="AN8" s="29" t="str">
        <f aca="false">IF($A7="","",IF(COUNTIFS(Historial!$B$3:$B$502,$A7,Historial!$C$3:$C$502,$B7,Historial!$G$3:$G$502,AN$4,Historial!$H$3:$H$502,$B$2)&gt;0,"✓",""))</f>
        <v/>
      </c>
      <c r="AO8" s="29" t="str">
        <f aca="false">IF($A7="","",IF(COUNTIFS(Historial!$B$3:$B$502,$A7,Historial!$C$3:$C$502,$B7,Historial!$G$3:$G$502,AO$4,Historial!$H$3:$H$502,$B$2)&gt;0,"✓",""))</f>
        <v/>
      </c>
      <c r="AP8" s="29" t="str">
        <f aca="false">IF($A7="","",IF(COUNTIFS(Historial!$B$3:$B$502,$A7,Historial!$C$3:$C$502,$B7,Historial!$G$3:$G$502,AP$4,Historial!$H$3:$H$502,$B$2)&gt;0,"✓",""))</f>
        <v/>
      </c>
      <c r="AQ8" s="29" t="str">
        <f aca="false">IF($A7="","",IF(COUNTIFS(Historial!$B$3:$B$502,$A7,Historial!$C$3:$C$502,$B7,Historial!$G$3:$G$502,AQ$4,Historial!$H$3:$H$502,$B$2)&gt;0,"✓",""))</f>
        <v/>
      </c>
      <c r="AR8" s="29" t="str">
        <f aca="false">IF($A7="","",IF(COUNTIFS(Historial!$B$3:$B$502,$A7,Historial!$C$3:$C$502,$B7,Historial!$G$3:$G$502,AR$4,Historial!$H$3:$H$502,$B$2)&gt;0,"✓",""))</f>
        <v/>
      </c>
      <c r="AS8" s="29" t="str">
        <f aca="false">IF($A7="","",IF(COUNTIFS(Historial!$B$3:$B$502,$A7,Historial!$C$3:$C$502,$B7,Historial!$G$3:$G$502,AS$4,Historial!$H$3:$H$502,$B$2)&gt;0,"✓",""))</f>
        <v/>
      </c>
      <c r="AT8" s="29" t="str">
        <f aca="false">IF($A7="","",IF(COUNTIFS(Historial!$B$3:$B$502,$A7,Historial!$C$3:$C$502,$B7,Historial!$G$3:$G$502,AT$4,Historial!$H$3:$H$502,$B$2)&gt;0,"✓",""))</f>
        <v/>
      </c>
      <c r="AU8" s="29" t="str">
        <f aca="false">IF($A7="","",IF(COUNTIFS(Historial!$B$3:$B$502,$A7,Historial!$C$3:$C$502,$B7,Historial!$G$3:$G$502,AU$4,Historial!$H$3:$H$502,$B$2)&gt;0,"✓",""))</f>
        <v/>
      </c>
      <c r="AV8" s="29" t="str">
        <f aca="false">IF($A7="","",IF(COUNTIFS(Historial!$B$3:$B$502,$A7,Historial!$C$3:$C$502,$B7,Historial!$G$3:$G$502,AV$4,Historial!$H$3:$H$502,$B$2)&gt;0,"✓",""))</f>
        <v/>
      </c>
      <c r="AW8" s="29" t="str">
        <f aca="false">IF($A7="","",IF(COUNTIFS(Historial!$B$3:$B$502,$A7,Historial!$C$3:$C$502,$B7,Historial!$G$3:$G$502,AW$4,Historial!$H$3:$H$502,$B$2)&gt;0,"✓",""))</f>
        <v/>
      </c>
      <c r="AX8" s="29" t="str">
        <f aca="false">IF($A7="","",IF(COUNTIFS(Historial!$B$3:$B$502,$A7,Historial!$C$3:$C$502,$B7,Historial!$G$3:$G$502,AX$4,Historial!$H$3:$H$502,$B$2)&gt;0,"✓",""))</f>
        <v/>
      </c>
      <c r="AY8" s="29" t="str">
        <f aca="false">IF($A7="","",IF(COUNTIFS(Historial!$B$3:$B$502,$A7,Historial!$C$3:$C$502,$B7,Historial!$G$3:$G$502,AY$4,Historial!$H$3:$H$502,$B$2)&gt;0,"✓",""))</f>
        <v/>
      </c>
      <c r="AZ8" s="29" t="str">
        <f aca="false">IF($A7="","",IF(COUNTIFS(Historial!$B$3:$B$502,$A7,Historial!$C$3:$C$502,$B7,Historial!$G$3:$G$502,AZ$4,Historial!$H$3:$H$502,$B$2)&gt;0,"✓",""))</f>
        <v/>
      </c>
      <c r="BA8" s="29" t="str">
        <f aca="false">IF($A7="","",IF(COUNTIFS(Historial!$B$3:$B$502,$A7,Historial!$C$3:$C$502,$B7,Historial!$G$3:$G$502,BA$4,Historial!$H$3:$H$502,$B$2)&gt;0,"✓",""))</f>
        <v/>
      </c>
      <c r="BB8" s="29" t="str">
        <f aca="false">IF($A7="","",IF(COUNTIFS(Historial!$B$3:$B$502,$A7,Historial!$C$3:$C$502,$B7,Historial!$G$3:$G$502,BB$4,Historial!$H$3:$H$502,$B$2)&gt;0,"✓",""))</f>
        <v/>
      </c>
      <c r="BC8" s="29" t="str">
        <f aca="false">IF($A7="","",IF(COUNTIFS(Historial!$B$3:$B$502,$A7,Historial!$C$3:$C$502,$B7,Historial!$G$3:$G$502,BC$4,Historial!$H$3:$H$502,$B$2)&gt;0,"✓",""))</f>
        <v/>
      </c>
      <c r="BD8" s="29"/>
      <c r="BE8" s="29"/>
      <c r="BF8" s="29"/>
    </row>
    <row r="9" customFormat="false" ht="15" hidden="false" customHeight="false" outlineLevel="0" collapsed="false">
      <c r="A9" s="24" t="str">
        <f aca="false">IF(Actividades!$B5="","",Actividades!$B5)</f>
        <v>Clean Cham</v>
      </c>
      <c r="B9" s="24" t="str">
        <f aca="false">IF(Actividades!$C5="","",Actividades!$C5)</f>
        <v>Reemplazo (componentes)</v>
      </c>
      <c r="C9" s="24" t="str">
        <f aca="false">IF($A9="","","Plan")</f>
        <v>Plan</v>
      </c>
      <c r="D9" s="25" t="str">
        <f aca="false">IF($A9="","",IF(AND(N(Actividades!$E5)&gt;0,D$4&gt;=Actividades!$E5,MOD(D$4-Actividades!$E5,IFERROR(VLOOKUP(Actividades!$D5,Listas!$A$2:$B$8,2,0),52))=0),"P",""))</f>
        <v/>
      </c>
      <c r="E9" s="25" t="str">
        <f aca="false">IF($A9="","",IF(AND(N(Actividades!$E5)&gt;0,E$4&gt;=Actividades!$E5,MOD(E$4-Actividades!$E5,IFERROR(VLOOKUP(Actividades!$D5,Listas!$A$2:$B$8,2,0),52))=0),"P",""))</f>
        <v/>
      </c>
      <c r="F9" s="25" t="str">
        <f aca="false">IF($A9="","",IF(AND(N(Actividades!$E5)&gt;0,F$4&gt;=Actividades!$E5,MOD(F$4-Actividades!$E5,IFERROR(VLOOKUP(Actividades!$D5,Listas!$A$2:$B$8,2,0),52))=0),"P",""))</f>
        <v/>
      </c>
      <c r="G9" s="25" t="str">
        <f aca="false">IF($A9="","",IF(AND(N(Actividades!$E5)&gt;0,G$4&gt;=Actividades!$E5,MOD(G$4-Actividades!$E5,IFERROR(VLOOKUP(Actividades!$D5,Listas!$A$2:$B$8,2,0),52))=0),"P",""))</f>
        <v/>
      </c>
      <c r="H9" s="25" t="str">
        <f aca="false">IF($A9="","",IF(AND(N(Actividades!$E5)&gt;0,H$4&gt;=Actividades!$E5,MOD(H$4-Actividades!$E5,IFERROR(VLOOKUP(Actividades!$D5,Listas!$A$2:$B$8,2,0),52))=0),"P",""))</f>
        <v/>
      </c>
      <c r="I9" s="25" t="str">
        <f aca="false">IF($A9="","",IF(AND(N(Actividades!$E5)&gt;0,I$4&gt;=Actividades!$E5,MOD(I$4-Actividades!$E5,IFERROR(VLOOKUP(Actividades!$D5,Listas!$A$2:$B$8,2,0),52))=0),"P",""))</f>
        <v/>
      </c>
      <c r="J9" s="25" t="str">
        <f aca="false">IF($A9="","",IF(AND(N(Actividades!$E5)&gt;0,J$4&gt;=Actividades!$E5,MOD(J$4-Actividades!$E5,IFERROR(VLOOKUP(Actividades!$D5,Listas!$A$2:$B$8,2,0),52))=0),"P",""))</f>
        <v/>
      </c>
      <c r="K9" s="25" t="str">
        <f aca="false">IF($A9="","",IF(AND(N(Actividades!$E5)&gt;0,K$4&gt;=Actividades!$E5,MOD(K$4-Actividades!$E5,IFERROR(VLOOKUP(Actividades!$D5,Listas!$A$2:$B$8,2,0),52))=0),"P",""))</f>
        <v/>
      </c>
      <c r="L9" s="25" t="str">
        <f aca="false">IF($A9="","",IF(AND(N(Actividades!$E5)&gt;0,L$4&gt;=Actividades!$E5,MOD(L$4-Actividades!$E5,IFERROR(VLOOKUP(Actividades!$D5,Listas!$A$2:$B$8,2,0),52))=0),"P",""))</f>
        <v/>
      </c>
      <c r="M9" s="25" t="str">
        <f aca="false">IF($A9="","",IF(AND(N(Actividades!$E5)&gt;0,M$4&gt;=Actividades!$E5,MOD(M$4-Actividades!$E5,IFERROR(VLOOKUP(Actividades!$D5,Listas!$A$2:$B$8,2,0),52))=0),"P",""))</f>
        <v/>
      </c>
      <c r="N9" s="25" t="str">
        <f aca="false">IF($A9="","",IF(AND(N(Actividades!$E5)&gt;0,N$4&gt;=Actividades!$E5,MOD(N$4-Actividades!$E5,IFERROR(VLOOKUP(Actividades!$D5,Listas!$A$2:$B$8,2,0),52))=0),"P",""))</f>
        <v/>
      </c>
      <c r="O9" s="25" t="str">
        <f aca="false">IF($A9="","",IF(AND(N(Actividades!$E5)&gt;0,O$4&gt;=Actividades!$E5,MOD(O$4-Actividades!$E5,IFERROR(VLOOKUP(Actividades!$D5,Listas!$A$2:$B$8,2,0),52))=0),"P",""))</f>
        <v/>
      </c>
      <c r="P9" s="25" t="str">
        <f aca="false">IF($A9="","",IF(AND(N(Actividades!$E5)&gt;0,P$4&gt;=Actividades!$E5,MOD(P$4-Actividades!$E5,IFERROR(VLOOKUP(Actividades!$D5,Listas!$A$2:$B$8,2,0),52))=0),"P",""))</f>
        <v/>
      </c>
      <c r="Q9" s="25" t="str">
        <f aca="false">IF($A9="","",IF(AND(N(Actividades!$E5)&gt;0,Q$4&gt;=Actividades!$E5,MOD(Q$4-Actividades!$E5,IFERROR(VLOOKUP(Actividades!$D5,Listas!$A$2:$B$8,2,0),52))=0),"P",""))</f>
        <v/>
      </c>
      <c r="R9" s="25" t="str">
        <f aca="false">IF($A9="","",IF(AND(N(Actividades!$E5)&gt;0,R$4&gt;=Actividades!$E5,MOD(R$4-Actividades!$E5,IFERROR(VLOOKUP(Actividades!$D5,Listas!$A$2:$B$8,2,0),52))=0),"P",""))</f>
        <v/>
      </c>
      <c r="S9" s="25" t="str">
        <f aca="false">IF($A9="","",IF(AND(N(Actividades!$E5)&gt;0,S$4&gt;=Actividades!$E5,MOD(S$4-Actividades!$E5,IFERROR(VLOOKUP(Actividades!$D5,Listas!$A$2:$B$8,2,0),52))=0),"P",""))</f>
        <v/>
      </c>
      <c r="T9" s="25" t="str">
        <f aca="false">IF($A9="","",IF(AND(N(Actividades!$E5)&gt;0,T$4&gt;=Actividades!$E5,MOD(T$4-Actividades!$E5,IFERROR(VLOOKUP(Actividades!$D5,Listas!$A$2:$B$8,2,0),52))=0),"P",""))</f>
        <v/>
      </c>
      <c r="U9" s="25" t="str">
        <f aca="false">IF($A9="","",IF(AND(N(Actividades!$E5)&gt;0,U$4&gt;=Actividades!$E5,MOD(U$4-Actividades!$E5,IFERROR(VLOOKUP(Actividades!$D5,Listas!$A$2:$B$8,2,0),52))=0),"P",""))</f>
        <v/>
      </c>
      <c r="V9" s="25" t="str">
        <f aca="false">IF($A9="","",IF(AND(N(Actividades!$E5)&gt;0,V$4&gt;=Actividades!$E5,MOD(V$4-Actividades!$E5,IFERROR(VLOOKUP(Actividades!$D5,Listas!$A$2:$B$8,2,0),52))=0),"P",""))</f>
        <v/>
      </c>
      <c r="W9" s="25" t="str">
        <f aca="false">IF($A9="","",IF(AND(N(Actividades!$E5)&gt;0,W$4&gt;=Actividades!$E5,MOD(W$4-Actividades!$E5,IFERROR(VLOOKUP(Actividades!$D5,Listas!$A$2:$B$8,2,0),52))=0),"P",""))</f>
        <v/>
      </c>
      <c r="X9" s="25" t="str">
        <f aca="false">IF($A9="","",IF(AND(N(Actividades!$E5)&gt;0,X$4&gt;=Actividades!$E5,MOD(X$4-Actividades!$E5,IFERROR(VLOOKUP(Actividades!$D5,Listas!$A$2:$B$8,2,0),52))=0),"P",""))</f>
        <v/>
      </c>
      <c r="Y9" s="25" t="str">
        <f aca="false">IF($A9="","",IF(AND(N(Actividades!$E5)&gt;0,Y$4&gt;=Actividades!$E5,MOD(Y$4-Actividades!$E5,IFERROR(VLOOKUP(Actividades!$D5,Listas!$A$2:$B$8,2,0),52))=0),"P",""))</f>
        <v/>
      </c>
      <c r="Z9" s="25" t="str">
        <f aca="false">IF($A9="","",IF(AND(N(Actividades!$E5)&gt;0,Z$4&gt;=Actividades!$E5,MOD(Z$4-Actividades!$E5,IFERROR(VLOOKUP(Actividades!$D5,Listas!$A$2:$B$8,2,0),52))=0),"P",""))</f>
        <v/>
      </c>
      <c r="AA9" s="25" t="str">
        <f aca="false">IF($A9="","",IF(AND(N(Actividades!$E5)&gt;0,AA$4&gt;=Actividades!$E5,MOD(AA$4-Actividades!$E5,IFERROR(VLOOKUP(Actividades!$D5,Listas!$A$2:$B$8,2,0),52))=0),"P",""))</f>
        <v/>
      </c>
      <c r="AB9" s="25" t="str">
        <f aca="false">IF($A9="","",IF(AND(N(Actividades!$E5)&gt;0,AB$4&gt;=Actividades!$E5,MOD(AB$4-Actividades!$E5,IFERROR(VLOOKUP(Actividades!$D5,Listas!$A$2:$B$8,2,0),52))=0),"P",""))</f>
        <v/>
      </c>
      <c r="AC9" s="25" t="str">
        <f aca="false">IF($A9="","",IF(AND(N(Actividades!$E5)&gt;0,AC$4&gt;=Actividades!$E5,MOD(AC$4-Actividades!$E5,IFERROR(VLOOKUP(Actividades!$D5,Listas!$A$2:$B$8,2,0),52))=0),"P",""))</f>
        <v>P</v>
      </c>
      <c r="AD9" s="25" t="str">
        <f aca="false">IF($A9="","",IF(AND(N(Actividades!$E5)&gt;0,AD$4&gt;=Actividades!$E5,MOD(AD$4-Actividades!$E5,IFERROR(VLOOKUP(Actividades!$D5,Listas!$A$2:$B$8,2,0),52))=0),"P",""))</f>
        <v/>
      </c>
      <c r="AE9" s="25" t="str">
        <f aca="false">IF($A9="","",IF(AND(N(Actividades!$E5)&gt;0,AE$4&gt;=Actividades!$E5,MOD(AE$4-Actividades!$E5,IFERROR(VLOOKUP(Actividades!$D5,Listas!$A$2:$B$8,2,0),52))=0),"P",""))</f>
        <v/>
      </c>
      <c r="AF9" s="25" t="str">
        <f aca="false">IF($A9="","",IF(AND(N(Actividades!$E5)&gt;0,AF$4&gt;=Actividades!$E5,MOD(AF$4-Actividades!$E5,IFERROR(VLOOKUP(Actividades!$D5,Listas!$A$2:$B$8,2,0),52))=0),"P",""))</f>
        <v/>
      </c>
      <c r="AG9" s="25" t="str">
        <f aca="false">IF($A9="","",IF(AND(N(Actividades!$E5)&gt;0,AG$4&gt;=Actividades!$E5,MOD(AG$4-Actividades!$E5,IFERROR(VLOOKUP(Actividades!$D5,Listas!$A$2:$B$8,2,0),52))=0),"P",""))</f>
        <v/>
      </c>
      <c r="AH9" s="25" t="str">
        <f aca="false">IF($A9="","",IF(AND(N(Actividades!$E5)&gt;0,AH$4&gt;=Actividades!$E5,MOD(AH$4-Actividades!$E5,IFERROR(VLOOKUP(Actividades!$D5,Listas!$A$2:$B$8,2,0),52))=0),"P",""))</f>
        <v/>
      </c>
      <c r="AI9" s="25" t="str">
        <f aca="false">IF($A9="","",IF(AND(N(Actividades!$E5)&gt;0,AI$4&gt;=Actividades!$E5,MOD(AI$4-Actividades!$E5,IFERROR(VLOOKUP(Actividades!$D5,Listas!$A$2:$B$8,2,0),52))=0),"P",""))</f>
        <v/>
      </c>
      <c r="AJ9" s="25" t="str">
        <f aca="false">IF($A9="","",IF(AND(N(Actividades!$E5)&gt;0,AJ$4&gt;=Actividades!$E5,MOD(AJ$4-Actividades!$E5,IFERROR(VLOOKUP(Actividades!$D5,Listas!$A$2:$B$8,2,0),52))=0),"P",""))</f>
        <v/>
      </c>
      <c r="AK9" s="25" t="str">
        <f aca="false">IF($A9="","",IF(AND(N(Actividades!$E5)&gt;0,AK$4&gt;=Actividades!$E5,MOD(AK$4-Actividades!$E5,IFERROR(VLOOKUP(Actividades!$D5,Listas!$A$2:$B$8,2,0),52))=0),"P",""))</f>
        <v/>
      </c>
      <c r="AL9" s="25" t="str">
        <f aca="false">IF($A9="","",IF(AND(N(Actividades!$E5)&gt;0,AL$4&gt;=Actividades!$E5,MOD(AL$4-Actividades!$E5,IFERROR(VLOOKUP(Actividades!$D5,Listas!$A$2:$B$8,2,0),52))=0),"P",""))</f>
        <v/>
      </c>
      <c r="AM9" s="25" t="str">
        <f aca="false">IF($A9="","",IF(AND(N(Actividades!$E5)&gt;0,AM$4&gt;=Actividades!$E5,MOD(AM$4-Actividades!$E5,IFERROR(VLOOKUP(Actividades!$D5,Listas!$A$2:$B$8,2,0),52))=0),"P",""))</f>
        <v/>
      </c>
      <c r="AN9" s="25" t="str">
        <f aca="false">IF($A9="","",IF(AND(N(Actividades!$E5)&gt;0,AN$4&gt;=Actividades!$E5,MOD(AN$4-Actividades!$E5,IFERROR(VLOOKUP(Actividades!$D5,Listas!$A$2:$B$8,2,0),52))=0),"P",""))</f>
        <v/>
      </c>
      <c r="AO9" s="25" t="str">
        <f aca="false">IF($A9="","",IF(AND(N(Actividades!$E5)&gt;0,AO$4&gt;=Actividades!$E5,MOD(AO$4-Actividades!$E5,IFERROR(VLOOKUP(Actividades!$D5,Listas!$A$2:$B$8,2,0),52))=0),"P",""))</f>
        <v/>
      </c>
      <c r="AP9" s="25" t="str">
        <f aca="false">IF($A9="","",IF(AND(N(Actividades!$E5)&gt;0,AP$4&gt;=Actividades!$E5,MOD(AP$4-Actividades!$E5,IFERROR(VLOOKUP(Actividades!$D5,Listas!$A$2:$B$8,2,0),52))=0),"P",""))</f>
        <v/>
      </c>
      <c r="AQ9" s="25" t="str">
        <f aca="false">IF($A9="","",IF(AND(N(Actividades!$E5)&gt;0,AQ$4&gt;=Actividades!$E5,MOD(AQ$4-Actividades!$E5,IFERROR(VLOOKUP(Actividades!$D5,Listas!$A$2:$B$8,2,0),52))=0),"P",""))</f>
        <v/>
      </c>
      <c r="AR9" s="25" t="str">
        <f aca="false">IF($A9="","",IF(AND(N(Actividades!$E5)&gt;0,AR$4&gt;=Actividades!$E5,MOD(AR$4-Actividades!$E5,IFERROR(VLOOKUP(Actividades!$D5,Listas!$A$2:$B$8,2,0),52))=0),"P",""))</f>
        <v/>
      </c>
      <c r="AS9" s="25" t="str">
        <f aca="false">IF($A9="","",IF(AND(N(Actividades!$E5)&gt;0,AS$4&gt;=Actividades!$E5,MOD(AS$4-Actividades!$E5,IFERROR(VLOOKUP(Actividades!$D5,Listas!$A$2:$B$8,2,0),52))=0),"P",""))</f>
        <v/>
      </c>
      <c r="AT9" s="25" t="str">
        <f aca="false">IF($A9="","",IF(AND(N(Actividades!$E5)&gt;0,AT$4&gt;=Actividades!$E5,MOD(AT$4-Actividades!$E5,IFERROR(VLOOKUP(Actividades!$D5,Listas!$A$2:$B$8,2,0),52))=0),"P",""))</f>
        <v/>
      </c>
      <c r="AU9" s="25" t="str">
        <f aca="false">IF($A9="","",IF(AND(N(Actividades!$E5)&gt;0,AU$4&gt;=Actividades!$E5,MOD(AU$4-Actividades!$E5,IFERROR(VLOOKUP(Actividades!$D5,Listas!$A$2:$B$8,2,0),52))=0),"P",""))</f>
        <v/>
      </c>
      <c r="AV9" s="25" t="str">
        <f aca="false">IF($A9="","",IF(AND(N(Actividades!$E5)&gt;0,AV$4&gt;=Actividades!$E5,MOD(AV$4-Actividades!$E5,IFERROR(VLOOKUP(Actividades!$D5,Listas!$A$2:$B$8,2,0),52))=0),"P",""))</f>
        <v/>
      </c>
      <c r="AW9" s="25" t="str">
        <f aca="false">IF($A9="","",IF(AND(N(Actividades!$E5)&gt;0,AW$4&gt;=Actividades!$E5,MOD(AW$4-Actividades!$E5,IFERROR(VLOOKUP(Actividades!$D5,Listas!$A$2:$B$8,2,0),52))=0),"P",""))</f>
        <v/>
      </c>
      <c r="AX9" s="25" t="str">
        <f aca="false">IF($A9="","",IF(AND(N(Actividades!$E5)&gt;0,AX$4&gt;=Actividades!$E5,MOD(AX$4-Actividades!$E5,IFERROR(VLOOKUP(Actividades!$D5,Listas!$A$2:$B$8,2,0),52))=0),"P",""))</f>
        <v/>
      </c>
      <c r="AY9" s="25" t="str">
        <f aca="false">IF($A9="","",IF(AND(N(Actividades!$E5)&gt;0,AY$4&gt;=Actividades!$E5,MOD(AY$4-Actividades!$E5,IFERROR(VLOOKUP(Actividades!$D5,Listas!$A$2:$B$8,2,0),52))=0),"P",""))</f>
        <v/>
      </c>
      <c r="AZ9" s="25" t="str">
        <f aca="false">IF($A9="","",IF(AND(N(Actividades!$E5)&gt;0,AZ$4&gt;=Actividades!$E5,MOD(AZ$4-Actividades!$E5,IFERROR(VLOOKUP(Actividades!$D5,Listas!$A$2:$B$8,2,0),52))=0),"P",""))</f>
        <v/>
      </c>
      <c r="BA9" s="25" t="str">
        <f aca="false">IF($A9="","",IF(AND(N(Actividades!$E5)&gt;0,BA$4&gt;=Actividades!$E5,MOD(BA$4-Actividades!$E5,IFERROR(VLOOKUP(Actividades!$D5,Listas!$A$2:$B$8,2,0),52))=0),"P",""))</f>
        <v/>
      </c>
      <c r="BB9" s="25" t="str">
        <f aca="false">IF($A9="","",IF(AND(N(Actividades!$E5)&gt;0,BB$4&gt;=Actividades!$E5,MOD(BB$4-Actividades!$E5,IFERROR(VLOOKUP(Actividades!$D5,Listas!$A$2:$B$8,2,0),52))=0),"P",""))</f>
        <v/>
      </c>
      <c r="BC9" s="25" t="str">
        <f aca="false">IF($A9="","",IF(AND(N(Actividades!$E5)&gt;0,BC$4&gt;=Actividades!$E5,MOD(BC$4-Actividades!$E5,IFERROR(VLOOKUP(Actividades!$D5,Listas!$A$2:$B$8,2,0),52))=0),"P",""))</f>
        <v>P</v>
      </c>
      <c r="BD9" s="26" t="n">
        <f aca="false">IF($A9="","",COUNTIF(D9:BC9,"P"))</f>
        <v>2</v>
      </c>
      <c r="BE9" s="26" t="n">
        <f aca="false">IF($A9="","",SUMPRODUCT((D9:BC9="P")*(D10:BC10="✓")))</f>
        <v>0</v>
      </c>
      <c r="BF9" s="27" t="n">
        <f aca="false">IF($A9="","",IF(BD9=0,"",BE9/BD9))</f>
        <v>0</v>
      </c>
    </row>
    <row r="10" customFormat="false" ht="15" hidden="false" customHeight="false" outlineLevel="0" collapsed="false">
      <c r="A10" s="28"/>
      <c r="B10" s="28"/>
      <c r="C10" s="28" t="str">
        <f aca="false">IF($A9="","","Real")</f>
        <v>Real</v>
      </c>
      <c r="D10" s="29" t="str">
        <f aca="false">IF($A9="","",IF(COUNTIFS(Historial!$B$3:$B$502,$A9,Historial!$C$3:$C$502,$B9,Historial!$G$3:$G$502,D$4,Historial!$H$3:$H$502,$B$2)&gt;0,"✓",""))</f>
        <v/>
      </c>
      <c r="E10" s="29" t="str">
        <f aca="false">IF($A9="","",IF(COUNTIFS(Historial!$B$3:$B$502,$A9,Historial!$C$3:$C$502,$B9,Historial!$G$3:$G$502,E$4,Historial!$H$3:$H$502,$B$2)&gt;0,"✓",""))</f>
        <v/>
      </c>
      <c r="F10" s="29" t="str">
        <f aca="false">IF($A9="","",IF(COUNTIFS(Historial!$B$3:$B$502,$A9,Historial!$C$3:$C$502,$B9,Historial!$G$3:$G$502,F$4,Historial!$H$3:$H$502,$B$2)&gt;0,"✓",""))</f>
        <v/>
      </c>
      <c r="G10" s="29" t="str">
        <f aca="false">IF($A9="","",IF(COUNTIFS(Historial!$B$3:$B$502,$A9,Historial!$C$3:$C$502,$B9,Historial!$G$3:$G$502,G$4,Historial!$H$3:$H$502,$B$2)&gt;0,"✓",""))</f>
        <v/>
      </c>
      <c r="H10" s="29" t="str">
        <f aca="false">IF($A9="","",IF(COUNTIFS(Historial!$B$3:$B$502,$A9,Historial!$C$3:$C$502,$B9,Historial!$G$3:$G$502,H$4,Historial!$H$3:$H$502,$B$2)&gt;0,"✓",""))</f>
        <v/>
      </c>
      <c r="I10" s="29" t="str">
        <f aca="false">IF($A9="","",IF(COUNTIFS(Historial!$B$3:$B$502,$A9,Historial!$C$3:$C$502,$B9,Historial!$G$3:$G$502,I$4,Historial!$H$3:$H$502,$B$2)&gt;0,"✓",""))</f>
        <v/>
      </c>
      <c r="J10" s="29" t="str">
        <f aca="false">IF($A9="","",IF(COUNTIFS(Historial!$B$3:$B$502,$A9,Historial!$C$3:$C$502,$B9,Historial!$G$3:$G$502,J$4,Historial!$H$3:$H$502,$B$2)&gt;0,"✓",""))</f>
        <v/>
      </c>
      <c r="K10" s="29" t="str">
        <f aca="false">IF($A9="","",IF(COUNTIFS(Historial!$B$3:$B$502,$A9,Historial!$C$3:$C$502,$B9,Historial!$G$3:$G$502,K$4,Historial!$H$3:$H$502,$B$2)&gt;0,"✓",""))</f>
        <v/>
      </c>
      <c r="L10" s="29" t="str">
        <f aca="false">IF($A9="","",IF(COUNTIFS(Historial!$B$3:$B$502,$A9,Historial!$C$3:$C$502,$B9,Historial!$G$3:$G$502,L$4,Historial!$H$3:$H$502,$B$2)&gt;0,"✓",""))</f>
        <v/>
      </c>
      <c r="M10" s="29" t="str">
        <f aca="false">IF($A9="","",IF(COUNTIFS(Historial!$B$3:$B$502,$A9,Historial!$C$3:$C$502,$B9,Historial!$G$3:$G$502,M$4,Historial!$H$3:$H$502,$B$2)&gt;0,"✓",""))</f>
        <v/>
      </c>
      <c r="N10" s="29" t="str">
        <f aca="false">IF($A9="","",IF(COUNTIFS(Historial!$B$3:$B$502,$A9,Historial!$C$3:$C$502,$B9,Historial!$G$3:$G$502,N$4,Historial!$H$3:$H$502,$B$2)&gt;0,"✓",""))</f>
        <v/>
      </c>
      <c r="O10" s="29" t="str">
        <f aca="false">IF($A9="","",IF(COUNTIFS(Historial!$B$3:$B$502,$A9,Historial!$C$3:$C$502,$B9,Historial!$G$3:$G$502,O$4,Historial!$H$3:$H$502,$B$2)&gt;0,"✓",""))</f>
        <v/>
      </c>
      <c r="P10" s="29" t="str">
        <f aca="false">IF($A9="","",IF(COUNTIFS(Historial!$B$3:$B$502,$A9,Historial!$C$3:$C$502,$B9,Historial!$G$3:$G$502,P$4,Historial!$H$3:$H$502,$B$2)&gt;0,"✓",""))</f>
        <v/>
      </c>
      <c r="Q10" s="29" t="str">
        <f aca="false">IF($A9="","",IF(COUNTIFS(Historial!$B$3:$B$502,$A9,Historial!$C$3:$C$502,$B9,Historial!$G$3:$G$502,Q$4,Historial!$H$3:$H$502,$B$2)&gt;0,"✓",""))</f>
        <v/>
      </c>
      <c r="R10" s="29" t="str">
        <f aca="false">IF($A9="","",IF(COUNTIFS(Historial!$B$3:$B$502,$A9,Historial!$C$3:$C$502,$B9,Historial!$G$3:$G$502,R$4,Historial!$H$3:$H$502,$B$2)&gt;0,"✓",""))</f>
        <v/>
      </c>
      <c r="S10" s="29" t="str">
        <f aca="false">IF($A9="","",IF(COUNTIFS(Historial!$B$3:$B$502,$A9,Historial!$C$3:$C$502,$B9,Historial!$G$3:$G$502,S$4,Historial!$H$3:$H$502,$B$2)&gt;0,"✓",""))</f>
        <v/>
      </c>
      <c r="T10" s="29" t="str">
        <f aca="false">IF($A9="","",IF(COUNTIFS(Historial!$B$3:$B$502,$A9,Historial!$C$3:$C$502,$B9,Historial!$G$3:$G$502,T$4,Historial!$H$3:$H$502,$B$2)&gt;0,"✓",""))</f>
        <v/>
      </c>
      <c r="U10" s="29" t="str">
        <f aca="false">IF($A9="","",IF(COUNTIFS(Historial!$B$3:$B$502,$A9,Historial!$C$3:$C$502,$B9,Historial!$G$3:$G$502,U$4,Historial!$H$3:$H$502,$B$2)&gt;0,"✓",""))</f>
        <v/>
      </c>
      <c r="V10" s="29" t="str">
        <f aca="false">IF($A9="","",IF(COUNTIFS(Historial!$B$3:$B$502,$A9,Historial!$C$3:$C$502,$B9,Historial!$G$3:$G$502,V$4,Historial!$H$3:$H$502,$B$2)&gt;0,"✓",""))</f>
        <v/>
      </c>
      <c r="W10" s="29" t="str">
        <f aca="false">IF($A9="","",IF(COUNTIFS(Historial!$B$3:$B$502,$A9,Historial!$C$3:$C$502,$B9,Historial!$G$3:$G$502,W$4,Historial!$H$3:$H$502,$B$2)&gt;0,"✓",""))</f>
        <v/>
      </c>
      <c r="X10" s="29" t="str">
        <f aca="false">IF($A9="","",IF(COUNTIFS(Historial!$B$3:$B$502,$A9,Historial!$C$3:$C$502,$B9,Historial!$G$3:$G$502,X$4,Historial!$H$3:$H$502,$B$2)&gt;0,"✓",""))</f>
        <v/>
      </c>
      <c r="Y10" s="29" t="str">
        <f aca="false">IF($A9="","",IF(COUNTIFS(Historial!$B$3:$B$502,$A9,Historial!$C$3:$C$502,$B9,Historial!$G$3:$G$502,Y$4,Historial!$H$3:$H$502,$B$2)&gt;0,"✓",""))</f>
        <v/>
      </c>
      <c r="Z10" s="29" t="str">
        <f aca="false">IF($A9="","",IF(COUNTIFS(Historial!$B$3:$B$502,$A9,Historial!$C$3:$C$502,$B9,Historial!$G$3:$G$502,Z$4,Historial!$H$3:$H$502,$B$2)&gt;0,"✓",""))</f>
        <v/>
      </c>
      <c r="AA10" s="29" t="str">
        <f aca="false">IF($A9="","",IF(COUNTIFS(Historial!$B$3:$B$502,$A9,Historial!$C$3:$C$502,$B9,Historial!$G$3:$G$502,AA$4,Historial!$H$3:$H$502,$B$2)&gt;0,"✓",""))</f>
        <v/>
      </c>
      <c r="AB10" s="29" t="str">
        <f aca="false">IF($A9="","",IF(COUNTIFS(Historial!$B$3:$B$502,$A9,Historial!$C$3:$C$502,$B9,Historial!$G$3:$G$502,AB$4,Historial!$H$3:$H$502,$B$2)&gt;0,"✓",""))</f>
        <v/>
      </c>
      <c r="AC10" s="29" t="str">
        <f aca="false">IF($A9="","",IF(COUNTIFS(Historial!$B$3:$B$502,$A9,Historial!$C$3:$C$502,$B9,Historial!$G$3:$G$502,AC$4,Historial!$H$3:$H$502,$B$2)&gt;0,"✓",""))</f>
        <v/>
      </c>
      <c r="AD10" s="29" t="str">
        <f aca="false">IF($A9="","",IF(COUNTIFS(Historial!$B$3:$B$502,$A9,Historial!$C$3:$C$502,$B9,Historial!$G$3:$G$502,AD$4,Historial!$H$3:$H$502,$B$2)&gt;0,"✓",""))</f>
        <v/>
      </c>
      <c r="AE10" s="29" t="str">
        <f aca="false">IF($A9="","",IF(COUNTIFS(Historial!$B$3:$B$502,$A9,Historial!$C$3:$C$502,$B9,Historial!$G$3:$G$502,AE$4,Historial!$H$3:$H$502,$B$2)&gt;0,"✓",""))</f>
        <v/>
      </c>
      <c r="AF10" s="29" t="str">
        <f aca="false">IF($A9="","",IF(COUNTIFS(Historial!$B$3:$B$502,$A9,Historial!$C$3:$C$502,$B9,Historial!$G$3:$G$502,AF$4,Historial!$H$3:$H$502,$B$2)&gt;0,"✓",""))</f>
        <v/>
      </c>
      <c r="AG10" s="29" t="str">
        <f aca="false">IF($A9="","",IF(COUNTIFS(Historial!$B$3:$B$502,$A9,Historial!$C$3:$C$502,$B9,Historial!$G$3:$G$502,AG$4,Historial!$H$3:$H$502,$B$2)&gt;0,"✓",""))</f>
        <v/>
      </c>
      <c r="AH10" s="29" t="str">
        <f aca="false">IF($A9="","",IF(COUNTIFS(Historial!$B$3:$B$502,$A9,Historial!$C$3:$C$502,$B9,Historial!$G$3:$G$502,AH$4,Historial!$H$3:$H$502,$B$2)&gt;0,"✓",""))</f>
        <v/>
      </c>
      <c r="AI10" s="29" t="str">
        <f aca="false">IF($A9="","",IF(COUNTIFS(Historial!$B$3:$B$502,$A9,Historial!$C$3:$C$502,$B9,Historial!$G$3:$G$502,AI$4,Historial!$H$3:$H$502,$B$2)&gt;0,"✓",""))</f>
        <v/>
      </c>
      <c r="AJ10" s="29" t="str">
        <f aca="false">IF($A9="","",IF(COUNTIFS(Historial!$B$3:$B$502,$A9,Historial!$C$3:$C$502,$B9,Historial!$G$3:$G$502,AJ$4,Historial!$H$3:$H$502,$B$2)&gt;0,"✓",""))</f>
        <v/>
      </c>
      <c r="AK10" s="29" t="str">
        <f aca="false">IF($A9="","",IF(COUNTIFS(Historial!$B$3:$B$502,$A9,Historial!$C$3:$C$502,$B9,Historial!$G$3:$G$502,AK$4,Historial!$H$3:$H$502,$B$2)&gt;0,"✓",""))</f>
        <v/>
      </c>
      <c r="AL10" s="29" t="str">
        <f aca="false">IF($A9="","",IF(COUNTIFS(Historial!$B$3:$B$502,$A9,Historial!$C$3:$C$502,$B9,Historial!$G$3:$G$502,AL$4,Historial!$H$3:$H$502,$B$2)&gt;0,"✓",""))</f>
        <v/>
      </c>
      <c r="AM10" s="29" t="str">
        <f aca="false">IF($A9="","",IF(COUNTIFS(Historial!$B$3:$B$502,$A9,Historial!$C$3:$C$502,$B9,Historial!$G$3:$G$502,AM$4,Historial!$H$3:$H$502,$B$2)&gt;0,"✓",""))</f>
        <v/>
      </c>
      <c r="AN10" s="29" t="str">
        <f aca="false">IF($A9="","",IF(COUNTIFS(Historial!$B$3:$B$502,$A9,Historial!$C$3:$C$502,$B9,Historial!$G$3:$G$502,AN$4,Historial!$H$3:$H$502,$B$2)&gt;0,"✓",""))</f>
        <v/>
      </c>
      <c r="AO10" s="29" t="str">
        <f aca="false">IF($A9="","",IF(COUNTIFS(Historial!$B$3:$B$502,$A9,Historial!$C$3:$C$502,$B9,Historial!$G$3:$G$502,AO$4,Historial!$H$3:$H$502,$B$2)&gt;0,"✓",""))</f>
        <v/>
      </c>
      <c r="AP10" s="29" t="str">
        <f aca="false">IF($A9="","",IF(COUNTIFS(Historial!$B$3:$B$502,$A9,Historial!$C$3:$C$502,$B9,Historial!$G$3:$G$502,AP$4,Historial!$H$3:$H$502,$B$2)&gt;0,"✓",""))</f>
        <v/>
      </c>
      <c r="AQ10" s="29" t="str">
        <f aca="false">IF($A9="","",IF(COUNTIFS(Historial!$B$3:$B$502,$A9,Historial!$C$3:$C$502,$B9,Historial!$G$3:$G$502,AQ$4,Historial!$H$3:$H$502,$B$2)&gt;0,"✓",""))</f>
        <v/>
      </c>
      <c r="AR10" s="29" t="str">
        <f aca="false">IF($A9="","",IF(COUNTIFS(Historial!$B$3:$B$502,$A9,Historial!$C$3:$C$502,$B9,Historial!$G$3:$G$502,AR$4,Historial!$H$3:$H$502,$B$2)&gt;0,"✓",""))</f>
        <v/>
      </c>
      <c r="AS10" s="29" t="str">
        <f aca="false">IF($A9="","",IF(COUNTIFS(Historial!$B$3:$B$502,$A9,Historial!$C$3:$C$502,$B9,Historial!$G$3:$G$502,AS$4,Historial!$H$3:$H$502,$B$2)&gt;0,"✓",""))</f>
        <v/>
      </c>
      <c r="AT10" s="29" t="str">
        <f aca="false">IF($A9="","",IF(COUNTIFS(Historial!$B$3:$B$502,$A9,Historial!$C$3:$C$502,$B9,Historial!$G$3:$G$502,AT$4,Historial!$H$3:$H$502,$B$2)&gt;0,"✓",""))</f>
        <v/>
      </c>
      <c r="AU10" s="29" t="str">
        <f aca="false">IF($A9="","",IF(COUNTIFS(Historial!$B$3:$B$502,$A9,Historial!$C$3:$C$502,$B9,Historial!$G$3:$G$502,AU$4,Historial!$H$3:$H$502,$B$2)&gt;0,"✓",""))</f>
        <v/>
      </c>
      <c r="AV10" s="29" t="str">
        <f aca="false">IF($A9="","",IF(COUNTIFS(Historial!$B$3:$B$502,$A9,Historial!$C$3:$C$502,$B9,Historial!$G$3:$G$502,AV$4,Historial!$H$3:$H$502,$B$2)&gt;0,"✓",""))</f>
        <v/>
      </c>
      <c r="AW10" s="29" t="str">
        <f aca="false">IF($A9="","",IF(COUNTIFS(Historial!$B$3:$B$502,$A9,Historial!$C$3:$C$502,$B9,Historial!$G$3:$G$502,AW$4,Historial!$H$3:$H$502,$B$2)&gt;0,"✓",""))</f>
        <v/>
      </c>
      <c r="AX10" s="29" t="str">
        <f aca="false">IF($A9="","",IF(COUNTIFS(Historial!$B$3:$B$502,$A9,Historial!$C$3:$C$502,$B9,Historial!$G$3:$G$502,AX$4,Historial!$H$3:$H$502,$B$2)&gt;0,"✓",""))</f>
        <v/>
      </c>
      <c r="AY10" s="29" t="str">
        <f aca="false">IF($A9="","",IF(COUNTIFS(Historial!$B$3:$B$502,$A9,Historial!$C$3:$C$502,$B9,Historial!$G$3:$G$502,AY$4,Historial!$H$3:$H$502,$B$2)&gt;0,"✓",""))</f>
        <v/>
      </c>
      <c r="AZ10" s="29" t="str">
        <f aca="false">IF($A9="","",IF(COUNTIFS(Historial!$B$3:$B$502,$A9,Historial!$C$3:$C$502,$B9,Historial!$G$3:$G$502,AZ$4,Historial!$H$3:$H$502,$B$2)&gt;0,"✓",""))</f>
        <v/>
      </c>
      <c r="BA10" s="29" t="str">
        <f aca="false">IF($A9="","",IF(COUNTIFS(Historial!$B$3:$B$502,$A9,Historial!$C$3:$C$502,$B9,Historial!$G$3:$G$502,BA$4,Historial!$H$3:$H$502,$B$2)&gt;0,"✓",""))</f>
        <v/>
      </c>
      <c r="BB10" s="29" t="str">
        <f aca="false">IF($A9="","",IF(COUNTIFS(Historial!$B$3:$B$502,$A9,Historial!$C$3:$C$502,$B9,Historial!$G$3:$G$502,BB$4,Historial!$H$3:$H$502,$B$2)&gt;0,"✓",""))</f>
        <v/>
      </c>
      <c r="BC10" s="29" t="str">
        <f aca="false">IF($A9="","",IF(COUNTIFS(Historial!$B$3:$B$502,$A9,Historial!$C$3:$C$502,$B9,Historial!$G$3:$G$502,BC$4,Historial!$H$3:$H$502,$B$2)&gt;0,"✓",""))</f>
        <v/>
      </c>
      <c r="BD10" s="29"/>
      <c r="BE10" s="29"/>
      <c r="BF10" s="29"/>
    </row>
    <row r="11" customFormat="false" ht="15" hidden="false" customHeight="false" outlineLevel="0" collapsed="false">
      <c r="A11" s="24" t="str">
        <f aca="false">IF(Actividades!$B6="","",Actividades!$B6)</f>
        <v/>
      </c>
      <c r="B11" s="24" t="str">
        <f aca="false">IF(Actividades!$C6="","",Actividades!$C6)</f>
        <v/>
      </c>
      <c r="C11" s="24" t="str">
        <f aca="false">IF($A11="","","Plan")</f>
        <v/>
      </c>
      <c r="D11" s="25" t="str">
        <f aca="false">IF($A11="","",IF(AND(N(Actividades!$E6)&gt;0,D$4&gt;=Actividades!$E6,MOD(D$4-Actividades!$E6,IFERROR(VLOOKUP(Actividades!$D6,Listas!$A$2:$B$8,2,0),52))=0),"P",""))</f>
        <v/>
      </c>
      <c r="E11" s="25" t="str">
        <f aca="false">IF($A11="","",IF(AND(N(Actividades!$E6)&gt;0,E$4&gt;=Actividades!$E6,MOD(E$4-Actividades!$E6,IFERROR(VLOOKUP(Actividades!$D6,Listas!$A$2:$B$8,2,0),52))=0),"P",""))</f>
        <v/>
      </c>
      <c r="F11" s="25" t="str">
        <f aca="false">IF($A11="","",IF(AND(N(Actividades!$E6)&gt;0,F$4&gt;=Actividades!$E6,MOD(F$4-Actividades!$E6,IFERROR(VLOOKUP(Actividades!$D6,Listas!$A$2:$B$8,2,0),52))=0),"P",""))</f>
        <v/>
      </c>
      <c r="G11" s="25" t="str">
        <f aca="false">IF($A11="","",IF(AND(N(Actividades!$E6)&gt;0,G$4&gt;=Actividades!$E6,MOD(G$4-Actividades!$E6,IFERROR(VLOOKUP(Actividades!$D6,Listas!$A$2:$B$8,2,0),52))=0),"P",""))</f>
        <v/>
      </c>
      <c r="H11" s="25" t="str">
        <f aca="false">IF($A11="","",IF(AND(N(Actividades!$E6)&gt;0,H$4&gt;=Actividades!$E6,MOD(H$4-Actividades!$E6,IFERROR(VLOOKUP(Actividades!$D6,Listas!$A$2:$B$8,2,0),52))=0),"P",""))</f>
        <v/>
      </c>
      <c r="I11" s="25" t="str">
        <f aca="false">IF($A11="","",IF(AND(N(Actividades!$E6)&gt;0,I$4&gt;=Actividades!$E6,MOD(I$4-Actividades!$E6,IFERROR(VLOOKUP(Actividades!$D6,Listas!$A$2:$B$8,2,0),52))=0),"P",""))</f>
        <v/>
      </c>
      <c r="J11" s="25" t="str">
        <f aca="false">IF($A11="","",IF(AND(N(Actividades!$E6)&gt;0,J$4&gt;=Actividades!$E6,MOD(J$4-Actividades!$E6,IFERROR(VLOOKUP(Actividades!$D6,Listas!$A$2:$B$8,2,0),52))=0),"P",""))</f>
        <v/>
      </c>
      <c r="K11" s="25" t="str">
        <f aca="false">IF($A11="","",IF(AND(N(Actividades!$E6)&gt;0,K$4&gt;=Actividades!$E6,MOD(K$4-Actividades!$E6,IFERROR(VLOOKUP(Actividades!$D6,Listas!$A$2:$B$8,2,0),52))=0),"P",""))</f>
        <v/>
      </c>
      <c r="L11" s="25" t="str">
        <f aca="false">IF($A11="","",IF(AND(N(Actividades!$E6)&gt;0,L$4&gt;=Actividades!$E6,MOD(L$4-Actividades!$E6,IFERROR(VLOOKUP(Actividades!$D6,Listas!$A$2:$B$8,2,0),52))=0),"P",""))</f>
        <v/>
      </c>
      <c r="M11" s="25" t="str">
        <f aca="false">IF($A11="","",IF(AND(N(Actividades!$E6)&gt;0,M$4&gt;=Actividades!$E6,MOD(M$4-Actividades!$E6,IFERROR(VLOOKUP(Actividades!$D6,Listas!$A$2:$B$8,2,0),52))=0),"P",""))</f>
        <v/>
      </c>
      <c r="N11" s="25" t="str">
        <f aca="false">IF($A11="","",IF(AND(N(Actividades!$E6)&gt;0,N$4&gt;=Actividades!$E6,MOD(N$4-Actividades!$E6,IFERROR(VLOOKUP(Actividades!$D6,Listas!$A$2:$B$8,2,0),52))=0),"P",""))</f>
        <v/>
      </c>
      <c r="O11" s="25" t="str">
        <f aca="false">IF($A11="","",IF(AND(N(Actividades!$E6)&gt;0,O$4&gt;=Actividades!$E6,MOD(O$4-Actividades!$E6,IFERROR(VLOOKUP(Actividades!$D6,Listas!$A$2:$B$8,2,0),52))=0),"P",""))</f>
        <v/>
      </c>
      <c r="P11" s="25" t="str">
        <f aca="false">IF($A11="","",IF(AND(N(Actividades!$E6)&gt;0,P$4&gt;=Actividades!$E6,MOD(P$4-Actividades!$E6,IFERROR(VLOOKUP(Actividades!$D6,Listas!$A$2:$B$8,2,0),52))=0),"P",""))</f>
        <v/>
      </c>
      <c r="Q11" s="25" t="str">
        <f aca="false">IF($A11="","",IF(AND(N(Actividades!$E6)&gt;0,Q$4&gt;=Actividades!$E6,MOD(Q$4-Actividades!$E6,IFERROR(VLOOKUP(Actividades!$D6,Listas!$A$2:$B$8,2,0),52))=0),"P",""))</f>
        <v/>
      </c>
      <c r="R11" s="25" t="str">
        <f aca="false">IF($A11="","",IF(AND(N(Actividades!$E6)&gt;0,R$4&gt;=Actividades!$E6,MOD(R$4-Actividades!$E6,IFERROR(VLOOKUP(Actividades!$D6,Listas!$A$2:$B$8,2,0),52))=0),"P",""))</f>
        <v/>
      </c>
      <c r="S11" s="25" t="str">
        <f aca="false">IF($A11="","",IF(AND(N(Actividades!$E6)&gt;0,S$4&gt;=Actividades!$E6,MOD(S$4-Actividades!$E6,IFERROR(VLOOKUP(Actividades!$D6,Listas!$A$2:$B$8,2,0),52))=0),"P",""))</f>
        <v/>
      </c>
      <c r="T11" s="25" t="str">
        <f aca="false">IF($A11="","",IF(AND(N(Actividades!$E6)&gt;0,T$4&gt;=Actividades!$E6,MOD(T$4-Actividades!$E6,IFERROR(VLOOKUP(Actividades!$D6,Listas!$A$2:$B$8,2,0),52))=0),"P",""))</f>
        <v/>
      </c>
      <c r="U11" s="25" t="str">
        <f aca="false">IF($A11="","",IF(AND(N(Actividades!$E6)&gt;0,U$4&gt;=Actividades!$E6,MOD(U$4-Actividades!$E6,IFERROR(VLOOKUP(Actividades!$D6,Listas!$A$2:$B$8,2,0),52))=0),"P",""))</f>
        <v/>
      </c>
      <c r="V11" s="25" t="str">
        <f aca="false">IF($A11="","",IF(AND(N(Actividades!$E6)&gt;0,V$4&gt;=Actividades!$E6,MOD(V$4-Actividades!$E6,IFERROR(VLOOKUP(Actividades!$D6,Listas!$A$2:$B$8,2,0),52))=0),"P",""))</f>
        <v/>
      </c>
      <c r="W11" s="25" t="str">
        <f aca="false">IF($A11="","",IF(AND(N(Actividades!$E6)&gt;0,W$4&gt;=Actividades!$E6,MOD(W$4-Actividades!$E6,IFERROR(VLOOKUP(Actividades!$D6,Listas!$A$2:$B$8,2,0),52))=0),"P",""))</f>
        <v/>
      </c>
      <c r="X11" s="25" t="str">
        <f aca="false">IF($A11="","",IF(AND(N(Actividades!$E6)&gt;0,X$4&gt;=Actividades!$E6,MOD(X$4-Actividades!$E6,IFERROR(VLOOKUP(Actividades!$D6,Listas!$A$2:$B$8,2,0),52))=0),"P",""))</f>
        <v/>
      </c>
      <c r="Y11" s="25" t="str">
        <f aca="false">IF($A11="","",IF(AND(N(Actividades!$E6)&gt;0,Y$4&gt;=Actividades!$E6,MOD(Y$4-Actividades!$E6,IFERROR(VLOOKUP(Actividades!$D6,Listas!$A$2:$B$8,2,0),52))=0),"P",""))</f>
        <v/>
      </c>
      <c r="Z11" s="25" t="str">
        <f aca="false">IF($A11="","",IF(AND(N(Actividades!$E6)&gt;0,Z$4&gt;=Actividades!$E6,MOD(Z$4-Actividades!$E6,IFERROR(VLOOKUP(Actividades!$D6,Listas!$A$2:$B$8,2,0),52))=0),"P",""))</f>
        <v/>
      </c>
      <c r="AA11" s="25" t="str">
        <f aca="false">IF($A11="","",IF(AND(N(Actividades!$E6)&gt;0,AA$4&gt;=Actividades!$E6,MOD(AA$4-Actividades!$E6,IFERROR(VLOOKUP(Actividades!$D6,Listas!$A$2:$B$8,2,0),52))=0),"P",""))</f>
        <v/>
      </c>
      <c r="AB11" s="25" t="str">
        <f aca="false">IF($A11="","",IF(AND(N(Actividades!$E6)&gt;0,AB$4&gt;=Actividades!$E6,MOD(AB$4-Actividades!$E6,IFERROR(VLOOKUP(Actividades!$D6,Listas!$A$2:$B$8,2,0),52))=0),"P",""))</f>
        <v/>
      </c>
      <c r="AC11" s="25" t="str">
        <f aca="false">IF($A11="","",IF(AND(N(Actividades!$E6)&gt;0,AC$4&gt;=Actividades!$E6,MOD(AC$4-Actividades!$E6,IFERROR(VLOOKUP(Actividades!$D6,Listas!$A$2:$B$8,2,0),52))=0),"P",""))</f>
        <v/>
      </c>
      <c r="AD11" s="25" t="str">
        <f aca="false">IF($A11="","",IF(AND(N(Actividades!$E6)&gt;0,AD$4&gt;=Actividades!$E6,MOD(AD$4-Actividades!$E6,IFERROR(VLOOKUP(Actividades!$D6,Listas!$A$2:$B$8,2,0),52))=0),"P",""))</f>
        <v/>
      </c>
      <c r="AE11" s="25" t="str">
        <f aca="false">IF($A11="","",IF(AND(N(Actividades!$E6)&gt;0,AE$4&gt;=Actividades!$E6,MOD(AE$4-Actividades!$E6,IFERROR(VLOOKUP(Actividades!$D6,Listas!$A$2:$B$8,2,0),52))=0),"P",""))</f>
        <v/>
      </c>
      <c r="AF11" s="25" t="str">
        <f aca="false">IF($A11="","",IF(AND(N(Actividades!$E6)&gt;0,AF$4&gt;=Actividades!$E6,MOD(AF$4-Actividades!$E6,IFERROR(VLOOKUP(Actividades!$D6,Listas!$A$2:$B$8,2,0),52))=0),"P",""))</f>
        <v/>
      </c>
      <c r="AG11" s="25" t="str">
        <f aca="false">IF($A11="","",IF(AND(N(Actividades!$E6)&gt;0,AG$4&gt;=Actividades!$E6,MOD(AG$4-Actividades!$E6,IFERROR(VLOOKUP(Actividades!$D6,Listas!$A$2:$B$8,2,0),52))=0),"P",""))</f>
        <v/>
      </c>
      <c r="AH11" s="25" t="str">
        <f aca="false">IF($A11="","",IF(AND(N(Actividades!$E6)&gt;0,AH$4&gt;=Actividades!$E6,MOD(AH$4-Actividades!$E6,IFERROR(VLOOKUP(Actividades!$D6,Listas!$A$2:$B$8,2,0),52))=0),"P",""))</f>
        <v/>
      </c>
      <c r="AI11" s="25" t="str">
        <f aca="false">IF($A11="","",IF(AND(N(Actividades!$E6)&gt;0,AI$4&gt;=Actividades!$E6,MOD(AI$4-Actividades!$E6,IFERROR(VLOOKUP(Actividades!$D6,Listas!$A$2:$B$8,2,0),52))=0),"P",""))</f>
        <v/>
      </c>
      <c r="AJ11" s="25" t="str">
        <f aca="false">IF($A11="","",IF(AND(N(Actividades!$E6)&gt;0,AJ$4&gt;=Actividades!$E6,MOD(AJ$4-Actividades!$E6,IFERROR(VLOOKUP(Actividades!$D6,Listas!$A$2:$B$8,2,0),52))=0),"P",""))</f>
        <v/>
      </c>
      <c r="AK11" s="25" t="str">
        <f aca="false">IF($A11="","",IF(AND(N(Actividades!$E6)&gt;0,AK$4&gt;=Actividades!$E6,MOD(AK$4-Actividades!$E6,IFERROR(VLOOKUP(Actividades!$D6,Listas!$A$2:$B$8,2,0),52))=0),"P",""))</f>
        <v/>
      </c>
      <c r="AL11" s="25" t="str">
        <f aca="false">IF($A11="","",IF(AND(N(Actividades!$E6)&gt;0,AL$4&gt;=Actividades!$E6,MOD(AL$4-Actividades!$E6,IFERROR(VLOOKUP(Actividades!$D6,Listas!$A$2:$B$8,2,0),52))=0),"P",""))</f>
        <v/>
      </c>
      <c r="AM11" s="25" t="str">
        <f aca="false">IF($A11="","",IF(AND(N(Actividades!$E6)&gt;0,AM$4&gt;=Actividades!$E6,MOD(AM$4-Actividades!$E6,IFERROR(VLOOKUP(Actividades!$D6,Listas!$A$2:$B$8,2,0),52))=0),"P",""))</f>
        <v/>
      </c>
      <c r="AN11" s="25" t="str">
        <f aca="false">IF($A11="","",IF(AND(N(Actividades!$E6)&gt;0,AN$4&gt;=Actividades!$E6,MOD(AN$4-Actividades!$E6,IFERROR(VLOOKUP(Actividades!$D6,Listas!$A$2:$B$8,2,0),52))=0),"P",""))</f>
        <v/>
      </c>
      <c r="AO11" s="25" t="str">
        <f aca="false">IF($A11="","",IF(AND(N(Actividades!$E6)&gt;0,AO$4&gt;=Actividades!$E6,MOD(AO$4-Actividades!$E6,IFERROR(VLOOKUP(Actividades!$D6,Listas!$A$2:$B$8,2,0),52))=0),"P",""))</f>
        <v/>
      </c>
      <c r="AP11" s="25" t="str">
        <f aca="false">IF($A11="","",IF(AND(N(Actividades!$E6)&gt;0,AP$4&gt;=Actividades!$E6,MOD(AP$4-Actividades!$E6,IFERROR(VLOOKUP(Actividades!$D6,Listas!$A$2:$B$8,2,0),52))=0),"P",""))</f>
        <v/>
      </c>
      <c r="AQ11" s="25" t="str">
        <f aca="false">IF($A11="","",IF(AND(N(Actividades!$E6)&gt;0,AQ$4&gt;=Actividades!$E6,MOD(AQ$4-Actividades!$E6,IFERROR(VLOOKUP(Actividades!$D6,Listas!$A$2:$B$8,2,0),52))=0),"P",""))</f>
        <v/>
      </c>
      <c r="AR11" s="25" t="str">
        <f aca="false">IF($A11="","",IF(AND(N(Actividades!$E6)&gt;0,AR$4&gt;=Actividades!$E6,MOD(AR$4-Actividades!$E6,IFERROR(VLOOKUP(Actividades!$D6,Listas!$A$2:$B$8,2,0),52))=0),"P",""))</f>
        <v/>
      </c>
      <c r="AS11" s="25" t="str">
        <f aca="false">IF($A11="","",IF(AND(N(Actividades!$E6)&gt;0,AS$4&gt;=Actividades!$E6,MOD(AS$4-Actividades!$E6,IFERROR(VLOOKUP(Actividades!$D6,Listas!$A$2:$B$8,2,0),52))=0),"P",""))</f>
        <v/>
      </c>
      <c r="AT11" s="25" t="str">
        <f aca="false">IF($A11="","",IF(AND(N(Actividades!$E6)&gt;0,AT$4&gt;=Actividades!$E6,MOD(AT$4-Actividades!$E6,IFERROR(VLOOKUP(Actividades!$D6,Listas!$A$2:$B$8,2,0),52))=0),"P",""))</f>
        <v/>
      </c>
      <c r="AU11" s="25" t="str">
        <f aca="false">IF($A11="","",IF(AND(N(Actividades!$E6)&gt;0,AU$4&gt;=Actividades!$E6,MOD(AU$4-Actividades!$E6,IFERROR(VLOOKUP(Actividades!$D6,Listas!$A$2:$B$8,2,0),52))=0),"P",""))</f>
        <v/>
      </c>
      <c r="AV11" s="25" t="str">
        <f aca="false">IF($A11="","",IF(AND(N(Actividades!$E6)&gt;0,AV$4&gt;=Actividades!$E6,MOD(AV$4-Actividades!$E6,IFERROR(VLOOKUP(Actividades!$D6,Listas!$A$2:$B$8,2,0),52))=0),"P",""))</f>
        <v/>
      </c>
      <c r="AW11" s="25" t="str">
        <f aca="false">IF($A11="","",IF(AND(N(Actividades!$E6)&gt;0,AW$4&gt;=Actividades!$E6,MOD(AW$4-Actividades!$E6,IFERROR(VLOOKUP(Actividades!$D6,Listas!$A$2:$B$8,2,0),52))=0),"P",""))</f>
        <v/>
      </c>
      <c r="AX11" s="25" t="str">
        <f aca="false">IF($A11="","",IF(AND(N(Actividades!$E6)&gt;0,AX$4&gt;=Actividades!$E6,MOD(AX$4-Actividades!$E6,IFERROR(VLOOKUP(Actividades!$D6,Listas!$A$2:$B$8,2,0),52))=0),"P",""))</f>
        <v/>
      </c>
      <c r="AY11" s="25" t="str">
        <f aca="false">IF($A11="","",IF(AND(N(Actividades!$E6)&gt;0,AY$4&gt;=Actividades!$E6,MOD(AY$4-Actividades!$E6,IFERROR(VLOOKUP(Actividades!$D6,Listas!$A$2:$B$8,2,0),52))=0),"P",""))</f>
        <v/>
      </c>
      <c r="AZ11" s="25" t="str">
        <f aca="false">IF($A11="","",IF(AND(N(Actividades!$E6)&gt;0,AZ$4&gt;=Actividades!$E6,MOD(AZ$4-Actividades!$E6,IFERROR(VLOOKUP(Actividades!$D6,Listas!$A$2:$B$8,2,0),52))=0),"P",""))</f>
        <v/>
      </c>
      <c r="BA11" s="25" t="str">
        <f aca="false">IF($A11="","",IF(AND(N(Actividades!$E6)&gt;0,BA$4&gt;=Actividades!$E6,MOD(BA$4-Actividades!$E6,IFERROR(VLOOKUP(Actividades!$D6,Listas!$A$2:$B$8,2,0),52))=0),"P",""))</f>
        <v/>
      </c>
      <c r="BB11" s="25" t="str">
        <f aca="false">IF($A11="","",IF(AND(N(Actividades!$E6)&gt;0,BB$4&gt;=Actividades!$E6,MOD(BB$4-Actividades!$E6,IFERROR(VLOOKUP(Actividades!$D6,Listas!$A$2:$B$8,2,0),52))=0),"P",""))</f>
        <v/>
      </c>
      <c r="BC11" s="25" t="str">
        <f aca="false">IF($A11="","",IF(AND(N(Actividades!$E6)&gt;0,BC$4&gt;=Actividades!$E6,MOD(BC$4-Actividades!$E6,IFERROR(VLOOKUP(Actividades!$D6,Listas!$A$2:$B$8,2,0),52))=0),"P",""))</f>
        <v/>
      </c>
      <c r="BD11" s="26" t="str">
        <f aca="false">IF($A11="","",COUNTIF(D11:BC11,"P"))</f>
        <v/>
      </c>
      <c r="BE11" s="26" t="str">
        <f aca="false">IF($A11="","",SUMPRODUCT((D11:BC11="P")*(D12:BC12="✓")))</f>
        <v/>
      </c>
      <c r="BF11" s="27" t="str">
        <f aca="false">IF($A11="","",IF(BD11=0,"",BE11/BD11))</f>
        <v/>
      </c>
    </row>
    <row r="12" customFormat="false" ht="15" hidden="false" customHeight="false" outlineLevel="0" collapsed="false">
      <c r="A12" s="28"/>
      <c r="B12" s="28"/>
      <c r="C12" s="28" t="str">
        <f aca="false">IF($A11="","","Real")</f>
        <v/>
      </c>
      <c r="D12" s="29" t="str">
        <f aca="false">IF($A11="","",IF(COUNTIFS(Historial!$B$3:$B$502,$A11,Historial!$C$3:$C$502,$B11,Historial!$G$3:$G$502,D$4,Historial!$H$3:$H$502,$B$2)&gt;0,"✓",""))</f>
        <v/>
      </c>
      <c r="E12" s="29" t="str">
        <f aca="false">IF($A11="","",IF(COUNTIFS(Historial!$B$3:$B$502,$A11,Historial!$C$3:$C$502,$B11,Historial!$G$3:$G$502,E$4,Historial!$H$3:$H$502,$B$2)&gt;0,"✓",""))</f>
        <v/>
      </c>
      <c r="F12" s="29" t="str">
        <f aca="false">IF($A11="","",IF(COUNTIFS(Historial!$B$3:$B$502,$A11,Historial!$C$3:$C$502,$B11,Historial!$G$3:$G$502,F$4,Historial!$H$3:$H$502,$B$2)&gt;0,"✓",""))</f>
        <v/>
      </c>
      <c r="G12" s="29" t="str">
        <f aca="false">IF($A11="","",IF(COUNTIFS(Historial!$B$3:$B$502,$A11,Historial!$C$3:$C$502,$B11,Historial!$G$3:$G$502,G$4,Historial!$H$3:$H$502,$B$2)&gt;0,"✓",""))</f>
        <v/>
      </c>
      <c r="H12" s="29" t="str">
        <f aca="false">IF($A11="","",IF(COUNTIFS(Historial!$B$3:$B$502,$A11,Historial!$C$3:$C$502,$B11,Historial!$G$3:$G$502,H$4,Historial!$H$3:$H$502,$B$2)&gt;0,"✓",""))</f>
        <v/>
      </c>
      <c r="I12" s="29" t="str">
        <f aca="false">IF($A11="","",IF(COUNTIFS(Historial!$B$3:$B$502,$A11,Historial!$C$3:$C$502,$B11,Historial!$G$3:$G$502,I$4,Historial!$H$3:$H$502,$B$2)&gt;0,"✓",""))</f>
        <v/>
      </c>
      <c r="J12" s="29" t="str">
        <f aca="false">IF($A11="","",IF(COUNTIFS(Historial!$B$3:$B$502,$A11,Historial!$C$3:$C$502,$B11,Historial!$G$3:$G$502,J$4,Historial!$H$3:$H$502,$B$2)&gt;0,"✓",""))</f>
        <v/>
      </c>
      <c r="K12" s="29" t="str">
        <f aca="false">IF($A11="","",IF(COUNTIFS(Historial!$B$3:$B$502,$A11,Historial!$C$3:$C$502,$B11,Historial!$G$3:$G$502,K$4,Historial!$H$3:$H$502,$B$2)&gt;0,"✓",""))</f>
        <v/>
      </c>
      <c r="L12" s="29" t="str">
        <f aca="false">IF($A11="","",IF(COUNTIFS(Historial!$B$3:$B$502,$A11,Historial!$C$3:$C$502,$B11,Historial!$G$3:$G$502,L$4,Historial!$H$3:$H$502,$B$2)&gt;0,"✓",""))</f>
        <v/>
      </c>
      <c r="M12" s="29" t="str">
        <f aca="false">IF($A11="","",IF(COUNTIFS(Historial!$B$3:$B$502,$A11,Historial!$C$3:$C$502,$B11,Historial!$G$3:$G$502,M$4,Historial!$H$3:$H$502,$B$2)&gt;0,"✓",""))</f>
        <v/>
      </c>
      <c r="N12" s="29" t="str">
        <f aca="false">IF($A11="","",IF(COUNTIFS(Historial!$B$3:$B$502,$A11,Historial!$C$3:$C$502,$B11,Historial!$G$3:$G$502,N$4,Historial!$H$3:$H$502,$B$2)&gt;0,"✓",""))</f>
        <v/>
      </c>
      <c r="O12" s="29" t="str">
        <f aca="false">IF($A11="","",IF(COUNTIFS(Historial!$B$3:$B$502,$A11,Historial!$C$3:$C$502,$B11,Historial!$G$3:$G$502,O$4,Historial!$H$3:$H$502,$B$2)&gt;0,"✓",""))</f>
        <v/>
      </c>
      <c r="P12" s="29" t="str">
        <f aca="false">IF($A11="","",IF(COUNTIFS(Historial!$B$3:$B$502,$A11,Historial!$C$3:$C$502,$B11,Historial!$G$3:$G$502,P$4,Historial!$H$3:$H$502,$B$2)&gt;0,"✓",""))</f>
        <v/>
      </c>
      <c r="Q12" s="29" t="str">
        <f aca="false">IF($A11="","",IF(COUNTIFS(Historial!$B$3:$B$502,$A11,Historial!$C$3:$C$502,$B11,Historial!$G$3:$G$502,Q$4,Historial!$H$3:$H$502,$B$2)&gt;0,"✓",""))</f>
        <v/>
      </c>
      <c r="R12" s="29" t="str">
        <f aca="false">IF($A11="","",IF(COUNTIFS(Historial!$B$3:$B$502,$A11,Historial!$C$3:$C$502,$B11,Historial!$G$3:$G$502,R$4,Historial!$H$3:$H$502,$B$2)&gt;0,"✓",""))</f>
        <v/>
      </c>
      <c r="S12" s="29" t="str">
        <f aca="false">IF($A11="","",IF(COUNTIFS(Historial!$B$3:$B$502,$A11,Historial!$C$3:$C$502,$B11,Historial!$G$3:$G$502,S$4,Historial!$H$3:$H$502,$B$2)&gt;0,"✓",""))</f>
        <v/>
      </c>
      <c r="T12" s="29" t="str">
        <f aca="false">IF($A11="","",IF(COUNTIFS(Historial!$B$3:$B$502,$A11,Historial!$C$3:$C$502,$B11,Historial!$G$3:$G$502,T$4,Historial!$H$3:$H$502,$B$2)&gt;0,"✓",""))</f>
        <v/>
      </c>
      <c r="U12" s="29" t="str">
        <f aca="false">IF($A11="","",IF(COUNTIFS(Historial!$B$3:$B$502,$A11,Historial!$C$3:$C$502,$B11,Historial!$G$3:$G$502,U$4,Historial!$H$3:$H$502,$B$2)&gt;0,"✓",""))</f>
        <v/>
      </c>
      <c r="V12" s="29" t="str">
        <f aca="false">IF($A11="","",IF(COUNTIFS(Historial!$B$3:$B$502,$A11,Historial!$C$3:$C$502,$B11,Historial!$G$3:$G$502,V$4,Historial!$H$3:$H$502,$B$2)&gt;0,"✓",""))</f>
        <v/>
      </c>
      <c r="W12" s="29" t="str">
        <f aca="false">IF($A11="","",IF(COUNTIFS(Historial!$B$3:$B$502,$A11,Historial!$C$3:$C$502,$B11,Historial!$G$3:$G$502,W$4,Historial!$H$3:$H$502,$B$2)&gt;0,"✓",""))</f>
        <v/>
      </c>
      <c r="X12" s="29" t="str">
        <f aca="false">IF($A11="","",IF(COUNTIFS(Historial!$B$3:$B$502,$A11,Historial!$C$3:$C$502,$B11,Historial!$G$3:$G$502,X$4,Historial!$H$3:$H$502,$B$2)&gt;0,"✓",""))</f>
        <v/>
      </c>
      <c r="Y12" s="29" t="str">
        <f aca="false">IF($A11="","",IF(COUNTIFS(Historial!$B$3:$B$502,$A11,Historial!$C$3:$C$502,$B11,Historial!$G$3:$G$502,Y$4,Historial!$H$3:$H$502,$B$2)&gt;0,"✓",""))</f>
        <v/>
      </c>
      <c r="Z12" s="29" t="str">
        <f aca="false">IF($A11="","",IF(COUNTIFS(Historial!$B$3:$B$502,$A11,Historial!$C$3:$C$502,$B11,Historial!$G$3:$G$502,Z$4,Historial!$H$3:$H$502,$B$2)&gt;0,"✓",""))</f>
        <v/>
      </c>
      <c r="AA12" s="29" t="str">
        <f aca="false">IF($A11="","",IF(COUNTIFS(Historial!$B$3:$B$502,$A11,Historial!$C$3:$C$502,$B11,Historial!$G$3:$G$502,AA$4,Historial!$H$3:$H$502,$B$2)&gt;0,"✓",""))</f>
        <v/>
      </c>
      <c r="AB12" s="29" t="str">
        <f aca="false">IF($A11="","",IF(COUNTIFS(Historial!$B$3:$B$502,$A11,Historial!$C$3:$C$502,$B11,Historial!$G$3:$G$502,AB$4,Historial!$H$3:$H$502,$B$2)&gt;0,"✓",""))</f>
        <v/>
      </c>
      <c r="AC12" s="29" t="str">
        <f aca="false">IF($A11="","",IF(COUNTIFS(Historial!$B$3:$B$502,$A11,Historial!$C$3:$C$502,$B11,Historial!$G$3:$G$502,AC$4,Historial!$H$3:$H$502,$B$2)&gt;0,"✓",""))</f>
        <v/>
      </c>
      <c r="AD12" s="29" t="str">
        <f aca="false">IF($A11="","",IF(COUNTIFS(Historial!$B$3:$B$502,$A11,Historial!$C$3:$C$502,$B11,Historial!$G$3:$G$502,AD$4,Historial!$H$3:$H$502,$B$2)&gt;0,"✓",""))</f>
        <v/>
      </c>
      <c r="AE12" s="29" t="str">
        <f aca="false">IF($A11="","",IF(COUNTIFS(Historial!$B$3:$B$502,$A11,Historial!$C$3:$C$502,$B11,Historial!$G$3:$G$502,AE$4,Historial!$H$3:$H$502,$B$2)&gt;0,"✓",""))</f>
        <v/>
      </c>
      <c r="AF12" s="29" t="str">
        <f aca="false">IF($A11="","",IF(COUNTIFS(Historial!$B$3:$B$502,$A11,Historial!$C$3:$C$502,$B11,Historial!$G$3:$G$502,AF$4,Historial!$H$3:$H$502,$B$2)&gt;0,"✓",""))</f>
        <v/>
      </c>
      <c r="AG12" s="29" t="str">
        <f aca="false">IF($A11="","",IF(COUNTIFS(Historial!$B$3:$B$502,$A11,Historial!$C$3:$C$502,$B11,Historial!$G$3:$G$502,AG$4,Historial!$H$3:$H$502,$B$2)&gt;0,"✓",""))</f>
        <v/>
      </c>
      <c r="AH12" s="29" t="str">
        <f aca="false">IF($A11="","",IF(COUNTIFS(Historial!$B$3:$B$502,$A11,Historial!$C$3:$C$502,$B11,Historial!$G$3:$G$502,AH$4,Historial!$H$3:$H$502,$B$2)&gt;0,"✓",""))</f>
        <v/>
      </c>
      <c r="AI12" s="29" t="str">
        <f aca="false">IF($A11="","",IF(COUNTIFS(Historial!$B$3:$B$502,$A11,Historial!$C$3:$C$502,$B11,Historial!$G$3:$G$502,AI$4,Historial!$H$3:$H$502,$B$2)&gt;0,"✓",""))</f>
        <v/>
      </c>
      <c r="AJ12" s="29" t="str">
        <f aca="false">IF($A11="","",IF(COUNTIFS(Historial!$B$3:$B$502,$A11,Historial!$C$3:$C$502,$B11,Historial!$G$3:$G$502,AJ$4,Historial!$H$3:$H$502,$B$2)&gt;0,"✓",""))</f>
        <v/>
      </c>
      <c r="AK12" s="29" t="str">
        <f aca="false">IF($A11="","",IF(COUNTIFS(Historial!$B$3:$B$502,$A11,Historial!$C$3:$C$502,$B11,Historial!$G$3:$G$502,AK$4,Historial!$H$3:$H$502,$B$2)&gt;0,"✓",""))</f>
        <v/>
      </c>
      <c r="AL12" s="29" t="str">
        <f aca="false">IF($A11="","",IF(COUNTIFS(Historial!$B$3:$B$502,$A11,Historial!$C$3:$C$502,$B11,Historial!$G$3:$G$502,AL$4,Historial!$H$3:$H$502,$B$2)&gt;0,"✓",""))</f>
        <v/>
      </c>
      <c r="AM12" s="29" t="str">
        <f aca="false">IF($A11="","",IF(COUNTIFS(Historial!$B$3:$B$502,$A11,Historial!$C$3:$C$502,$B11,Historial!$G$3:$G$502,AM$4,Historial!$H$3:$H$502,$B$2)&gt;0,"✓",""))</f>
        <v/>
      </c>
      <c r="AN12" s="29" t="str">
        <f aca="false">IF($A11="","",IF(COUNTIFS(Historial!$B$3:$B$502,$A11,Historial!$C$3:$C$502,$B11,Historial!$G$3:$G$502,AN$4,Historial!$H$3:$H$502,$B$2)&gt;0,"✓",""))</f>
        <v/>
      </c>
      <c r="AO12" s="29" t="str">
        <f aca="false">IF($A11="","",IF(COUNTIFS(Historial!$B$3:$B$502,$A11,Historial!$C$3:$C$502,$B11,Historial!$G$3:$G$502,AO$4,Historial!$H$3:$H$502,$B$2)&gt;0,"✓",""))</f>
        <v/>
      </c>
      <c r="AP12" s="29" t="str">
        <f aca="false">IF($A11="","",IF(COUNTIFS(Historial!$B$3:$B$502,$A11,Historial!$C$3:$C$502,$B11,Historial!$G$3:$G$502,AP$4,Historial!$H$3:$H$502,$B$2)&gt;0,"✓",""))</f>
        <v/>
      </c>
      <c r="AQ12" s="29" t="str">
        <f aca="false">IF($A11="","",IF(COUNTIFS(Historial!$B$3:$B$502,$A11,Historial!$C$3:$C$502,$B11,Historial!$G$3:$G$502,AQ$4,Historial!$H$3:$H$502,$B$2)&gt;0,"✓",""))</f>
        <v/>
      </c>
      <c r="AR12" s="29" t="str">
        <f aca="false">IF($A11="","",IF(COUNTIFS(Historial!$B$3:$B$502,$A11,Historial!$C$3:$C$502,$B11,Historial!$G$3:$G$502,AR$4,Historial!$H$3:$H$502,$B$2)&gt;0,"✓",""))</f>
        <v/>
      </c>
      <c r="AS12" s="29" t="str">
        <f aca="false">IF($A11="","",IF(COUNTIFS(Historial!$B$3:$B$502,$A11,Historial!$C$3:$C$502,$B11,Historial!$G$3:$G$502,AS$4,Historial!$H$3:$H$502,$B$2)&gt;0,"✓",""))</f>
        <v/>
      </c>
      <c r="AT12" s="29" t="str">
        <f aca="false">IF($A11="","",IF(COUNTIFS(Historial!$B$3:$B$502,$A11,Historial!$C$3:$C$502,$B11,Historial!$G$3:$G$502,AT$4,Historial!$H$3:$H$502,$B$2)&gt;0,"✓",""))</f>
        <v/>
      </c>
      <c r="AU12" s="29" t="str">
        <f aca="false">IF($A11="","",IF(COUNTIFS(Historial!$B$3:$B$502,$A11,Historial!$C$3:$C$502,$B11,Historial!$G$3:$G$502,AU$4,Historial!$H$3:$H$502,$B$2)&gt;0,"✓",""))</f>
        <v/>
      </c>
      <c r="AV12" s="29" t="str">
        <f aca="false">IF($A11="","",IF(COUNTIFS(Historial!$B$3:$B$502,$A11,Historial!$C$3:$C$502,$B11,Historial!$G$3:$G$502,AV$4,Historial!$H$3:$H$502,$B$2)&gt;0,"✓",""))</f>
        <v/>
      </c>
      <c r="AW12" s="29" t="str">
        <f aca="false">IF($A11="","",IF(COUNTIFS(Historial!$B$3:$B$502,$A11,Historial!$C$3:$C$502,$B11,Historial!$G$3:$G$502,AW$4,Historial!$H$3:$H$502,$B$2)&gt;0,"✓",""))</f>
        <v/>
      </c>
      <c r="AX12" s="29" t="str">
        <f aca="false">IF($A11="","",IF(COUNTIFS(Historial!$B$3:$B$502,$A11,Historial!$C$3:$C$502,$B11,Historial!$G$3:$G$502,AX$4,Historial!$H$3:$H$502,$B$2)&gt;0,"✓",""))</f>
        <v/>
      </c>
      <c r="AY12" s="29" t="str">
        <f aca="false">IF($A11="","",IF(COUNTIFS(Historial!$B$3:$B$502,$A11,Historial!$C$3:$C$502,$B11,Historial!$G$3:$G$502,AY$4,Historial!$H$3:$H$502,$B$2)&gt;0,"✓",""))</f>
        <v/>
      </c>
      <c r="AZ12" s="29" t="str">
        <f aca="false">IF($A11="","",IF(COUNTIFS(Historial!$B$3:$B$502,$A11,Historial!$C$3:$C$502,$B11,Historial!$G$3:$G$502,AZ$4,Historial!$H$3:$H$502,$B$2)&gt;0,"✓",""))</f>
        <v/>
      </c>
      <c r="BA12" s="29" t="str">
        <f aca="false">IF($A11="","",IF(COUNTIFS(Historial!$B$3:$B$502,$A11,Historial!$C$3:$C$502,$B11,Historial!$G$3:$G$502,BA$4,Historial!$H$3:$H$502,$B$2)&gt;0,"✓",""))</f>
        <v/>
      </c>
      <c r="BB12" s="29" t="str">
        <f aca="false">IF($A11="","",IF(COUNTIFS(Historial!$B$3:$B$502,$A11,Historial!$C$3:$C$502,$B11,Historial!$G$3:$G$502,BB$4,Historial!$H$3:$H$502,$B$2)&gt;0,"✓",""))</f>
        <v/>
      </c>
      <c r="BC12" s="29" t="str">
        <f aca="false">IF($A11="","",IF(COUNTIFS(Historial!$B$3:$B$502,$A11,Historial!$C$3:$C$502,$B11,Historial!$G$3:$G$502,BC$4,Historial!$H$3:$H$502,$B$2)&gt;0,"✓",""))</f>
        <v/>
      </c>
      <c r="BD12" s="29"/>
      <c r="BE12" s="29"/>
      <c r="BF12" s="29"/>
    </row>
    <row r="13" customFormat="false" ht="15" hidden="false" customHeight="false" outlineLevel="0" collapsed="false">
      <c r="A13" s="24" t="str">
        <f aca="false">IF(Actividades!$B7="","",Actividades!$B7)</f>
        <v/>
      </c>
      <c r="B13" s="24" t="str">
        <f aca="false">IF(Actividades!$C7="","",Actividades!$C7)</f>
        <v/>
      </c>
      <c r="C13" s="24" t="str">
        <f aca="false">IF($A13="","","Plan")</f>
        <v/>
      </c>
      <c r="D13" s="25" t="str">
        <f aca="false">IF($A13="","",IF(AND(N(Actividades!$E7)&gt;0,D$4&gt;=Actividades!$E7,MOD(D$4-Actividades!$E7,IFERROR(VLOOKUP(Actividades!$D7,Listas!$A$2:$B$8,2,0),52))=0),"P",""))</f>
        <v/>
      </c>
      <c r="E13" s="25" t="str">
        <f aca="false">IF($A13="","",IF(AND(N(Actividades!$E7)&gt;0,E$4&gt;=Actividades!$E7,MOD(E$4-Actividades!$E7,IFERROR(VLOOKUP(Actividades!$D7,Listas!$A$2:$B$8,2,0),52))=0),"P",""))</f>
        <v/>
      </c>
      <c r="F13" s="25" t="str">
        <f aca="false">IF($A13="","",IF(AND(N(Actividades!$E7)&gt;0,F$4&gt;=Actividades!$E7,MOD(F$4-Actividades!$E7,IFERROR(VLOOKUP(Actividades!$D7,Listas!$A$2:$B$8,2,0),52))=0),"P",""))</f>
        <v/>
      </c>
      <c r="G13" s="25" t="str">
        <f aca="false">IF($A13="","",IF(AND(N(Actividades!$E7)&gt;0,G$4&gt;=Actividades!$E7,MOD(G$4-Actividades!$E7,IFERROR(VLOOKUP(Actividades!$D7,Listas!$A$2:$B$8,2,0),52))=0),"P",""))</f>
        <v/>
      </c>
      <c r="H13" s="25" t="str">
        <f aca="false">IF($A13="","",IF(AND(N(Actividades!$E7)&gt;0,H$4&gt;=Actividades!$E7,MOD(H$4-Actividades!$E7,IFERROR(VLOOKUP(Actividades!$D7,Listas!$A$2:$B$8,2,0),52))=0),"P",""))</f>
        <v/>
      </c>
      <c r="I13" s="25" t="str">
        <f aca="false">IF($A13="","",IF(AND(N(Actividades!$E7)&gt;0,I$4&gt;=Actividades!$E7,MOD(I$4-Actividades!$E7,IFERROR(VLOOKUP(Actividades!$D7,Listas!$A$2:$B$8,2,0),52))=0),"P",""))</f>
        <v/>
      </c>
      <c r="J13" s="25" t="str">
        <f aca="false">IF($A13="","",IF(AND(N(Actividades!$E7)&gt;0,J$4&gt;=Actividades!$E7,MOD(J$4-Actividades!$E7,IFERROR(VLOOKUP(Actividades!$D7,Listas!$A$2:$B$8,2,0),52))=0),"P",""))</f>
        <v/>
      </c>
      <c r="K13" s="25" t="str">
        <f aca="false">IF($A13="","",IF(AND(N(Actividades!$E7)&gt;0,K$4&gt;=Actividades!$E7,MOD(K$4-Actividades!$E7,IFERROR(VLOOKUP(Actividades!$D7,Listas!$A$2:$B$8,2,0),52))=0),"P",""))</f>
        <v/>
      </c>
      <c r="L13" s="25" t="str">
        <f aca="false">IF($A13="","",IF(AND(N(Actividades!$E7)&gt;0,L$4&gt;=Actividades!$E7,MOD(L$4-Actividades!$E7,IFERROR(VLOOKUP(Actividades!$D7,Listas!$A$2:$B$8,2,0),52))=0),"P",""))</f>
        <v/>
      </c>
      <c r="M13" s="25" t="str">
        <f aca="false">IF($A13="","",IF(AND(N(Actividades!$E7)&gt;0,M$4&gt;=Actividades!$E7,MOD(M$4-Actividades!$E7,IFERROR(VLOOKUP(Actividades!$D7,Listas!$A$2:$B$8,2,0),52))=0),"P",""))</f>
        <v/>
      </c>
      <c r="N13" s="25" t="str">
        <f aca="false">IF($A13="","",IF(AND(N(Actividades!$E7)&gt;0,N$4&gt;=Actividades!$E7,MOD(N$4-Actividades!$E7,IFERROR(VLOOKUP(Actividades!$D7,Listas!$A$2:$B$8,2,0),52))=0),"P",""))</f>
        <v/>
      </c>
      <c r="O13" s="25" t="str">
        <f aca="false">IF($A13="","",IF(AND(N(Actividades!$E7)&gt;0,O$4&gt;=Actividades!$E7,MOD(O$4-Actividades!$E7,IFERROR(VLOOKUP(Actividades!$D7,Listas!$A$2:$B$8,2,0),52))=0),"P",""))</f>
        <v/>
      </c>
      <c r="P13" s="25" t="str">
        <f aca="false">IF($A13="","",IF(AND(N(Actividades!$E7)&gt;0,P$4&gt;=Actividades!$E7,MOD(P$4-Actividades!$E7,IFERROR(VLOOKUP(Actividades!$D7,Listas!$A$2:$B$8,2,0),52))=0),"P",""))</f>
        <v/>
      </c>
      <c r="Q13" s="25" t="str">
        <f aca="false">IF($A13="","",IF(AND(N(Actividades!$E7)&gt;0,Q$4&gt;=Actividades!$E7,MOD(Q$4-Actividades!$E7,IFERROR(VLOOKUP(Actividades!$D7,Listas!$A$2:$B$8,2,0),52))=0),"P",""))</f>
        <v/>
      </c>
      <c r="R13" s="25" t="str">
        <f aca="false">IF($A13="","",IF(AND(N(Actividades!$E7)&gt;0,R$4&gt;=Actividades!$E7,MOD(R$4-Actividades!$E7,IFERROR(VLOOKUP(Actividades!$D7,Listas!$A$2:$B$8,2,0),52))=0),"P",""))</f>
        <v/>
      </c>
      <c r="S13" s="25" t="str">
        <f aca="false">IF($A13="","",IF(AND(N(Actividades!$E7)&gt;0,S$4&gt;=Actividades!$E7,MOD(S$4-Actividades!$E7,IFERROR(VLOOKUP(Actividades!$D7,Listas!$A$2:$B$8,2,0),52))=0),"P",""))</f>
        <v/>
      </c>
      <c r="T13" s="25" t="str">
        <f aca="false">IF($A13="","",IF(AND(N(Actividades!$E7)&gt;0,T$4&gt;=Actividades!$E7,MOD(T$4-Actividades!$E7,IFERROR(VLOOKUP(Actividades!$D7,Listas!$A$2:$B$8,2,0),52))=0),"P",""))</f>
        <v/>
      </c>
      <c r="U13" s="25" t="str">
        <f aca="false">IF($A13="","",IF(AND(N(Actividades!$E7)&gt;0,U$4&gt;=Actividades!$E7,MOD(U$4-Actividades!$E7,IFERROR(VLOOKUP(Actividades!$D7,Listas!$A$2:$B$8,2,0),52))=0),"P",""))</f>
        <v/>
      </c>
      <c r="V13" s="25" t="str">
        <f aca="false">IF($A13="","",IF(AND(N(Actividades!$E7)&gt;0,V$4&gt;=Actividades!$E7,MOD(V$4-Actividades!$E7,IFERROR(VLOOKUP(Actividades!$D7,Listas!$A$2:$B$8,2,0),52))=0),"P",""))</f>
        <v/>
      </c>
      <c r="W13" s="25" t="str">
        <f aca="false">IF($A13="","",IF(AND(N(Actividades!$E7)&gt;0,W$4&gt;=Actividades!$E7,MOD(W$4-Actividades!$E7,IFERROR(VLOOKUP(Actividades!$D7,Listas!$A$2:$B$8,2,0),52))=0),"P",""))</f>
        <v/>
      </c>
      <c r="X13" s="25" t="str">
        <f aca="false">IF($A13="","",IF(AND(N(Actividades!$E7)&gt;0,X$4&gt;=Actividades!$E7,MOD(X$4-Actividades!$E7,IFERROR(VLOOKUP(Actividades!$D7,Listas!$A$2:$B$8,2,0),52))=0),"P",""))</f>
        <v/>
      </c>
      <c r="Y13" s="25" t="str">
        <f aca="false">IF($A13="","",IF(AND(N(Actividades!$E7)&gt;0,Y$4&gt;=Actividades!$E7,MOD(Y$4-Actividades!$E7,IFERROR(VLOOKUP(Actividades!$D7,Listas!$A$2:$B$8,2,0),52))=0),"P",""))</f>
        <v/>
      </c>
      <c r="Z13" s="25" t="str">
        <f aca="false">IF($A13="","",IF(AND(N(Actividades!$E7)&gt;0,Z$4&gt;=Actividades!$E7,MOD(Z$4-Actividades!$E7,IFERROR(VLOOKUP(Actividades!$D7,Listas!$A$2:$B$8,2,0),52))=0),"P",""))</f>
        <v/>
      </c>
      <c r="AA13" s="25" t="str">
        <f aca="false">IF($A13="","",IF(AND(N(Actividades!$E7)&gt;0,AA$4&gt;=Actividades!$E7,MOD(AA$4-Actividades!$E7,IFERROR(VLOOKUP(Actividades!$D7,Listas!$A$2:$B$8,2,0),52))=0),"P",""))</f>
        <v/>
      </c>
      <c r="AB13" s="25" t="str">
        <f aca="false">IF($A13="","",IF(AND(N(Actividades!$E7)&gt;0,AB$4&gt;=Actividades!$E7,MOD(AB$4-Actividades!$E7,IFERROR(VLOOKUP(Actividades!$D7,Listas!$A$2:$B$8,2,0),52))=0),"P",""))</f>
        <v/>
      </c>
      <c r="AC13" s="25" t="str">
        <f aca="false">IF($A13="","",IF(AND(N(Actividades!$E7)&gt;0,AC$4&gt;=Actividades!$E7,MOD(AC$4-Actividades!$E7,IFERROR(VLOOKUP(Actividades!$D7,Listas!$A$2:$B$8,2,0),52))=0),"P",""))</f>
        <v/>
      </c>
      <c r="AD13" s="25" t="str">
        <f aca="false">IF($A13="","",IF(AND(N(Actividades!$E7)&gt;0,AD$4&gt;=Actividades!$E7,MOD(AD$4-Actividades!$E7,IFERROR(VLOOKUP(Actividades!$D7,Listas!$A$2:$B$8,2,0),52))=0),"P",""))</f>
        <v/>
      </c>
      <c r="AE13" s="25" t="str">
        <f aca="false">IF($A13="","",IF(AND(N(Actividades!$E7)&gt;0,AE$4&gt;=Actividades!$E7,MOD(AE$4-Actividades!$E7,IFERROR(VLOOKUP(Actividades!$D7,Listas!$A$2:$B$8,2,0),52))=0),"P",""))</f>
        <v/>
      </c>
      <c r="AF13" s="25" t="str">
        <f aca="false">IF($A13="","",IF(AND(N(Actividades!$E7)&gt;0,AF$4&gt;=Actividades!$E7,MOD(AF$4-Actividades!$E7,IFERROR(VLOOKUP(Actividades!$D7,Listas!$A$2:$B$8,2,0),52))=0),"P",""))</f>
        <v/>
      </c>
      <c r="AG13" s="25" t="str">
        <f aca="false">IF($A13="","",IF(AND(N(Actividades!$E7)&gt;0,AG$4&gt;=Actividades!$E7,MOD(AG$4-Actividades!$E7,IFERROR(VLOOKUP(Actividades!$D7,Listas!$A$2:$B$8,2,0),52))=0),"P",""))</f>
        <v/>
      </c>
      <c r="AH13" s="25" t="str">
        <f aca="false">IF($A13="","",IF(AND(N(Actividades!$E7)&gt;0,AH$4&gt;=Actividades!$E7,MOD(AH$4-Actividades!$E7,IFERROR(VLOOKUP(Actividades!$D7,Listas!$A$2:$B$8,2,0),52))=0),"P",""))</f>
        <v/>
      </c>
      <c r="AI13" s="25" t="str">
        <f aca="false">IF($A13="","",IF(AND(N(Actividades!$E7)&gt;0,AI$4&gt;=Actividades!$E7,MOD(AI$4-Actividades!$E7,IFERROR(VLOOKUP(Actividades!$D7,Listas!$A$2:$B$8,2,0),52))=0),"P",""))</f>
        <v/>
      </c>
      <c r="AJ13" s="25" t="str">
        <f aca="false">IF($A13="","",IF(AND(N(Actividades!$E7)&gt;0,AJ$4&gt;=Actividades!$E7,MOD(AJ$4-Actividades!$E7,IFERROR(VLOOKUP(Actividades!$D7,Listas!$A$2:$B$8,2,0),52))=0),"P",""))</f>
        <v/>
      </c>
      <c r="AK13" s="25" t="str">
        <f aca="false">IF($A13="","",IF(AND(N(Actividades!$E7)&gt;0,AK$4&gt;=Actividades!$E7,MOD(AK$4-Actividades!$E7,IFERROR(VLOOKUP(Actividades!$D7,Listas!$A$2:$B$8,2,0),52))=0),"P",""))</f>
        <v/>
      </c>
      <c r="AL13" s="25" t="str">
        <f aca="false">IF($A13="","",IF(AND(N(Actividades!$E7)&gt;0,AL$4&gt;=Actividades!$E7,MOD(AL$4-Actividades!$E7,IFERROR(VLOOKUP(Actividades!$D7,Listas!$A$2:$B$8,2,0),52))=0),"P",""))</f>
        <v/>
      </c>
      <c r="AM13" s="25" t="str">
        <f aca="false">IF($A13="","",IF(AND(N(Actividades!$E7)&gt;0,AM$4&gt;=Actividades!$E7,MOD(AM$4-Actividades!$E7,IFERROR(VLOOKUP(Actividades!$D7,Listas!$A$2:$B$8,2,0),52))=0),"P",""))</f>
        <v/>
      </c>
      <c r="AN13" s="25" t="str">
        <f aca="false">IF($A13="","",IF(AND(N(Actividades!$E7)&gt;0,AN$4&gt;=Actividades!$E7,MOD(AN$4-Actividades!$E7,IFERROR(VLOOKUP(Actividades!$D7,Listas!$A$2:$B$8,2,0),52))=0),"P",""))</f>
        <v/>
      </c>
      <c r="AO13" s="25" t="str">
        <f aca="false">IF($A13="","",IF(AND(N(Actividades!$E7)&gt;0,AO$4&gt;=Actividades!$E7,MOD(AO$4-Actividades!$E7,IFERROR(VLOOKUP(Actividades!$D7,Listas!$A$2:$B$8,2,0),52))=0),"P",""))</f>
        <v/>
      </c>
      <c r="AP13" s="25" t="str">
        <f aca="false">IF($A13="","",IF(AND(N(Actividades!$E7)&gt;0,AP$4&gt;=Actividades!$E7,MOD(AP$4-Actividades!$E7,IFERROR(VLOOKUP(Actividades!$D7,Listas!$A$2:$B$8,2,0),52))=0),"P",""))</f>
        <v/>
      </c>
      <c r="AQ13" s="25" t="str">
        <f aca="false">IF($A13="","",IF(AND(N(Actividades!$E7)&gt;0,AQ$4&gt;=Actividades!$E7,MOD(AQ$4-Actividades!$E7,IFERROR(VLOOKUP(Actividades!$D7,Listas!$A$2:$B$8,2,0),52))=0),"P",""))</f>
        <v/>
      </c>
      <c r="AR13" s="25" t="str">
        <f aca="false">IF($A13="","",IF(AND(N(Actividades!$E7)&gt;0,AR$4&gt;=Actividades!$E7,MOD(AR$4-Actividades!$E7,IFERROR(VLOOKUP(Actividades!$D7,Listas!$A$2:$B$8,2,0),52))=0),"P",""))</f>
        <v/>
      </c>
      <c r="AS13" s="25" t="str">
        <f aca="false">IF($A13="","",IF(AND(N(Actividades!$E7)&gt;0,AS$4&gt;=Actividades!$E7,MOD(AS$4-Actividades!$E7,IFERROR(VLOOKUP(Actividades!$D7,Listas!$A$2:$B$8,2,0),52))=0),"P",""))</f>
        <v/>
      </c>
      <c r="AT13" s="25" t="str">
        <f aca="false">IF($A13="","",IF(AND(N(Actividades!$E7)&gt;0,AT$4&gt;=Actividades!$E7,MOD(AT$4-Actividades!$E7,IFERROR(VLOOKUP(Actividades!$D7,Listas!$A$2:$B$8,2,0),52))=0),"P",""))</f>
        <v/>
      </c>
      <c r="AU13" s="25" t="str">
        <f aca="false">IF($A13="","",IF(AND(N(Actividades!$E7)&gt;0,AU$4&gt;=Actividades!$E7,MOD(AU$4-Actividades!$E7,IFERROR(VLOOKUP(Actividades!$D7,Listas!$A$2:$B$8,2,0),52))=0),"P",""))</f>
        <v/>
      </c>
      <c r="AV13" s="25" t="str">
        <f aca="false">IF($A13="","",IF(AND(N(Actividades!$E7)&gt;0,AV$4&gt;=Actividades!$E7,MOD(AV$4-Actividades!$E7,IFERROR(VLOOKUP(Actividades!$D7,Listas!$A$2:$B$8,2,0),52))=0),"P",""))</f>
        <v/>
      </c>
      <c r="AW13" s="25" t="str">
        <f aca="false">IF($A13="","",IF(AND(N(Actividades!$E7)&gt;0,AW$4&gt;=Actividades!$E7,MOD(AW$4-Actividades!$E7,IFERROR(VLOOKUP(Actividades!$D7,Listas!$A$2:$B$8,2,0),52))=0),"P",""))</f>
        <v/>
      </c>
      <c r="AX13" s="25" t="str">
        <f aca="false">IF($A13="","",IF(AND(N(Actividades!$E7)&gt;0,AX$4&gt;=Actividades!$E7,MOD(AX$4-Actividades!$E7,IFERROR(VLOOKUP(Actividades!$D7,Listas!$A$2:$B$8,2,0),52))=0),"P",""))</f>
        <v/>
      </c>
      <c r="AY13" s="25" t="str">
        <f aca="false">IF($A13="","",IF(AND(N(Actividades!$E7)&gt;0,AY$4&gt;=Actividades!$E7,MOD(AY$4-Actividades!$E7,IFERROR(VLOOKUP(Actividades!$D7,Listas!$A$2:$B$8,2,0),52))=0),"P",""))</f>
        <v/>
      </c>
      <c r="AZ13" s="25" t="str">
        <f aca="false">IF($A13="","",IF(AND(N(Actividades!$E7)&gt;0,AZ$4&gt;=Actividades!$E7,MOD(AZ$4-Actividades!$E7,IFERROR(VLOOKUP(Actividades!$D7,Listas!$A$2:$B$8,2,0),52))=0),"P",""))</f>
        <v/>
      </c>
      <c r="BA13" s="25" t="str">
        <f aca="false">IF($A13="","",IF(AND(N(Actividades!$E7)&gt;0,BA$4&gt;=Actividades!$E7,MOD(BA$4-Actividades!$E7,IFERROR(VLOOKUP(Actividades!$D7,Listas!$A$2:$B$8,2,0),52))=0),"P",""))</f>
        <v/>
      </c>
      <c r="BB13" s="25" t="str">
        <f aca="false">IF($A13="","",IF(AND(N(Actividades!$E7)&gt;0,BB$4&gt;=Actividades!$E7,MOD(BB$4-Actividades!$E7,IFERROR(VLOOKUP(Actividades!$D7,Listas!$A$2:$B$8,2,0),52))=0),"P",""))</f>
        <v/>
      </c>
      <c r="BC13" s="25" t="str">
        <f aca="false">IF($A13="","",IF(AND(N(Actividades!$E7)&gt;0,BC$4&gt;=Actividades!$E7,MOD(BC$4-Actividades!$E7,IFERROR(VLOOKUP(Actividades!$D7,Listas!$A$2:$B$8,2,0),52))=0),"P",""))</f>
        <v/>
      </c>
      <c r="BD13" s="26" t="str">
        <f aca="false">IF($A13="","",COUNTIF(D13:BC13,"P"))</f>
        <v/>
      </c>
      <c r="BE13" s="26" t="str">
        <f aca="false">IF($A13="","",SUMPRODUCT((D13:BC13="P")*(D14:BC14="✓")))</f>
        <v/>
      </c>
      <c r="BF13" s="27" t="str">
        <f aca="false">IF($A13="","",IF(BD13=0,"",BE13/BD13))</f>
        <v/>
      </c>
    </row>
    <row r="14" customFormat="false" ht="15" hidden="false" customHeight="false" outlineLevel="0" collapsed="false">
      <c r="A14" s="28"/>
      <c r="B14" s="28"/>
      <c r="C14" s="28" t="str">
        <f aca="false">IF($A13="","","Real")</f>
        <v/>
      </c>
      <c r="D14" s="29" t="str">
        <f aca="false">IF($A13="","",IF(COUNTIFS(Historial!$B$3:$B$502,$A13,Historial!$C$3:$C$502,$B13,Historial!$G$3:$G$502,D$4,Historial!$H$3:$H$502,$B$2)&gt;0,"✓",""))</f>
        <v/>
      </c>
      <c r="E14" s="29" t="str">
        <f aca="false">IF($A13="","",IF(COUNTIFS(Historial!$B$3:$B$502,$A13,Historial!$C$3:$C$502,$B13,Historial!$G$3:$G$502,E$4,Historial!$H$3:$H$502,$B$2)&gt;0,"✓",""))</f>
        <v/>
      </c>
      <c r="F14" s="29" t="str">
        <f aca="false">IF($A13="","",IF(COUNTIFS(Historial!$B$3:$B$502,$A13,Historial!$C$3:$C$502,$B13,Historial!$G$3:$G$502,F$4,Historial!$H$3:$H$502,$B$2)&gt;0,"✓",""))</f>
        <v/>
      </c>
      <c r="G14" s="29" t="str">
        <f aca="false">IF($A13="","",IF(COUNTIFS(Historial!$B$3:$B$502,$A13,Historial!$C$3:$C$502,$B13,Historial!$G$3:$G$502,G$4,Historial!$H$3:$H$502,$B$2)&gt;0,"✓",""))</f>
        <v/>
      </c>
      <c r="H14" s="29" t="str">
        <f aca="false">IF($A13="","",IF(COUNTIFS(Historial!$B$3:$B$502,$A13,Historial!$C$3:$C$502,$B13,Historial!$G$3:$G$502,H$4,Historial!$H$3:$H$502,$B$2)&gt;0,"✓",""))</f>
        <v/>
      </c>
      <c r="I14" s="29" t="str">
        <f aca="false">IF($A13="","",IF(COUNTIFS(Historial!$B$3:$B$502,$A13,Historial!$C$3:$C$502,$B13,Historial!$G$3:$G$502,I$4,Historial!$H$3:$H$502,$B$2)&gt;0,"✓",""))</f>
        <v/>
      </c>
      <c r="J14" s="29" t="str">
        <f aca="false">IF($A13="","",IF(COUNTIFS(Historial!$B$3:$B$502,$A13,Historial!$C$3:$C$502,$B13,Historial!$G$3:$G$502,J$4,Historial!$H$3:$H$502,$B$2)&gt;0,"✓",""))</f>
        <v/>
      </c>
      <c r="K14" s="29" t="str">
        <f aca="false">IF($A13="","",IF(COUNTIFS(Historial!$B$3:$B$502,$A13,Historial!$C$3:$C$502,$B13,Historial!$G$3:$G$502,K$4,Historial!$H$3:$H$502,$B$2)&gt;0,"✓",""))</f>
        <v/>
      </c>
      <c r="L14" s="29" t="str">
        <f aca="false">IF($A13="","",IF(COUNTIFS(Historial!$B$3:$B$502,$A13,Historial!$C$3:$C$502,$B13,Historial!$G$3:$G$502,L$4,Historial!$H$3:$H$502,$B$2)&gt;0,"✓",""))</f>
        <v/>
      </c>
      <c r="M14" s="29" t="str">
        <f aca="false">IF($A13="","",IF(COUNTIFS(Historial!$B$3:$B$502,$A13,Historial!$C$3:$C$502,$B13,Historial!$G$3:$G$502,M$4,Historial!$H$3:$H$502,$B$2)&gt;0,"✓",""))</f>
        <v/>
      </c>
      <c r="N14" s="29" t="str">
        <f aca="false">IF($A13="","",IF(COUNTIFS(Historial!$B$3:$B$502,$A13,Historial!$C$3:$C$502,$B13,Historial!$G$3:$G$502,N$4,Historial!$H$3:$H$502,$B$2)&gt;0,"✓",""))</f>
        <v/>
      </c>
      <c r="O14" s="29" t="str">
        <f aca="false">IF($A13="","",IF(COUNTIFS(Historial!$B$3:$B$502,$A13,Historial!$C$3:$C$502,$B13,Historial!$G$3:$G$502,O$4,Historial!$H$3:$H$502,$B$2)&gt;0,"✓",""))</f>
        <v/>
      </c>
      <c r="P14" s="29" t="str">
        <f aca="false">IF($A13="","",IF(COUNTIFS(Historial!$B$3:$B$502,$A13,Historial!$C$3:$C$502,$B13,Historial!$G$3:$G$502,P$4,Historial!$H$3:$H$502,$B$2)&gt;0,"✓",""))</f>
        <v/>
      </c>
      <c r="Q14" s="29" t="str">
        <f aca="false">IF($A13="","",IF(COUNTIFS(Historial!$B$3:$B$502,$A13,Historial!$C$3:$C$502,$B13,Historial!$G$3:$G$502,Q$4,Historial!$H$3:$H$502,$B$2)&gt;0,"✓",""))</f>
        <v/>
      </c>
      <c r="R14" s="29" t="str">
        <f aca="false">IF($A13="","",IF(COUNTIFS(Historial!$B$3:$B$502,$A13,Historial!$C$3:$C$502,$B13,Historial!$G$3:$G$502,R$4,Historial!$H$3:$H$502,$B$2)&gt;0,"✓",""))</f>
        <v/>
      </c>
      <c r="S14" s="29" t="str">
        <f aca="false">IF($A13="","",IF(COUNTIFS(Historial!$B$3:$B$502,$A13,Historial!$C$3:$C$502,$B13,Historial!$G$3:$G$502,S$4,Historial!$H$3:$H$502,$B$2)&gt;0,"✓",""))</f>
        <v/>
      </c>
      <c r="T14" s="29" t="str">
        <f aca="false">IF($A13="","",IF(COUNTIFS(Historial!$B$3:$B$502,$A13,Historial!$C$3:$C$502,$B13,Historial!$G$3:$G$502,T$4,Historial!$H$3:$H$502,$B$2)&gt;0,"✓",""))</f>
        <v/>
      </c>
      <c r="U14" s="29" t="str">
        <f aca="false">IF($A13="","",IF(COUNTIFS(Historial!$B$3:$B$502,$A13,Historial!$C$3:$C$502,$B13,Historial!$G$3:$G$502,U$4,Historial!$H$3:$H$502,$B$2)&gt;0,"✓",""))</f>
        <v/>
      </c>
      <c r="V14" s="29" t="str">
        <f aca="false">IF($A13="","",IF(COUNTIFS(Historial!$B$3:$B$502,$A13,Historial!$C$3:$C$502,$B13,Historial!$G$3:$G$502,V$4,Historial!$H$3:$H$502,$B$2)&gt;0,"✓",""))</f>
        <v/>
      </c>
      <c r="W14" s="29" t="str">
        <f aca="false">IF($A13="","",IF(COUNTIFS(Historial!$B$3:$B$502,$A13,Historial!$C$3:$C$502,$B13,Historial!$G$3:$G$502,W$4,Historial!$H$3:$H$502,$B$2)&gt;0,"✓",""))</f>
        <v/>
      </c>
      <c r="X14" s="29" t="str">
        <f aca="false">IF($A13="","",IF(COUNTIFS(Historial!$B$3:$B$502,$A13,Historial!$C$3:$C$502,$B13,Historial!$G$3:$G$502,X$4,Historial!$H$3:$H$502,$B$2)&gt;0,"✓",""))</f>
        <v/>
      </c>
      <c r="Y14" s="29" t="str">
        <f aca="false">IF($A13="","",IF(COUNTIFS(Historial!$B$3:$B$502,$A13,Historial!$C$3:$C$502,$B13,Historial!$G$3:$G$502,Y$4,Historial!$H$3:$H$502,$B$2)&gt;0,"✓",""))</f>
        <v/>
      </c>
      <c r="Z14" s="29" t="str">
        <f aca="false">IF($A13="","",IF(COUNTIFS(Historial!$B$3:$B$502,$A13,Historial!$C$3:$C$502,$B13,Historial!$G$3:$G$502,Z$4,Historial!$H$3:$H$502,$B$2)&gt;0,"✓",""))</f>
        <v/>
      </c>
      <c r="AA14" s="29" t="str">
        <f aca="false">IF($A13="","",IF(COUNTIFS(Historial!$B$3:$B$502,$A13,Historial!$C$3:$C$502,$B13,Historial!$G$3:$G$502,AA$4,Historial!$H$3:$H$502,$B$2)&gt;0,"✓",""))</f>
        <v/>
      </c>
      <c r="AB14" s="29" t="str">
        <f aca="false">IF($A13="","",IF(COUNTIFS(Historial!$B$3:$B$502,$A13,Historial!$C$3:$C$502,$B13,Historial!$G$3:$G$502,AB$4,Historial!$H$3:$H$502,$B$2)&gt;0,"✓",""))</f>
        <v/>
      </c>
      <c r="AC14" s="29" t="str">
        <f aca="false">IF($A13="","",IF(COUNTIFS(Historial!$B$3:$B$502,$A13,Historial!$C$3:$C$502,$B13,Historial!$G$3:$G$502,AC$4,Historial!$H$3:$H$502,$B$2)&gt;0,"✓",""))</f>
        <v/>
      </c>
      <c r="AD14" s="29" t="str">
        <f aca="false">IF($A13="","",IF(COUNTIFS(Historial!$B$3:$B$502,$A13,Historial!$C$3:$C$502,$B13,Historial!$G$3:$G$502,AD$4,Historial!$H$3:$H$502,$B$2)&gt;0,"✓",""))</f>
        <v/>
      </c>
      <c r="AE14" s="29" t="str">
        <f aca="false">IF($A13="","",IF(COUNTIFS(Historial!$B$3:$B$502,$A13,Historial!$C$3:$C$502,$B13,Historial!$G$3:$G$502,AE$4,Historial!$H$3:$H$502,$B$2)&gt;0,"✓",""))</f>
        <v/>
      </c>
      <c r="AF14" s="29" t="str">
        <f aca="false">IF($A13="","",IF(COUNTIFS(Historial!$B$3:$B$502,$A13,Historial!$C$3:$C$502,$B13,Historial!$G$3:$G$502,AF$4,Historial!$H$3:$H$502,$B$2)&gt;0,"✓",""))</f>
        <v/>
      </c>
      <c r="AG14" s="29" t="str">
        <f aca="false">IF($A13="","",IF(COUNTIFS(Historial!$B$3:$B$502,$A13,Historial!$C$3:$C$502,$B13,Historial!$G$3:$G$502,AG$4,Historial!$H$3:$H$502,$B$2)&gt;0,"✓",""))</f>
        <v/>
      </c>
      <c r="AH14" s="29" t="str">
        <f aca="false">IF($A13="","",IF(COUNTIFS(Historial!$B$3:$B$502,$A13,Historial!$C$3:$C$502,$B13,Historial!$G$3:$G$502,AH$4,Historial!$H$3:$H$502,$B$2)&gt;0,"✓",""))</f>
        <v/>
      </c>
      <c r="AI14" s="29" t="str">
        <f aca="false">IF($A13="","",IF(COUNTIFS(Historial!$B$3:$B$502,$A13,Historial!$C$3:$C$502,$B13,Historial!$G$3:$G$502,AI$4,Historial!$H$3:$H$502,$B$2)&gt;0,"✓",""))</f>
        <v/>
      </c>
      <c r="AJ14" s="29" t="str">
        <f aca="false">IF($A13="","",IF(COUNTIFS(Historial!$B$3:$B$502,$A13,Historial!$C$3:$C$502,$B13,Historial!$G$3:$G$502,AJ$4,Historial!$H$3:$H$502,$B$2)&gt;0,"✓",""))</f>
        <v/>
      </c>
      <c r="AK14" s="29" t="str">
        <f aca="false">IF($A13="","",IF(COUNTIFS(Historial!$B$3:$B$502,$A13,Historial!$C$3:$C$502,$B13,Historial!$G$3:$G$502,AK$4,Historial!$H$3:$H$502,$B$2)&gt;0,"✓",""))</f>
        <v/>
      </c>
      <c r="AL14" s="29" t="str">
        <f aca="false">IF($A13="","",IF(COUNTIFS(Historial!$B$3:$B$502,$A13,Historial!$C$3:$C$502,$B13,Historial!$G$3:$G$502,AL$4,Historial!$H$3:$H$502,$B$2)&gt;0,"✓",""))</f>
        <v/>
      </c>
      <c r="AM14" s="29" t="str">
        <f aca="false">IF($A13="","",IF(COUNTIFS(Historial!$B$3:$B$502,$A13,Historial!$C$3:$C$502,$B13,Historial!$G$3:$G$502,AM$4,Historial!$H$3:$H$502,$B$2)&gt;0,"✓",""))</f>
        <v/>
      </c>
      <c r="AN14" s="29" t="str">
        <f aca="false">IF($A13="","",IF(COUNTIFS(Historial!$B$3:$B$502,$A13,Historial!$C$3:$C$502,$B13,Historial!$G$3:$G$502,AN$4,Historial!$H$3:$H$502,$B$2)&gt;0,"✓",""))</f>
        <v/>
      </c>
      <c r="AO14" s="29" t="str">
        <f aca="false">IF($A13="","",IF(COUNTIFS(Historial!$B$3:$B$502,$A13,Historial!$C$3:$C$502,$B13,Historial!$G$3:$G$502,AO$4,Historial!$H$3:$H$502,$B$2)&gt;0,"✓",""))</f>
        <v/>
      </c>
      <c r="AP14" s="29" t="str">
        <f aca="false">IF($A13="","",IF(COUNTIFS(Historial!$B$3:$B$502,$A13,Historial!$C$3:$C$502,$B13,Historial!$G$3:$G$502,AP$4,Historial!$H$3:$H$502,$B$2)&gt;0,"✓",""))</f>
        <v/>
      </c>
      <c r="AQ14" s="29" t="str">
        <f aca="false">IF($A13="","",IF(COUNTIFS(Historial!$B$3:$B$502,$A13,Historial!$C$3:$C$502,$B13,Historial!$G$3:$G$502,AQ$4,Historial!$H$3:$H$502,$B$2)&gt;0,"✓",""))</f>
        <v/>
      </c>
      <c r="AR14" s="29" t="str">
        <f aca="false">IF($A13="","",IF(COUNTIFS(Historial!$B$3:$B$502,$A13,Historial!$C$3:$C$502,$B13,Historial!$G$3:$G$502,AR$4,Historial!$H$3:$H$502,$B$2)&gt;0,"✓",""))</f>
        <v/>
      </c>
      <c r="AS14" s="29" t="str">
        <f aca="false">IF($A13="","",IF(COUNTIFS(Historial!$B$3:$B$502,$A13,Historial!$C$3:$C$502,$B13,Historial!$G$3:$G$502,AS$4,Historial!$H$3:$H$502,$B$2)&gt;0,"✓",""))</f>
        <v/>
      </c>
      <c r="AT14" s="29" t="str">
        <f aca="false">IF($A13="","",IF(COUNTIFS(Historial!$B$3:$B$502,$A13,Historial!$C$3:$C$502,$B13,Historial!$G$3:$G$502,AT$4,Historial!$H$3:$H$502,$B$2)&gt;0,"✓",""))</f>
        <v/>
      </c>
      <c r="AU14" s="29" t="str">
        <f aca="false">IF($A13="","",IF(COUNTIFS(Historial!$B$3:$B$502,$A13,Historial!$C$3:$C$502,$B13,Historial!$G$3:$G$502,AU$4,Historial!$H$3:$H$502,$B$2)&gt;0,"✓",""))</f>
        <v/>
      </c>
      <c r="AV14" s="29" t="str">
        <f aca="false">IF($A13="","",IF(COUNTIFS(Historial!$B$3:$B$502,$A13,Historial!$C$3:$C$502,$B13,Historial!$G$3:$G$502,AV$4,Historial!$H$3:$H$502,$B$2)&gt;0,"✓",""))</f>
        <v/>
      </c>
      <c r="AW14" s="29" t="str">
        <f aca="false">IF($A13="","",IF(COUNTIFS(Historial!$B$3:$B$502,$A13,Historial!$C$3:$C$502,$B13,Historial!$G$3:$G$502,AW$4,Historial!$H$3:$H$502,$B$2)&gt;0,"✓",""))</f>
        <v/>
      </c>
      <c r="AX14" s="29" t="str">
        <f aca="false">IF($A13="","",IF(COUNTIFS(Historial!$B$3:$B$502,$A13,Historial!$C$3:$C$502,$B13,Historial!$G$3:$G$502,AX$4,Historial!$H$3:$H$502,$B$2)&gt;0,"✓",""))</f>
        <v/>
      </c>
      <c r="AY14" s="29" t="str">
        <f aca="false">IF($A13="","",IF(COUNTIFS(Historial!$B$3:$B$502,$A13,Historial!$C$3:$C$502,$B13,Historial!$G$3:$G$502,AY$4,Historial!$H$3:$H$502,$B$2)&gt;0,"✓",""))</f>
        <v/>
      </c>
      <c r="AZ14" s="29" t="str">
        <f aca="false">IF($A13="","",IF(COUNTIFS(Historial!$B$3:$B$502,$A13,Historial!$C$3:$C$502,$B13,Historial!$G$3:$G$502,AZ$4,Historial!$H$3:$H$502,$B$2)&gt;0,"✓",""))</f>
        <v/>
      </c>
      <c r="BA14" s="29" t="str">
        <f aca="false">IF($A13="","",IF(COUNTIFS(Historial!$B$3:$B$502,$A13,Historial!$C$3:$C$502,$B13,Historial!$G$3:$G$502,BA$4,Historial!$H$3:$H$502,$B$2)&gt;0,"✓",""))</f>
        <v/>
      </c>
      <c r="BB14" s="29" t="str">
        <f aca="false">IF($A13="","",IF(COUNTIFS(Historial!$B$3:$B$502,$A13,Historial!$C$3:$C$502,$B13,Historial!$G$3:$G$502,BB$4,Historial!$H$3:$H$502,$B$2)&gt;0,"✓",""))</f>
        <v/>
      </c>
      <c r="BC14" s="29" t="str">
        <f aca="false">IF($A13="","",IF(COUNTIFS(Historial!$B$3:$B$502,$A13,Historial!$C$3:$C$502,$B13,Historial!$G$3:$G$502,BC$4,Historial!$H$3:$H$502,$B$2)&gt;0,"✓",""))</f>
        <v/>
      </c>
      <c r="BD14" s="29"/>
      <c r="BE14" s="29"/>
      <c r="BF14" s="29"/>
    </row>
    <row r="15" customFormat="false" ht="15" hidden="false" customHeight="false" outlineLevel="0" collapsed="false">
      <c r="A15" s="24" t="str">
        <f aca="false">IF(Actividades!$B8="","",Actividades!$B8)</f>
        <v/>
      </c>
      <c r="B15" s="24" t="str">
        <f aca="false">IF(Actividades!$C8="","",Actividades!$C8)</f>
        <v/>
      </c>
      <c r="C15" s="24" t="str">
        <f aca="false">IF($A15="","","Plan")</f>
        <v/>
      </c>
      <c r="D15" s="25" t="str">
        <f aca="false">IF($A15="","",IF(AND(N(Actividades!$E8)&gt;0,D$4&gt;=Actividades!$E8,MOD(D$4-Actividades!$E8,IFERROR(VLOOKUP(Actividades!$D8,Listas!$A$2:$B$8,2,0),52))=0),"P",""))</f>
        <v/>
      </c>
      <c r="E15" s="25" t="str">
        <f aca="false">IF($A15="","",IF(AND(N(Actividades!$E8)&gt;0,E$4&gt;=Actividades!$E8,MOD(E$4-Actividades!$E8,IFERROR(VLOOKUP(Actividades!$D8,Listas!$A$2:$B$8,2,0),52))=0),"P",""))</f>
        <v/>
      </c>
      <c r="F15" s="25" t="str">
        <f aca="false">IF($A15="","",IF(AND(N(Actividades!$E8)&gt;0,F$4&gt;=Actividades!$E8,MOD(F$4-Actividades!$E8,IFERROR(VLOOKUP(Actividades!$D8,Listas!$A$2:$B$8,2,0),52))=0),"P",""))</f>
        <v/>
      </c>
      <c r="G15" s="25" t="str">
        <f aca="false">IF($A15="","",IF(AND(N(Actividades!$E8)&gt;0,G$4&gt;=Actividades!$E8,MOD(G$4-Actividades!$E8,IFERROR(VLOOKUP(Actividades!$D8,Listas!$A$2:$B$8,2,0),52))=0),"P",""))</f>
        <v/>
      </c>
      <c r="H15" s="25" t="str">
        <f aca="false">IF($A15="","",IF(AND(N(Actividades!$E8)&gt;0,H$4&gt;=Actividades!$E8,MOD(H$4-Actividades!$E8,IFERROR(VLOOKUP(Actividades!$D8,Listas!$A$2:$B$8,2,0),52))=0),"P",""))</f>
        <v/>
      </c>
      <c r="I15" s="25" t="str">
        <f aca="false">IF($A15="","",IF(AND(N(Actividades!$E8)&gt;0,I$4&gt;=Actividades!$E8,MOD(I$4-Actividades!$E8,IFERROR(VLOOKUP(Actividades!$D8,Listas!$A$2:$B$8,2,0),52))=0),"P",""))</f>
        <v/>
      </c>
      <c r="J15" s="25" t="str">
        <f aca="false">IF($A15="","",IF(AND(N(Actividades!$E8)&gt;0,J$4&gt;=Actividades!$E8,MOD(J$4-Actividades!$E8,IFERROR(VLOOKUP(Actividades!$D8,Listas!$A$2:$B$8,2,0),52))=0),"P",""))</f>
        <v/>
      </c>
      <c r="K15" s="25" t="str">
        <f aca="false">IF($A15="","",IF(AND(N(Actividades!$E8)&gt;0,K$4&gt;=Actividades!$E8,MOD(K$4-Actividades!$E8,IFERROR(VLOOKUP(Actividades!$D8,Listas!$A$2:$B$8,2,0),52))=0),"P",""))</f>
        <v/>
      </c>
      <c r="L15" s="25" t="str">
        <f aca="false">IF($A15="","",IF(AND(N(Actividades!$E8)&gt;0,L$4&gt;=Actividades!$E8,MOD(L$4-Actividades!$E8,IFERROR(VLOOKUP(Actividades!$D8,Listas!$A$2:$B$8,2,0),52))=0),"P",""))</f>
        <v/>
      </c>
      <c r="M15" s="25" t="str">
        <f aca="false">IF($A15="","",IF(AND(N(Actividades!$E8)&gt;0,M$4&gt;=Actividades!$E8,MOD(M$4-Actividades!$E8,IFERROR(VLOOKUP(Actividades!$D8,Listas!$A$2:$B$8,2,0),52))=0),"P",""))</f>
        <v/>
      </c>
      <c r="N15" s="25" t="str">
        <f aca="false">IF($A15="","",IF(AND(N(Actividades!$E8)&gt;0,N$4&gt;=Actividades!$E8,MOD(N$4-Actividades!$E8,IFERROR(VLOOKUP(Actividades!$D8,Listas!$A$2:$B$8,2,0),52))=0),"P",""))</f>
        <v/>
      </c>
      <c r="O15" s="25" t="str">
        <f aca="false">IF($A15="","",IF(AND(N(Actividades!$E8)&gt;0,O$4&gt;=Actividades!$E8,MOD(O$4-Actividades!$E8,IFERROR(VLOOKUP(Actividades!$D8,Listas!$A$2:$B$8,2,0),52))=0),"P",""))</f>
        <v/>
      </c>
      <c r="P15" s="25" t="str">
        <f aca="false">IF($A15="","",IF(AND(N(Actividades!$E8)&gt;0,P$4&gt;=Actividades!$E8,MOD(P$4-Actividades!$E8,IFERROR(VLOOKUP(Actividades!$D8,Listas!$A$2:$B$8,2,0),52))=0),"P",""))</f>
        <v/>
      </c>
      <c r="Q15" s="25" t="str">
        <f aca="false">IF($A15="","",IF(AND(N(Actividades!$E8)&gt;0,Q$4&gt;=Actividades!$E8,MOD(Q$4-Actividades!$E8,IFERROR(VLOOKUP(Actividades!$D8,Listas!$A$2:$B$8,2,0),52))=0),"P",""))</f>
        <v/>
      </c>
      <c r="R15" s="25" t="str">
        <f aca="false">IF($A15="","",IF(AND(N(Actividades!$E8)&gt;0,R$4&gt;=Actividades!$E8,MOD(R$4-Actividades!$E8,IFERROR(VLOOKUP(Actividades!$D8,Listas!$A$2:$B$8,2,0),52))=0),"P",""))</f>
        <v/>
      </c>
      <c r="S15" s="25" t="str">
        <f aca="false">IF($A15="","",IF(AND(N(Actividades!$E8)&gt;0,S$4&gt;=Actividades!$E8,MOD(S$4-Actividades!$E8,IFERROR(VLOOKUP(Actividades!$D8,Listas!$A$2:$B$8,2,0),52))=0),"P",""))</f>
        <v/>
      </c>
      <c r="T15" s="25" t="str">
        <f aca="false">IF($A15="","",IF(AND(N(Actividades!$E8)&gt;0,T$4&gt;=Actividades!$E8,MOD(T$4-Actividades!$E8,IFERROR(VLOOKUP(Actividades!$D8,Listas!$A$2:$B$8,2,0),52))=0),"P",""))</f>
        <v/>
      </c>
      <c r="U15" s="25" t="str">
        <f aca="false">IF($A15="","",IF(AND(N(Actividades!$E8)&gt;0,U$4&gt;=Actividades!$E8,MOD(U$4-Actividades!$E8,IFERROR(VLOOKUP(Actividades!$D8,Listas!$A$2:$B$8,2,0),52))=0),"P",""))</f>
        <v/>
      </c>
      <c r="V15" s="25" t="str">
        <f aca="false">IF($A15="","",IF(AND(N(Actividades!$E8)&gt;0,V$4&gt;=Actividades!$E8,MOD(V$4-Actividades!$E8,IFERROR(VLOOKUP(Actividades!$D8,Listas!$A$2:$B$8,2,0),52))=0),"P",""))</f>
        <v/>
      </c>
      <c r="W15" s="25" t="str">
        <f aca="false">IF($A15="","",IF(AND(N(Actividades!$E8)&gt;0,W$4&gt;=Actividades!$E8,MOD(W$4-Actividades!$E8,IFERROR(VLOOKUP(Actividades!$D8,Listas!$A$2:$B$8,2,0),52))=0),"P",""))</f>
        <v/>
      </c>
      <c r="X15" s="25" t="str">
        <f aca="false">IF($A15="","",IF(AND(N(Actividades!$E8)&gt;0,X$4&gt;=Actividades!$E8,MOD(X$4-Actividades!$E8,IFERROR(VLOOKUP(Actividades!$D8,Listas!$A$2:$B$8,2,0),52))=0),"P",""))</f>
        <v/>
      </c>
      <c r="Y15" s="25" t="str">
        <f aca="false">IF($A15="","",IF(AND(N(Actividades!$E8)&gt;0,Y$4&gt;=Actividades!$E8,MOD(Y$4-Actividades!$E8,IFERROR(VLOOKUP(Actividades!$D8,Listas!$A$2:$B$8,2,0),52))=0),"P",""))</f>
        <v/>
      </c>
      <c r="Z15" s="25" t="str">
        <f aca="false">IF($A15="","",IF(AND(N(Actividades!$E8)&gt;0,Z$4&gt;=Actividades!$E8,MOD(Z$4-Actividades!$E8,IFERROR(VLOOKUP(Actividades!$D8,Listas!$A$2:$B$8,2,0),52))=0),"P",""))</f>
        <v/>
      </c>
      <c r="AA15" s="25" t="str">
        <f aca="false">IF($A15="","",IF(AND(N(Actividades!$E8)&gt;0,AA$4&gt;=Actividades!$E8,MOD(AA$4-Actividades!$E8,IFERROR(VLOOKUP(Actividades!$D8,Listas!$A$2:$B$8,2,0),52))=0),"P",""))</f>
        <v/>
      </c>
      <c r="AB15" s="25" t="str">
        <f aca="false">IF($A15="","",IF(AND(N(Actividades!$E8)&gt;0,AB$4&gt;=Actividades!$E8,MOD(AB$4-Actividades!$E8,IFERROR(VLOOKUP(Actividades!$D8,Listas!$A$2:$B$8,2,0),52))=0),"P",""))</f>
        <v/>
      </c>
      <c r="AC15" s="25" t="str">
        <f aca="false">IF($A15="","",IF(AND(N(Actividades!$E8)&gt;0,AC$4&gt;=Actividades!$E8,MOD(AC$4-Actividades!$E8,IFERROR(VLOOKUP(Actividades!$D8,Listas!$A$2:$B$8,2,0),52))=0),"P",""))</f>
        <v/>
      </c>
      <c r="AD15" s="25" t="str">
        <f aca="false">IF($A15="","",IF(AND(N(Actividades!$E8)&gt;0,AD$4&gt;=Actividades!$E8,MOD(AD$4-Actividades!$E8,IFERROR(VLOOKUP(Actividades!$D8,Listas!$A$2:$B$8,2,0),52))=0),"P",""))</f>
        <v/>
      </c>
      <c r="AE15" s="25" t="str">
        <f aca="false">IF($A15="","",IF(AND(N(Actividades!$E8)&gt;0,AE$4&gt;=Actividades!$E8,MOD(AE$4-Actividades!$E8,IFERROR(VLOOKUP(Actividades!$D8,Listas!$A$2:$B$8,2,0),52))=0),"P",""))</f>
        <v/>
      </c>
      <c r="AF15" s="25" t="str">
        <f aca="false">IF($A15="","",IF(AND(N(Actividades!$E8)&gt;0,AF$4&gt;=Actividades!$E8,MOD(AF$4-Actividades!$E8,IFERROR(VLOOKUP(Actividades!$D8,Listas!$A$2:$B$8,2,0),52))=0),"P",""))</f>
        <v/>
      </c>
      <c r="AG15" s="25" t="str">
        <f aca="false">IF($A15="","",IF(AND(N(Actividades!$E8)&gt;0,AG$4&gt;=Actividades!$E8,MOD(AG$4-Actividades!$E8,IFERROR(VLOOKUP(Actividades!$D8,Listas!$A$2:$B$8,2,0),52))=0),"P",""))</f>
        <v/>
      </c>
      <c r="AH15" s="25" t="str">
        <f aca="false">IF($A15="","",IF(AND(N(Actividades!$E8)&gt;0,AH$4&gt;=Actividades!$E8,MOD(AH$4-Actividades!$E8,IFERROR(VLOOKUP(Actividades!$D8,Listas!$A$2:$B$8,2,0),52))=0),"P",""))</f>
        <v/>
      </c>
      <c r="AI15" s="25" t="str">
        <f aca="false">IF($A15="","",IF(AND(N(Actividades!$E8)&gt;0,AI$4&gt;=Actividades!$E8,MOD(AI$4-Actividades!$E8,IFERROR(VLOOKUP(Actividades!$D8,Listas!$A$2:$B$8,2,0),52))=0),"P",""))</f>
        <v/>
      </c>
      <c r="AJ15" s="25" t="str">
        <f aca="false">IF($A15="","",IF(AND(N(Actividades!$E8)&gt;0,AJ$4&gt;=Actividades!$E8,MOD(AJ$4-Actividades!$E8,IFERROR(VLOOKUP(Actividades!$D8,Listas!$A$2:$B$8,2,0),52))=0),"P",""))</f>
        <v/>
      </c>
      <c r="AK15" s="25" t="str">
        <f aca="false">IF($A15="","",IF(AND(N(Actividades!$E8)&gt;0,AK$4&gt;=Actividades!$E8,MOD(AK$4-Actividades!$E8,IFERROR(VLOOKUP(Actividades!$D8,Listas!$A$2:$B$8,2,0),52))=0),"P",""))</f>
        <v/>
      </c>
      <c r="AL15" s="25" t="str">
        <f aca="false">IF($A15="","",IF(AND(N(Actividades!$E8)&gt;0,AL$4&gt;=Actividades!$E8,MOD(AL$4-Actividades!$E8,IFERROR(VLOOKUP(Actividades!$D8,Listas!$A$2:$B$8,2,0),52))=0),"P",""))</f>
        <v/>
      </c>
      <c r="AM15" s="25" t="str">
        <f aca="false">IF($A15="","",IF(AND(N(Actividades!$E8)&gt;0,AM$4&gt;=Actividades!$E8,MOD(AM$4-Actividades!$E8,IFERROR(VLOOKUP(Actividades!$D8,Listas!$A$2:$B$8,2,0),52))=0),"P",""))</f>
        <v/>
      </c>
      <c r="AN15" s="25" t="str">
        <f aca="false">IF($A15="","",IF(AND(N(Actividades!$E8)&gt;0,AN$4&gt;=Actividades!$E8,MOD(AN$4-Actividades!$E8,IFERROR(VLOOKUP(Actividades!$D8,Listas!$A$2:$B$8,2,0),52))=0),"P",""))</f>
        <v/>
      </c>
      <c r="AO15" s="25" t="str">
        <f aca="false">IF($A15="","",IF(AND(N(Actividades!$E8)&gt;0,AO$4&gt;=Actividades!$E8,MOD(AO$4-Actividades!$E8,IFERROR(VLOOKUP(Actividades!$D8,Listas!$A$2:$B$8,2,0),52))=0),"P",""))</f>
        <v/>
      </c>
      <c r="AP15" s="25" t="str">
        <f aca="false">IF($A15="","",IF(AND(N(Actividades!$E8)&gt;0,AP$4&gt;=Actividades!$E8,MOD(AP$4-Actividades!$E8,IFERROR(VLOOKUP(Actividades!$D8,Listas!$A$2:$B$8,2,0),52))=0),"P",""))</f>
        <v/>
      </c>
      <c r="AQ15" s="25" t="str">
        <f aca="false">IF($A15="","",IF(AND(N(Actividades!$E8)&gt;0,AQ$4&gt;=Actividades!$E8,MOD(AQ$4-Actividades!$E8,IFERROR(VLOOKUP(Actividades!$D8,Listas!$A$2:$B$8,2,0),52))=0),"P",""))</f>
        <v/>
      </c>
      <c r="AR15" s="25" t="str">
        <f aca="false">IF($A15="","",IF(AND(N(Actividades!$E8)&gt;0,AR$4&gt;=Actividades!$E8,MOD(AR$4-Actividades!$E8,IFERROR(VLOOKUP(Actividades!$D8,Listas!$A$2:$B$8,2,0),52))=0),"P",""))</f>
        <v/>
      </c>
      <c r="AS15" s="25" t="str">
        <f aca="false">IF($A15="","",IF(AND(N(Actividades!$E8)&gt;0,AS$4&gt;=Actividades!$E8,MOD(AS$4-Actividades!$E8,IFERROR(VLOOKUP(Actividades!$D8,Listas!$A$2:$B$8,2,0),52))=0),"P",""))</f>
        <v/>
      </c>
      <c r="AT15" s="25" t="str">
        <f aca="false">IF($A15="","",IF(AND(N(Actividades!$E8)&gt;0,AT$4&gt;=Actividades!$E8,MOD(AT$4-Actividades!$E8,IFERROR(VLOOKUP(Actividades!$D8,Listas!$A$2:$B$8,2,0),52))=0),"P",""))</f>
        <v/>
      </c>
      <c r="AU15" s="25" t="str">
        <f aca="false">IF($A15="","",IF(AND(N(Actividades!$E8)&gt;0,AU$4&gt;=Actividades!$E8,MOD(AU$4-Actividades!$E8,IFERROR(VLOOKUP(Actividades!$D8,Listas!$A$2:$B$8,2,0),52))=0),"P",""))</f>
        <v/>
      </c>
      <c r="AV15" s="25" t="str">
        <f aca="false">IF($A15="","",IF(AND(N(Actividades!$E8)&gt;0,AV$4&gt;=Actividades!$E8,MOD(AV$4-Actividades!$E8,IFERROR(VLOOKUP(Actividades!$D8,Listas!$A$2:$B$8,2,0),52))=0),"P",""))</f>
        <v/>
      </c>
      <c r="AW15" s="25" t="str">
        <f aca="false">IF($A15="","",IF(AND(N(Actividades!$E8)&gt;0,AW$4&gt;=Actividades!$E8,MOD(AW$4-Actividades!$E8,IFERROR(VLOOKUP(Actividades!$D8,Listas!$A$2:$B$8,2,0),52))=0),"P",""))</f>
        <v/>
      </c>
      <c r="AX15" s="25" t="str">
        <f aca="false">IF($A15="","",IF(AND(N(Actividades!$E8)&gt;0,AX$4&gt;=Actividades!$E8,MOD(AX$4-Actividades!$E8,IFERROR(VLOOKUP(Actividades!$D8,Listas!$A$2:$B$8,2,0),52))=0),"P",""))</f>
        <v/>
      </c>
      <c r="AY15" s="25" t="str">
        <f aca="false">IF($A15="","",IF(AND(N(Actividades!$E8)&gt;0,AY$4&gt;=Actividades!$E8,MOD(AY$4-Actividades!$E8,IFERROR(VLOOKUP(Actividades!$D8,Listas!$A$2:$B$8,2,0),52))=0),"P",""))</f>
        <v/>
      </c>
      <c r="AZ15" s="25" t="str">
        <f aca="false">IF($A15="","",IF(AND(N(Actividades!$E8)&gt;0,AZ$4&gt;=Actividades!$E8,MOD(AZ$4-Actividades!$E8,IFERROR(VLOOKUP(Actividades!$D8,Listas!$A$2:$B$8,2,0),52))=0),"P",""))</f>
        <v/>
      </c>
      <c r="BA15" s="25" t="str">
        <f aca="false">IF($A15="","",IF(AND(N(Actividades!$E8)&gt;0,BA$4&gt;=Actividades!$E8,MOD(BA$4-Actividades!$E8,IFERROR(VLOOKUP(Actividades!$D8,Listas!$A$2:$B$8,2,0),52))=0),"P",""))</f>
        <v/>
      </c>
      <c r="BB15" s="25" t="str">
        <f aca="false">IF($A15="","",IF(AND(N(Actividades!$E8)&gt;0,BB$4&gt;=Actividades!$E8,MOD(BB$4-Actividades!$E8,IFERROR(VLOOKUP(Actividades!$D8,Listas!$A$2:$B$8,2,0),52))=0),"P",""))</f>
        <v/>
      </c>
      <c r="BC15" s="25" t="str">
        <f aca="false">IF($A15="","",IF(AND(N(Actividades!$E8)&gt;0,BC$4&gt;=Actividades!$E8,MOD(BC$4-Actividades!$E8,IFERROR(VLOOKUP(Actividades!$D8,Listas!$A$2:$B$8,2,0),52))=0),"P",""))</f>
        <v/>
      </c>
      <c r="BD15" s="26" t="str">
        <f aca="false">IF($A15="","",COUNTIF(D15:BC15,"P"))</f>
        <v/>
      </c>
      <c r="BE15" s="26" t="str">
        <f aca="false">IF($A15="","",SUMPRODUCT((D15:BC15="P")*(D16:BC16="✓")))</f>
        <v/>
      </c>
      <c r="BF15" s="27" t="str">
        <f aca="false">IF($A15="","",IF(BD15=0,"",BE15/BD15))</f>
        <v/>
      </c>
    </row>
    <row r="16" customFormat="false" ht="15" hidden="false" customHeight="false" outlineLevel="0" collapsed="false">
      <c r="A16" s="28"/>
      <c r="B16" s="28"/>
      <c r="C16" s="28" t="str">
        <f aca="false">IF($A15="","","Real")</f>
        <v/>
      </c>
      <c r="D16" s="29" t="str">
        <f aca="false">IF($A15="","",IF(COUNTIFS(Historial!$B$3:$B$502,$A15,Historial!$C$3:$C$502,$B15,Historial!$G$3:$G$502,D$4,Historial!$H$3:$H$502,$B$2)&gt;0,"✓",""))</f>
        <v/>
      </c>
      <c r="E16" s="29" t="str">
        <f aca="false">IF($A15="","",IF(COUNTIFS(Historial!$B$3:$B$502,$A15,Historial!$C$3:$C$502,$B15,Historial!$G$3:$G$502,E$4,Historial!$H$3:$H$502,$B$2)&gt;0,"✓",""))</f>
        <v/>
      </c>
      <c r="F16" s="29" t="str">
        <f aca="false">IF($A15="","",IF(COUNTIFS(Historial!$B$3:$B$502,$A15,Historial!$C$3:$C$502,$B15,Historial!$G$3:$G$502,F$4,Historial!$H$3:$H$502,$B$2)&gt;0,"✓",""))</f>
        <v/>
      </c>
      <c r="G16" s="29" t="str">
        <f aca="false">IF($A15="","",IF(COUNTIFS(Historial!$B$3:$B$502,$A15,Historial!$C$3:$C$502,$B15,Historial!$G$3:$G$502,G$4,Historial!$H$3:$H$502,$B$2)&gt;0,"✓",""))</f>
        <v/>
      </c>
      <c r="H16" s="29" t="str">
        <f aca="false">IF($A15="","",IF(COUNTIFS(Historial!$B$3:$B$502,$A15,Historial!$C$3:$C$502,$B15,Historial!$G$3:$G$502,H$4,Historial!$H$3:$H$502,$B$2)&gt;0,"✓",""))</f>
        <v/>
      </c>
      <c r="I16" s="29" t="str">
        <f aca="false">IF($A15="","",IF(COUNTIFS(Historial!$B$3:$B$502,$A15,Historial!$C$3:$C$502,$B15,Historial!$G$3:$G$502,I$4,Historial!$H$3:$H$502,$B$2)&gt;0,"✓",""))</f>
        <v/>
      </c>
      <c r="J16" s="29" t="str">
        <f aca="false">IF($A15="","",IF(COUNTIFS(Historial!$B$3:$B$502,$A15,Historial!$C$3:$C$502,$B15,Historial!$G$3:$G$502,J$4,Historial!$H$3:$H$502,$B$2)&gt;0,"✓",""))</f>
        <v/>
      </c>
      <c r="K16" s="29" t="str">
        <f aca="false">IF($A15="","",IF(COUNTIFS(Historial!$B$3:$B$502,$A15,Historial!$C$3:$C$502,$B15,Historial!$G$3:$G$502,K$4,Historial!$H$3:$H$502,$B$2)&gt;0,"✓",""))</f>
        <v/>
      </c>
      <c r="L16" s="29" t="str">
        <f aca="false">IF($A15="","",IF(COUNTIFS(Historial!$B$3:$B$502,$A15,Historial!$C$3:$C$502,$B15,Historial!$G$3:$G$502,L$4,Historial!$H$3:$H$502,$B$2)&gt;0,"✓",""))</f>
        <v/>
      </c>
      <c r="M16" s="29" t="str">
        <f aca="false">IF($A15="","",IF(COUNTIFS(Historial!$B$3:$B$502,$A15,Historial!$C$3:$C$502,$B15,Historial!$G$3:$G$502,M$4,Historial!$H$3:$H$502,$B$2)&gt;0,"✓",""))</f>
        <v/>
      </c>
      <c r="N16" s="29" t="str">
        <f aca="false">IF($A15="","",IF(COUNTIFS(Historial!$B$3:$B$502,$A15,Historial!$C$3:$C$502,$B15,Historial!$G$3:$G$502,N$4,Historial!$H$3:$H$502,$B$2)&gt;0,"✓",""))</f>
        <v/>
      </c>
      <c r="O16" s="29" t="str">
        <f aca="false">IF($A15="","",IF(COUNTIFS(Historial!$B$3:$B$502,$A15,Historial!$C$3:$C$502,$B15,Historial!$G$3:$G$502,O$4,Historial!$H$3:$H$502,$B$2)&gt;0,"✓",""))</f>
        <v/>
      </c>
      <c r="P16" s="29" t="str">
        <f aca="false">IF($A15="","",IF(COUNTIFS(Historial!$B$3:$B$502,$A15,Historial!$C$3:$C$502,$B15,Historial!$G$3:$G$502,P$4,Historial!$H$3:$H$502,$B$2)&gt;0,"✓",""))</f>
        <v/>
      </c>
      <c r="Q16" s="29" t="str">
        <f aca="false">IF($A15="","",IF(COUNTIFS(Historial!$B$3:$B$502,$A15,Historial!$C$3:$C$502,$B15,Historial!$G$3:$G$502,Q$4,Historial!$H$3:$H$502,$B$2)&gt;0,"✓",""))</f>
        <v/>
      </c>
      <c r="R16" s="29" t="str">
        <f aca="false">IF($A15="","",IF(COUNTIFS(Historial!$B$3:$B$502,$A15,Historial!$C$3:$C$502,$B15,Historial!$G$3:$G$502,R$4,Historial!$H$3:$H$502,$B$2)&gt;0,"✓",""))</f>
        <v/>
      </c>
      <c r="S16" s="29" t="str">
        <f aca="false">IF($A15="","",IF(COUNTIFS(Historial!$B$3:$B$502,$A15,Historial!$C$3:$C$502,$B15,Historial!$G$3:$G$502,S$4,Historial!$H$3:$H$502,$B$2)&gt;0,"✓",""))</f>
        <v/>
      </c>
      <c r="T16" s="29" t="str">
        <f aca="false">IF($A15="","",IF(COUNTIFS(Historial!$B$3:$B$502,$A15,Historial!$C$3:$C$502,$B15,Historial!$G$3:$G$502,T$4,Historial!$H$3:$H$502,$B$2)&gt;0,"✓",""))</f>
        <v/>
      </c>
      <c r="U16" s="29" t="str">
        <f aca="false">IF($A15="","",IF(COUNTIFS(Historial!$B$3:$B$502,$A15,Historial!$C$3:$C$502,$B15,Historial!$G$3:$G$502,U$4,Historial!$H$3:$H$502,$B$2)&gt;0,"✓",""))</f>
        <v/>
      </c>
      <c r="V16" s="29" t="str">
        <f aca="false">IF($A15="","",IF(COUNTIFS(Historial!$B$3:$B$502,$A15,Historial!$C$3:$C$502,$B15,Historial!$G$3:$G$502,V$4,Historial!$H$3:$H$502,$B$2)&gt;0,"✓",""))</f>
        <v/>
      </c>
      <c r="W16" s="29" t="str">
        <f aca="false">IF($A15="","",IF(COUNTIFS(Historial!$B$3:$B$502,$A15,Historial!$C$3:$C$502,$B15,Historial!$G$3:$G$502,W$4,Historial!$H$3:$H$502,$B$2)&gt;0,"✓",""))</f>
        <v/>
      </c>
      <c r="X16" s="29" t="str">
        <f aca="false">IF($A15="","",IF(COUNTIFS(Historial!$B$3:$B$502,$A15,Historial!$C$3:$C$502,$B15,Historial!$G$3:$G$502,X$4,Historial!$H$3:$H$502,$B$2)&gt;0,"✓",""))</f>
        <v/>
      </c>
      <c r="Y16" s="29" t="str">
        <f aca="false">IF($A15="","",IF(COUNTIFS(Historial!$B$3:$B$502,$A15,Historial!$C$3:$C$502,$B15,Historial!$G$3:$G$502,Y$4,Historial!$H$3:$H$502,$B$2)&gt;0,"✓",""))</f>
        <v/>
      </c>
      <c r="Z16" s="29" t="str">
        <f aca="false">IF($A15="","",IF(COUNTIFS(Historial!$B$3:$B$502,$A15,Historial!$C$3:$C$502,$B15,Historial!$G$3:$G$502,Z$4,Historial!$H$3:$H$502,$B$2)&gt;0,"✓",""))</f>
        <v/>
      </c>
      <c r="AA16" s="29" t="str">
        <f aca="false">IF($A15="","",IF(COUNTIFS(Historial!$B$3:$B$502,$A15,Historial!$C$3:$C$502,$B15,Historial!$G$3:$G$502,AA$4,Historial!$H$3:$H$502,$B$2)&gt;0,"✓",""))</f>
        <v/>
      </c>
      <c r="AB16" s="29" t="str">
        <f aca="false">IF($A15="","",IF(COUNTIFS(Historial!$B$3:$B$502,$A15,Historial!$C$3:$C$502,$B15,Historial!$G$3:$G$502,AB$4,Historial!$H$3:$H$502,$B$2)&gt;0,"✓",""))</f>
        <v/>
      </c>
      <c r="AC16" s="29" t="str">
        <f aca="false">IF($A15="","",IF(COUNTIFS(Historial!$B$3:$B$502,$A15,Historial!$C$3:$C$502,$B15,Historial!$G$3:$G$502,AC$4,Historial!$H$3:$H$502,$B$2)&gt;0,"✓",""))</f>
        <v/>
      </c>
      <c r="AD16" s="29" t="str">
        <f aca="false">IF($A15="","",IF(COUNTIFS(Historial!$B$3:$B$502,$A15,Historial!$C$3:$C$502,$B15,Historial!$G$3:$G$502,AD$4,Historial!$H$3:$H$502,$B$2)&gt;0,"✓",""))</f>
        <v/>
      </c>
      <c r="AE16" s="29" t="str">
        <f aca="false">IF($A15="","",IF(COUNTIFS(Historial!$B$3:$B$502,$A15,Historial!$C$3:$C$502,$B15,Historial!$G$3:$G$502,AE$4,Historial!$H$3:$H$502,$B$2)&gt;0,"✓",""))</f>
        <v/>
      </c>
      <c r="AF16" s="29" t="str">
        <f aca="false">IF($A15="","",IF(COUNTIFS(Historial!$B$3:$B$502,$A15,Historial!$C$3:$C$502,$B15,Historial!$G$3:$G$502,AF$4,Historial!$H$3:$H$502,$B$2)&gt;0,"✓",""))</f>
        <v/>
      </c>
      <c r="AG16" s="29" t="str">
        <f aca="false">IF($A15="","",IF(COUNTIFS(Historial!$B$3:$B$502,$A15,Historial!$C$3:$C$502,$B15,Historial!$G$3:$G$502,AG$4,Historial!$H$3:$H$502,$B$2)&gt;0,"✓",""))</f>
        <v/>
      </c>
      <c r="AH16" s="29" t="str">
        <f aca="false">IF($A15="","",IF(COUNTIFS(Historial!$B$3:$B$502,$A15,Historial!$C$3:$C$502,$B15,Historial!$G$3:$G$502,AH$4,Historial!$H$3:$H$502,$B$2)&gt;0,"✓",""))</f>
        <v/>
      </c>
      <c r="AI16" s="29" t="str">
        <f aca="false">IF($A15="","",IF(COUNTIFS(Historial!$B$3:$B$502,$A15,Historial!$C$3:$C$502,$B15,Historial!$G$3:$G$502,AI$4,Historial!$H$3:$H$502,$B$2)&gt;0,"✓",""))</f>
        <v/>
      </c>
      <c r="AJ16" s="29" t="str">
        <f aca="false">IF($A15="","",IF(COUNTIFS(Historial!$B$3:$B$502,$A15,Historial!$C$3:$C$502,$B15,Historial!$G$3:$G$502,AJ$4,Historial!$H$3:$H$502,$B$2)&gt;0,"✓",""))</f>
        <v/>
      </c>
      <c r="AK16" s="29" t="str">
        <f aca="false">IF($A15="","",IF(COUNTIFS(Historial!$B$3:$B$502,$A15,Historial!$C$3:$C$502,$B15,Historial!$G$3:$G$502,AK$4,Historial!$H$3:$H$502,$B$2)&gt;0,"✓",""))</f>
        <v/>
      </c>
      <c r="AL16" s="29" t="str">
        <f aca="false">IF($A15="","",IF(COUNTIFS(Historial!$B$3:$B$502,$A15,Historial!$C$3:$C$502,$B15,Historial!$G$3:$G$502,AL$4,Historial!$H$3:$H$502,$B$2)&gt;0,"✓",""))</f>
        <v/>
      </c>
      <c r="AM16" s="29" t="str">
        <f aca="false">IF($A15="","",IF(COUNTIFS(Historial!$B$3:$B$502,$A15,Historial!$C$3:$C$502,$B15,Historial!$G$3:$G$502,AM$4,Historial!$H$3:$H$502,$B$2)&gt;0,"✓",""))</f>
        <v/>
      </c>
      <c r="AN16" s="29" t="str">
        <f aca="false">IF($A15="","",IF(COUNTIFS(Historial!$B$3:$B$502,$A15,Historial!$C$3:$C$502,$B15,Historial!$G$3:$G$502,AN$4,Historial!$H$3:$H$502,$B$2)&gt;0,"✓",""))</f>
        <v/>
      </c>
      <c r="AO16" s="29" t="str">
        <f aca="false">IF($A15="","",IF(COUNTIFS(Historial!$B$3:$B$502,$A15,Historial!$C$3:$C$502,$B15,Historial!$G$3:$G$502,AO$4,Historial!$H$3:$H$502,$B$2)&gt;0,"✓",""))</f>
        <v/>
      </c>
      <c r="AP16" s="29" t="str">
        <f aca="false">IF($A15="","",IF(COUNTIFS(Historial!$B$3:$B$502,$A15,Historial!$C$3:$C$502,$B15,Historial!$G$3:$G$502,AP$4,Historial!$H$3:$H$502,$B$2)&gt;0,"✓",""))</f>
        <v/>
      </c>
      <c r="AQ16" s="29" t="str">
        <f aca="false">IF($A15="","",IF(COUNTIFS(Historial!$B$3:$B$502,$A15,Historial!$C$3:$C$502,$B15,Historial!$G$3:$G$502,AQ$4,Historial!$H$3:$H$502,$B$2)&gt;0,"✓",""))</f>
        <v/>
      </c>
      <c r="AR16" s="29" t="str">
        <f aca="false">IF($A15="","",IF(COUNTIFS(Historial!$B$3:$B$502,$A15,Historial!$C$3:$C$502,$B15,Historial!$G$3:$G$502,AR$4,Historial!$H$3:$H$502,$B$2)&gt;0,"✓",""))</f>
        <v/>
      </c>
      <c r="AS16" s="29" t="str">
        <f aca="false">IF($A15="","",IF(COUNTIFS(Historial!$B$3:$B$502,$A15,Historial!$C$3:$C$502,$B15,Historial!$G$3:$G$502,AS$4,Historial!$H$3:$H$502,$B$2)&gt;0,"✓",""))</f>
        <v/>
      </c>
      <c r="AT16" s="29" t="str">
        <f aca="false">IF($A15="","",IF(COUNTIFS(Historial!$B$3:$B$502,$A15,Historial!$C$3:$C$502,$B15,Historial!$G$3:$G$502,AT$4,Historial!$H$3:$H$502,$B$2)&gt;0,"✓",""))</f>
        <v/>
      </c>
      <c r="AU16" s="29" t="str">
        <f aca="false">IF($A15="","",IF(COUNTIFS(Historial!$B$3:$B$502,$A15,Historial!$C$3:$C$502,$B15,Historial!$G$3:$G$502,AU$4,Historial!$H$3:$H$502,$B$2)&gt;0,"✓",""))</f>
        <v/>
      </c>
      <c r="AV16" s="29" t="str">
        <f aca="false">IF($A15="","",IF(COUNTIFS(Historial!$B$3:$B$502,$A15,Historial!$C$3:$C$502,$B15,Historial!$G$3:$G$502,AV$4,Historial!$H$3:$H$502,$B$2)&gt;0,"✓",""))</f>
        <v/>
      </c>
      <c r="AW16" s="29" t="str">
        <f aca="false">IF($A15="","",IF(COUNTIFS(Historial!$B$3:$B$502,$A15,Historial!$C$3:$C$502,$B15,Historial!$G$3:$G$502,AW$4,Historial!$H$3:$H$502,$B$2)&gt;0,"✓",""))</f>
        <v/>
      </c>
      <c r="AX16" s="29" t="str">
        <f aca="false">IF($A15="","",IF(COUNTIFS(Historial!$B$3:$B$502,$A15,Historial!$C$3:$C$502,$B15,Historial!$G$3:$G$502,AX$4,Historial!$H$3:$H$502,$B$2)&gt;0,"✓",""))</f>
        <v/>
      </c>
      <c r="AY16" s="29" t="str">
        <f aca="false">IF($A15="","",IF(COUNTIFS(Historial!$B$3:$B$502,$A15,Historial!$C$3:$C$502,$B15,Historial!$G$3:$G$502,AY$4,Historial!$H$3:$H$502,$B$2)&gt;0,"✓",""))</f>
        <v/>
      </c>
      <c r="AZ16" s="29" t="str">
        <f aca="false">IF($A15="","",IF(COUNTIFS(Historial!$B$3:$B$502,$A15,Historial!$C$3:$C$502,$B15,Historial!$G$3:$G$502,AZ$4,Historial!$H$3:$H$502,$B$2)&gt;0,"✓",""))</f>
        <v/>
      </c>
      <c r="BA16" s="29" t="str">
        <f aca="false">IF($A15="","",IF(COUNTIFS(Historial!$B$3:$B$502,$A15,Historial!$C$3:$C$502,$B15,Historial!$G$3:$G$502,BA$4,Historial!$H$3:$H$502,$B$2)&gt;0,"✓",""))</f>
        <v/>
      </c>
      <c r="BB16" s="29" t="str">
        <f aca="false">IF($A15="","",IF(COUNTIFS(Historial!$B$3:$B$502,$A15,Historial!$C$3:$C$502,$B15,Historial!$G$3:$G$502,BB$4,Historial!$H$3:$H$502,$B$2)&gt;0,"✓",""))</f>
        <v/>
      </c>
      <c r="BC16" s="29" t="str">
        <f aca="false">IF($A15="","",IF(COUNTIFS(Historial!$B$3:$B$502,$A15,Historial!$C$3:$C$502,$B15,Historial!$G$3:$G$502,BC$4,Historial!$H$3:$H$502,$B$2)&gt;0,"✓",""))</f>
        <v/>
      </c>
      <c r="BD16" s="29"/>
      <c r="BE16" s="29"/>
      <c r="BF16" s="29"/>
    </row>
    <row r="17" customFormat="false" ht="15" hidden="false" customHeight="false" outlineLevel="0" collapsed="false">
      <c r="A17" s="24" t="str">
        <f aca="false">IF(Actividades!$B9="","",Actividades!$B9)</f>
        <v/>
      </c>
      <c r="B17" s="24" t="str">
        <f aca="false">IF(Actividades!$C9="","",Actividades!$C9)</f>
        <v/>
      </c>
      <c r="C17" s="24" t="str">
        <f aca="false">IF($A17="","","Plan")</f>
        <v/>
      </c>
      <c r="D17" s="25" t="str">
        <f aca="false">IF($A17="","",IF(AND(N(Actividades!$E9)&gt;0,D$4&gt;=Actividades!$E9,MOD(D$4-Actividades!$E9,IFERROR(VLOOKUP(Actividades!$D9,Listas!$A$2:$B$8,2,0),52))=0),"P",""))</f>
        <v/>
      </c>
      <c r="E17" s="25" t="str">
        <f aca="false">IF($A17="","",IF(AND(N(Actividades!$E9)&gt;0,E$4&gt;=Actividades!$E9,MOD(E$4-Actividades!$E9,IFERROR(VLOOKUP(Actividades!$D9,Listas!$A$2:$B$8,2,0),52))=0),"P",""))</f>
        <v/>
      </c>
      <c r="F17" s="25" t="str">
        <f aca="false">IF($A17="","",IF(AND(N(Actividades!$E9)&gt;0,F$4&gt;=Actividades!$E9,MOD(F$4-Actividades!$E9,IFERROR(VLOOKUP(Actividades!$D9,Listas!$A$2:$B$8,2,0),52))=0),"P",""))</f>
        <v/>
      </c>
      <c r="G17" s="25" t="str">
        <f aca="false">IF($A17="","",IF(AND(N(Actividades!$E9)&gt;0,G$4&gt;=Actividades!$E9,MOD(G$4-Actividades!$E9,IFERROR(VLOOKUP(Actividades!$D9,Listas!$A$2:$B$8,2,0),52))=0),"P",""))</f>
        <v/>
      </c>
      <c r="H17" s="25" t="str">
        <f aca="false">IF($A17="","",IF(AND(N(Actividades!$E9)&gt;0,H$4&gt;=Actividades!$E9,MOD(H$4-Actividades!$E9,IFERROR(VLOOKUP(Actividades!$D9,Listas!$A$2:$B$8,2,0),52))=0),"P",""))</f>
        <v/>
      </c>
      <c r="I17" s="25" t="str">
        <f aca="false">IF($A17="","",IF(AND(N(Actividades!$E9)&gt;0,I$4&gt;=Actividades!$E9,MOD(I$4-Actividades!$E9,IFERROR(VLOOKUP(Actividades!$D9,Listas!$A$2:$B$8,2,0),52))=0),"P",""))</f>
        <v/>
      </c>
      <c r="J17" s="25" t="str">
        <f aca="false">IF($A17="","",IF(AND(N(Actividades!$E9)&gt;0,J$4&gt;=Actividades!$E9,MOD(J$4-Actividades!$E9,IFERROR(VLOOKUP(Actividades!$D9,Listas!$A$2:$B$8,2,0),52))=0),"P",""))</f>
        <v/>
      </c>
      <c r="K17" s="25" t="str">
        <f aca="false">IF($A17="","",IF(AND(N(Actividades!$E9)&gt;0,K$4&gt;=Actividades!$E9,MOD(K$4-Actividades!$E9,IFERROR(VLOOKUP(Actividades!$D9,Listas!$A$2:$B$8,2,0),52))=0),"P",""))</f>
        <v/>
      </c>
      <c r="L17" s="25" t="str">
        <f aca="false">IF($A17="","",IF(AND(N(Actividades!$E9)&gt;0,L$4&gt;=Actividades!$E9,MOD(L$4-Actividades!$E9,IFERROR(VLOOKUP(Actividades!$D9,Listas!$A$2:$B$8,2,0),52))=0),"P",""))</f>
        <v/>
      </c>
      <c r="M17" s="25" t="str">
        <f aca="false">IF($A17="","",IF(AND(N(Actividades!$E9)&gt;0,M$4&gt;=Actividades!$E9,MOD(M$4-Actividades!$E9,IFERROR(VLOOKUP(Actividades!$D9,Listas!$A$2:$B$8,2,0),52))=0),"P",""))</f>
        <v/>
      </c>
      <c r="N17" s="25" t="str">
        <f aca="false">IF($A17="","",IF(AND(N(Actividades!$E9)&gt;0,N$4&gt;=Actividades!$E9,MOD(N$4-Actividades!$E9,IFERROR(VLOOKUP(Actividades!$D9,Listas!$A$2:$B$8,2,0),52))=0),"P",""))</f>
        <v/>
      </c>
      <c r="O17" s="25" t="str">
        <f aca="false">IF($A17="","",IF(AND(N(Actividades!$E9)&gt;0,O$4&gt;=Actividades!$E9,MOD(O$4-Actividades!$E9,IFERROR(VLOOKUP(Actividades!$D9,Listas!$A$2:$B$8,2,0),52))=0),"P",""))</f>
        <v/>
      </c>
      <c r="P17" s="25" t="str">
        <f aca="false">IF($A17="","",IF(AND(N(Actividades!$E9)&gt;0,P$4&gt;=Actividades!$E9,MOD(P$4-Actividades!$E9,IFERROR(VLOOKUP(Actividades!$D9,Listas!$A$2:$B$8,2,0),52))=0),"P",""))</f>
        <v/>
      </c>
      <c r="Q17" s="25" t="str">
        <f aca="false">IF($A17="","",IF(AND(N(Actividades!$E9)&gt;0,Q$4&gt;=Actividades!$E9,MOD(Q$4-Actividades!$E9,IFERROR(VLOOKUP(Actividades!$D9,Listas!$A$2:$B$8,2,0),52))=0),"P",""))</f>
        <v/>
      </c>
      <c r="R17" s="25" t="str">
        <f aca="false">IF($A17="","",IF(AND(N(Actividades!$E9)&gt;0,R$4&gt;=Actividades!$E9,MOD(R$4-Actividades!$E9,IFERROR(VLOOKUP(Actividades!$D9,Listas!$A$2:$B$8,2,0),52))=0),"P",""))</f>
        <v/>
      </c>
      <c r="S17" s="25" t="str">
        <f aca="false">IF($A17="","",IF(AND(N(Actividades!$E9)&gt;0,S$4&gt;=Actividades!$E9,MOD(S$4-Actividades!$E9,IFERROR(VLOOKUP(Actividades!$D9,Listas!$A$2:$B$8,2,0),52))=0),"P",""))</f>
        <v/>
      </c>
      <c r="T17" s="25" t="str">
        <f aca="false">IF($A17="","",IF(AND(N(Actividades!$E9)&gt;0,T$4&gt;=Actividades!$E9,MOD(T$4-Actividades!$E9,IFERROR(VLOOKUP(Actividades!$D9,Listas!$A$2:$B$8,2,0),52))=0),"P",""))</f>
        <v/>
      </c>
      <c r="U17" s="25" t="str">
        <f aca="false">IF($A17="","",IF(AND(N(Actividades!$E9)&gt;0,U$4&gt;=Actividades!$E9,MOD(U$4-Actividades!$E9,IFERROR(VLOOKUP(Actividades!$D9,Listas!$A$2:$B$8,2,0),52))=0),"P",""))</f>
        <v/>
      </c>
      <c r="V17" s="25" t="str">
        <f aca="false">IF($A17="","",IF(AND(N(Actividades!$E9)&gt;0,V$4&gt;=Actividades!$E9,MOD(V$4-Actividades!$E9,IFERROR(VLOOKUP(Actividades!$D9,Listas!$A$2:$B$8,2,0),52))=0),"P",""))</f>
        <v/>
      </c>
      <c r="W17" s="25" t="str">
        <f aca="false">IF($A17="","",IF(AND(N(Actividades!$E9)&gt;0,W$4&gt;=Actividades!$E9,MOD(W$4-Actividades!$E9,IFERROR(VLOOKUP(Actividades!$D9,Listas!$A$2:$B$8,2,0),52))=0),"P",""))</f>
        <v/>
      </c>
      <c r="X17" s="25" t="str">
        <f aca="false">IF($A17="","",IF(AND(N(Actividades!$E9)&gt;0,X$4&gt;=Actividades!$E9,MOD(X$4-Actividades!$E9,IFERROR(VLOOKUP(Actividades!$D9,Listas!$A$2:$B$8,2,0),52))=0),"P",""))</f>
        <v/>
      </c>
      <c r="Y17" s="25" t="str">
        <f aca="false">IF($A17="","",IF(AND(N(Actividades!$E9)&gt;0,Y$4&gt;=Actividades!$E9,MOD(Y$4-Actividades!$E9,IFERROR(VLOOKUP(Actividades!$D9,Listas!$A$2:$B$8,2,0),52))=0),"P",""))</f>
        <v/>
      </c>
      <c r="Z17" s="25" t="str">
        <f aca="false">IF($A17="","",IF(AND(N(Actividades!$E9)&gt;0,Z$4&gt;=Actividades!$E9,MOD(Z$4-Actividades!$E9,IFERROR(VLOOKUP(Actividades!$D9,Listas!$A$2:$B$8,2,0),52))=0),"P",""))</f>
        <v/>
      </c>
      <c r="AA17" s="25" t="str">
        <f aca="false">IF($A17="","",IF(AND(N(Actividades!$E9)&gt;0,AA$4&gt;=Actividades!$E9,MOD(AA$4-Actividades!$E9,IFERROR(VLOOKUP(Actividades!$D9,Listas!$A$2:$B$8,2,0),52))=0),"P",""))</f>
        <v/>
      </c>
      <c r="AB17" s="25" t="str">
        <f aca="false">IF($A17="","",IF(AND(N(Actividades!$E9)&gt;0,AB$4&gt;=Actividades!$E9,MOD(AB$4-Actividades!$E9,IFERROR(VLOOKUP(Actividades!$D9,Listas!$A$2:$B$8,2,0),52))=0),"P",""))</f>
        <v/>
      </c>
      <c r="AC17" s="25" t="str">
        <f aca="false">IF($A17="","",IF(AND(N(Actividades!$E9)&gt;0,AC$4&gt;=Actividades!$E9,MOD(AC$4-Actividades!$E9,IFERROR(VLOOKUP(Actividades!$D9,Listas!$A$2:$B$8,2,0),52))=0),"P",""))</f>
        <v/>
      </c>
      <c r="AD17" s="25" t="str">
        <f aca="false">IF($A17="","",IF(AND(N(Actividades!$E9)&gt;0,AD$4&gt;=Actividades!$E9,MOD(AD$4-Actividades!$E9,IFERROR(VLOOKUP(Actividades!$D9,Listas!$A$2:$B$8,2,0),52))=0),"P",""))</f>
        <v/>
      </c>
      <c r="AE17" s="25" t="str">
        <f aca="false">IF($A17="","",IF(AND(N(Actividades!$E9)&gt;0,AE$4&gt;=Actividades!$E9,MOD(AE$4-Actividades!$E9,IFERROR(VLOOKUP(Actividades!$D9,Listas!$A$2:$B$8,2,0),52))=0),"P",""))</f>
        <v/>
      </c>
      <c r="AF17" s="25" t="str">
        <f aca="false">IF($A17="","",IF(AND(N(Actividades!$E9)&gt;0,AF$4&gt;=Actividades!$E9,MOD(AF$4-Actividades!$E9,IFERROR(VLOOKUP(Actividades!$D9,Listas!$A$2:$B$8,2,0),52))=0),"P",""))</f>
        <v/>
      </c>
      <c r="AG17" s="25" t="str">
        <f aca="false">IF($A17="","",IF(AND(N(Actividades!$E9)&gt;0,AG$4&gt;=Actividades!$E9,MOD(AG$4-Actividades!$E9,IFERROR(VLOOKUP(Actividades!$D9,Listas!$A$2:$B$8,2,0),52))=0),"P",""))</f>
        <v/>
      </c>
      <c r="AH17" s="25" t="str">
        <f aca="false">IF($A17="","",IF(AND(N(Actividades!$E9)&gt;0,AH$4&gt;=Actividades!$E9,MOD(AH$4-Actividades!$E9,IFERROR(VLOOKUP(Actividades!$D9,Listas!$A$2:$B$8,2,0),52))=0),"P",""))</f>
        <v/>
      </c>
      <c r="AI17" s="25" t="str">
        <f aca="false">IF($A17="","",IF(AND(N(Actividades!$E9)&gt;0,AI$4&gt;=Actividades!$E9,MOD(AI$4-Actividades!$E9,IFERROR(VLOOKUP(Actividades!$D9,Listas!$A$2:$B$8,2,0),52))=0),"P",""))</f>
        <v/>
      </c>
      <c r="AJ17" s="25" t="str">
        <f aca="false">IF($A17="","",IF(AND(N(Actividades!$E9)&gt;0,AJ$4&gt;=Actividades!$E9,MOD(AJ$4-Actividades!$E9,IFERROR(VLOOKUP(Actividades!$D9,Listas!$A$2:$B$8,2,0),52))=0),"P",""))</f>
        <v/>
      </c>
      <c r="AK17" s="25" t="str">
        <f aca="false">IF($A17="","",IF(AND(N(Actividades!$E9)&gt;0,AK$4&gt;=Actividades!$E9,MOD(AK$4-Actividades!$E9,IFERROR(VLOOKUP(Actividades!$D9,Listas!$A$2:$B$8,2,0),52))=0),"P",""))</f>
        <v/>
      </c>
      <c r="AL17" s="25" t="str">
        <f aca="false">IF($A17="","",IF(AND(N(Actividades!$E9)&gt;0,AL$4&gt;=Actividades!$E9,MOD(AL$4-Actividades!$E9,IFERROR(VLOOKUP(Actividades!$D9,Listas!$A$2:$B$8,2,0),52))=0),"P",""))</f>
        <v/>
      </c>
      <c r="AM17" s="25" t="str">
        <f aca="false">IF($A17="","",IF(AND(N(Actividades!$E9)&gt;0,AM$4&gt;=Actividades!$E9,MOD(AM$4-Actividades!$E9,IFERROR(VLOOKUP(Actividades!$D9,Listas!$A$2:$B$8,2,0),52))=0),"P",""))</f>
        <v/>
      </c>
      <c r="AN17" s="25" t="str">
        <f aca="false">IF($A17="","",IF(AND(N(Actividades!$E9)&gt;0,AN$4&gt;=Actividades!$E9,MOD(AN$4-Actividades!$E9,IFERROR(VLOOKUP(Actividades!$D9,Listas!$A$2:$B$8,2,0),52))=0),"P",""))</f>
        <v/>
      </c>
      <c r="AO17" s="25" t="str">
        <f aca="false">IF($A17="","",IF(AND(N(Actividades!$E9)&gt;0,AO$4&gt;=Actividades!$E9,MOD(AO$4-Actividades!$E9,IFERROR(VLOOKUP(Actividades!$D9,Listas!$A$2:$B$8,2,0),52))=0),"P",""))</f>
        <v/>
      </c>
      <c r="AP17" s="25" t="str">
        <f aca="false">IF($A17="","",IF(AND(N(Actividades!$E9)&gt;0,AP$4&gt;=Actividades!$E9,MOD(AP$4-Actividades!$E9,IFERROR(VLOOKUP(Actividades!$D9,Listas!$A$2:$B$8,2,0),52))=0),"P",""))</f>
        <v/>
      </c>
      <c r="AQ17" s="25" t="str">
        <f aca="false">IF($A17="","",IF(AND(N(Actividades!$E9)&gt;0,AQ$4&gt;=Actividades!$E9,MOD(AQ$4-Actividades!$E9,IFERROR(VLOOKUP(Actividades!$D9,Listas!$A$2:$B$8,2,0),52))=0),"P",""))</f>
        <v/>
      </c>
      <c r="AR17" s="25" t="str">
        <f aca="false">IF($A17="","",IF(AND(N(Actividades!$E9)&gt;0,AR$4&gt;=Actividades!$E9,MOD(AR$4-Actividades!$E9,IFERROR(VLOOKUP(Actividades!$D9,Listas!$A$2:$B$8,2,0),52))=0),"P",""))</f>
        <v/>
      </c>
      <c r="AS17" s="25" t="str">
        <f aca="false">IF($A17="","",IF(AND(N(Actividades!$E9)&gt;0,AS$4&gt;=Actividades!$E9,MOD(AS$4-Actividades!$E9,IFERROR(VLOOKUP(Actividades!$D9,Listas!$A$2:$B$8,2,0),52))=0),"P",""))</f>
        <v/>
      </c>
      <c r="AT17" s="25" t="str">
        <f aca="false">IF($A17="","",IF(AND(N(Actividades!$E9)&gt;0,AT$4&gt;=Actividades!$E9,MOD(AT$4-Actividades!$E9,IFERROR(VLOOKUP(Actividades!$D9,Listas!$A$2:$B$8,2,0),52))=0),"P",""))</f>
        <v/>
      </c>
      <c r="AU17" s="25" t="str">
        <f aca="false">IF($A17="","",IF(AND(N(Actividades!$E9)&gt;0,AU$4&gt;=Actividades!$E9,MOD(AU$4-Actividades!$E9,IFERROR(VLOOKUP(Actividades!$D9,Listas!$A$2:$B$8,2,0),52))=0),"P",""))</f>
        <v/>
      </c>
      <c r="AV17" s="25" t="str">
        <f aca="false">IF($A17="","",IF(AND(N(Actividades!$E9)&gt;0,AV$4&gt;=Actividades!$E9,MOD(AV$4-Actividades!$E9,IFERROR(VLOOKUP(Actividades!$D9,Listas!$A$2:$B$8,2,0),52))=0),"P",""))</f>
        <v/>
      </c>
      <c r="AW17" s="25" t="str">
        <f aca="false">IF($A17="","",IF(AND(N(Actividades!$E9)&gt;0,AW$4&gt;=Actividades!$E9,MOD(AW$4-Actividades!$E9,IFERROR(VLOOKUP(Actividades!$D9,Listas!$A$2:$B$8,2,0),52))=0),"P",""))</f>
        <v/>
      </c>
      <c r="AX17" s="25" t="str">
        <f aca="false">IF($A17="","",IF(AND(N(Actividades!$E9)&gt;0,AX$4&gt;=Actividades!$E9,MOD(AX$4-Actividades!$E9,IFERROR(VLOOKUP(Actividades!$D9,Listas!$A$2:$B$8,2,0),52))=0),"P",""))</f>
        <v/>
      </c>
      <c r="AY17" s="25" t="str">
        <f aca="false">IF($A17="","",IF(AND(N(Actividades!$E9)&gt;0,AY$4&gt;=Actividades!$E9,MOD(AY$4-Actividades!$E9,IFERROR(VLOOKUP(Actividades!$D9,Listas!$A$2:$B$8,2,0),52))=0),"P",""))</f>
        <v/>
      </c>
      <c r="AZ17" s="25" t="str">
        <f aca="false">IF($A17="","",IF(AND(N(Actividades!$E9)&gt;0,AZ$4&gt;=Actividades!$E9,MOD(AZ$4-Actividades!$E9,IFERROR(VLOOKUP(Actividades!$D9,Listas!$A$2:$B$8,2,0),52))=0),"P",""))</f>
        <v/>
      </c>
      <c r="BA17" s="25" t="str">
        <f aca="false">IF($A17="","",IF(AND(N(Actividades!$E9)&gt;0,BA$4&gt;=Actividades!$E9,MOD(BA$4-Actividades!$E9,IFERROR(VLOOKUP(Actividades!$D9,Listas!$A$2:$B$8,2,0),52))=0),"P",""))</f>
        <v/>
      </c>
      <c r="BB17" s="25" t="str">
        <f aca="false">IF($A17="","",IF(AND(N(Actividades!$E9)&gt;0,BB$4&gt;=Actividades!$E9,MOD(BB$4-Actividades!$E9,IFERROR(VLOOKUP(Actividades!$D9,Listas!$A$2:$B$8,2,0),52))=0),"P",""))</f>
        <v/>
      </c>
      <c r="BC17" s="25" t="str">
        <f aca="false">IF($A17="","",IF(AND(N(Actividades!$E9)&gt;0,BC$4&gt;=Actividades!$E9,MOD(BC$4-Actividades!$E9,IFERROR(VLOOKUP(Actividades!$D9,Listas!$A$2:$B$8,2,0),52))=0),"P",""))</f>
        <v/>
      </c>
      <c r="BD17" s="26" t="str">
        <f aca="false">IF($A17="","",COUNTIF(D17:BC17,"P"))</f>
        <v/>
      </c>
      <c r="BE17" s="26" t="str">
        <f aca="false">IF($A17="","",SUMPRODUCT((D17:BC17="P")*(D18:BC18="✓")))</f>
        <v/>
      </c>
      <c r="BF17" s="27" t="str">
        <f aca="false">IF($A17="","",IF(BD17=0,"",BE17/BD17))</f>
        <v/>
      </c>
    </row>
    <row r="18" customFormat="false" ht="15" hidden="false" customHeight="false" outlineLevel="0" collapsed="false">
      <c r="A18" s="28"/>
      <c r="B18" s="28"/>
      <c r="C18" s="28" t="str">
        <f aca="false">IF($A17="","","Real")</f>
        <v/>
      </c>
      <c r="D18" s="29" t="str">
        <f aca="false">IF($A17="","",IF(COUNTIFS(Historial!$B$3:$B$502,$A17,Historial!$C$3:$C$502,$B17,Historial!$G$3:$G$502,D$4,Historial!$H$3:$H$502,$B$2)&gt;0,"✓",""))</f>
        <v/>
      </c>
      <c r="E18" s="29" t="str">
        <f aca="false">IF($A17="","",IF(COUNTIFS(Historial!$B$3:$B$502,$A17,Historial!$C$3:$C$502,$B17,Historial!$G$3:$G$502,E$4,Historial!$H$3:$H$502,$B$2)&gt;0,"✓",""))</f>
        <v/>
      </c>
      <c r="F18" s="29" t="str">
        <f aca="false">IF($A17="","",IF(COUNTIFS(Historial!$B$3:$B$502,$A17,Historial!$C$3:$C$502,$B17,Historial!$G$3:$G$502,F$4,Historial!$H$3:$H$502,$B$2)&gt;0,"✓",""))</f>
        <v/>
      </c>
      <c r="G18" s="29" t="str">
        <f aca="false">IF($A17="","",IF(COUNTIFS(Historial!$B$3:$B$502,$A17,Historial!$C$3:$C$502,$B17,Historial!$G$3:$G$502,G$4,Historial!$H$3:$H$502,$B$2)&gt;0,"✓",""))</f>
        <v/>
      </c>
      <c r="H18" s="29" t="str">
        <f aca="false">IF($A17="","",IF(COUNTIFS(Historial!$B$3:$B$502,$A17,Historial!$C$3:$C$502,$B17,Historial!$G$3:$G$502,H$4,Historial!$H$3:$H$502,$B$2)&gt;0,"✓",""))</f>
        <v/>
      </c>
      <c r="I18" s="29" t="str">
        <f aca="false">IF($A17="","",IF(COUNTIFS(Historial!$B$3:$B$502,$A17,Historial!$C$3:$C$502,$B17,Historial!$G$3:$G$502,I$4,Historial!$H$3:$H$502,$B$2)&gt;0,"✓",""))</f>
        <v/>
      </c>
      <c r="J18" s="29" t="str">
        <f aca="false">IF($A17="","",IF(COUNTIFS(Historial!$B$3:$B$502,$A17,Historial!$C$3:$C$502,$B17,Historial!$G$3:$G$502,J$4,Historial!$H$3:$H$502,$B$2)&gt;0,"✓",""))</f>
        <v/>
      </c>
      <c r="K18" s="29" t="str">
        <f aca="false">IF($A17="","",IF(COUNTIFS(Historial!$B$3:$B$502,$A17,Historial!$C$3:$C$502,$B17,Historial!$G$3:$G$502,K$4,Historial!$H$3:$H$502,$B$2)&gt;0,"✓",""))</f>
        <v/>
      </c>
      <c r="L18" s="29" t="str">
        <f aca="false">IF($A17="","",IF(COUNTIFS(Historial!$B$3:$B$502,$A17,Historial!$C$3:$C$502,$B17,Historial!$G$3:$G$502,L$4,Historial!$H$3:$H$502,$B$2)&gt;0,"✓",""))</f>
        <v/>
      </c>
      <c r="M18" s="29" t="str">
        <f aca="false">IF($A17="","",IF(COUNTIFS(Historial!$B$3:$B$502,$A17,Historial!$C$3:$C$502,$B17,Historial!$G$3:$G$502,M$4,Historial!$H$3:$H$502,$B$2)&gt;0,"✓",""))</f>
        <v/>
      </c>
      <c r="N18" s="29" t="str">
        <f aca="false">IF($A17="","",IF(COUNTIFS(Historial!$B$3:$B$502,$A17,Historial!$C$3:$C$502,$B17,Historial!$G$3:$G$502,N$4,Historial!$H$3:$H$502,$B$2)&gt;0,"✓",""))</f>
        <v/>
      </c>
      <c r="O18" s="29" t="str">
        <f aca="false">IF($A17="","",IF(COUNTIFS(Historial!$B$3:$B$502,$A17,Historial!$C$3:$C$502,$B17,Historial!$G$3:$G$502,O$4,Historial!$H$3:$H$502,$B$2)&gt;0,"✓",""))</f>
        <v/>
      </c>
      <c r="P18" s="29" t="str">
        <f aca="false">IF($A17="","",IF(COUNTIFS(Historial!$B$3:$B$502,$A17,Historial!$C$3:$C$502,$B17,Historial!$G$3:$G$502,P$4,Historial!$H$3:$H$502,$B$2)&gt;0,"✓",""))</f>
        <v/>
      </c>
      <c r="Q18" s="29" t="str">
        <f aca="false">IF($A17="","",IF(COUNTIFS(Historial!$B$3:$B$502,$A17,Historial!$C$3:$C$502,$B17,Historial!$G$3:$G$502,Q$4,Historial!$H$3:$H$502,$B$2)&gt;0,"✓",""))</f>
        <v/>
      </c>
      <c r="R18" s="29" t="str">
        <f aca="false">IF($A17="","",IF(COUNTIFS(Historial!$B$3:$B$502,$A17,Historial!$C$3:$C$502,$B17,Historial!$G$3:$G$502,R$4,Historial!$H$3:$H$502,$B$2)&gt;0,"✓",""))</f>
        <v/>
      </c>
      <c r="S18" s="29" t="str">
        <f aca="false">IF($A17="","",IF(COUNTIFS(Historial!$B$3:$B$502,$A17,Historial!$C$3:$C$502,$B17,Historial!$G$3:$G$502,S$4,Historial!$H$3:$H$502,$B$2)&gt;0,"✓",""))</f>
        <v/>
      </c>
      <c r="T18" s="29" t="str">
        <f aca="false">IF($A17="","",IF(COUNTIFS(Historial!$B$3:$B$502,$A17,Historial!$C$3:$C$502,$B17,Historial!$G$3:$G$502,T$4,Historial!$H$3:$H$502,$B$2)&gt;0,"✓",""))</f>
        <v/>
      </c>
      <c r="U18" s="29" t="str">
        <f aca="false">IF($A17="","",IF(COUNTIFS(Historial!$B$3:$B$502,$A17,Historial!$C$3:$C$502,$B17,Historial!$G$3:$G$502,U$4,Historial!$H$3:$H$502,$B$2)&gt;0,"✓",""))</f>
        <v/>
      </c>
      <c r="V18" s="29" t="str">
        <f aca="false">IF($A17="","",IF(COUNTIFS(Historial!$B$3:$B$502,$A17,Historial!$C$3:$C$502,$B17,Historial!$G$3:$G$502,V$4,Historial!$H$3:$H$502,$B$2)&gt;0,"✓",""))</f>
        <v/>
      </c>
      <c r="W18" s="29" t="str">
        <f aca="false">IF($A17="","",IF(COUNTIFS(Historial!$B$3:$B$502,$A17,Historial!$C$3:$C$502,$B17,Historial!$G$3:$G$502,W$4,Historial!$H$3:$H$502,$B$2)&gt;0,"✓",""))</f>
        <v/>
      </c>
      <c r="X18" s="29" t="str">
        <f aca="false">IF($A17="","",IF(COUNTIFS(Historial!$B$3:$B$502,$A17,Historial!$C$3:$C$502,$B17,Historial!$G$3:$G$502,X$4,Historial!$H$3:$H$502,$B$2)&gt;0,"✓",""))</f>
        <v/>
      </c>
      <c r="Y18" s="29" t="str">
        <f aca="false">IF($A17="","",IF(COUNTIFS(Historial!$B$3:$B$502,$A17,Historial!$C$3:$C$502,$B17,Historial!$G$3:$G$502,Y$4,Historial!$H$3:$H$502,$B$2)&gt;0,"✓",""))</f>
        <v/>
      </c>
      <c r="Z18" s="29" t="str">
        <f aca="false">IF($A17="","",IF(COUNTIFS(Historial!$B$3:$B$502,$A17,Historial!$C$3:$C$502,$B17,Historial!$G$3:$G$502,Z$4,Historial!$H$3:$H$502,$B$2)&gt;0,"✓",""))</f>
        <v/>
      </c>
      <c r="AA18" s="29" t="str">
        <f aca="false">IF($A17="","",IF(COUNTIFS(Historial!$B$3:$B$502,$A17,Historial!$C$3:$C$502,$B17,Historial!$G$3:$G$502,AA$4,Historial!$H$3:$H$502,$B$2)&gt;0,"✓",""))</f>
        <v/>
      </c>
      <c r="AB18" s="29" t="str">
        <f aca="false">IF($A17="","",IF(COUNTIFS(Historial!$B$3:$B$502,$A17,Historial!$C$3:$C$502,$B17,Historial!$G$3:$G$502,AB$4,Historial!$H$3:$H$502,$B$2)&gt;0,"✓",""))</f>
        <v/>
      </c>
      <c r="AC18" s="29" t="str">
        <f aca="false">IF($A17="","",IF(COUNTIFS(Historial!$B$3:$B$502,$A17,Historial!$C$3:$C$502,$B17,Historial!$G$3:$G$502,AC$4,Historial!$H$3:$H$502,$B$2)&gt;0,"✓",""))</f>
        <v/>
      </c>
      <c r="AD18" s="29" t="str">
        <f aca="false">IF($A17="","",IF(COUNTIFS(Historial!$B$3:$B$502,$A17,Historial!$C$3:$C$502,$B17,Historial!$G$3:$G$502,AD$4,Historial!$H$3:$H$502,$B$2)&gt;0,"✓",""))</f>
        <v/>
      </c>
      <c r="AE18" s="29" t="str">
        <f aca="false">IF($A17="","",IF(COUNTIFS(Historial!$B$3:$B$502,$A17,Historial!$C$3:$C$502,$B17,Historial!$G$3:$G$502,AE$4,Historial!$H$3:$H$502,$B$2)&gt;0,"✓",""))</f>
        <v/>
      </c>
      <c r="AF18" s="29" t="str">
        <f aca="false">IF($A17="","",IF(COUNTIFS(Historial!$B$3:$B$502,$A17,Historial!$C$3:$C$502,$B17,Historial!$G$3:$G$502,AF$4,Historial!$H$3:$H$502,$B$2)&gt;0,"✓",""))</f>
        <v/>
      </c>
      <c r="AG18" s="29" t="str">
        <f aca="false">IF($A17="","",IF(COUNTIFS(Historial!$B$3:$B$502,$A17,Historial!$C$3:$C$502,$B17,Historial!$G$3:$G$502,AG$4,Historial!$H$3:$H$502,$B$2)&gt;0,"✓",""))</f>
        <v/>
      </c>
      <c r="AH18" s="29" t="str">
        <f aca="false">IF($A17="","",IF(COUNTIFS(Historial!$B$3:$B$502,$A17,Historial!$C$3:$C$502,$B17,Historial!$G$3:$G$502,AH$4,Historial!$H$3:$H$502,$B$2)&gt;0,"✓",""))</f>
        <v/>
      </c>
      <c r="AI18" s="29" t="str">
        <f aca="false">IF($A17="","",IF(COUNTIFS(Historial!$B$3:$B$502,$A17,Historial!$C$3:$C$502,$B17,Historial!$G$3:$G$502,AI$4,Historial!$H$3:$H$502,$B$2)&gt;0,"✓",""))</f>
        <v/>
      </c>
      <c r="AJ18" s="29" t="str">
        <f aca="false">IF($A17="","",IF(COUNTIFS(Historial!$B$3:$B$502,$A17,Historial!$C$3:$C$502,$B17,Historial!$G$3:$G$502,AJ$4,Historial!$H$3:$H$502,$B$2)&gt;0,"✓",""))</f>
        <v/>
      </c>
      <c r="AK18" s="29" t="str">
        <f aca="false">IF($A17="","",IF(COUNTIFS(Historial!$B$3:$B$502,$A17,Historial!$C$3:$C$502,$B17,Historial!$G$3:$G$502,AK$4,Historial!$H$3:$H$502,$B$2)&gt;0,"✓",""))</f>
        <v/>
      </c>
      <c r="AL18" s="29" t="str">
        <f aca="false">IF($A17="","",IF(COUNTIFS(Historial!$B$3:$B$502,$A17,Historial!$C$3:$C$502,$B17,Historial!$G$3:$G$502,AL$4,Historial!$H$3:$H$502,$B$2)&gt;0,"✓",""))</f>
        <v/>
      </c>
      <c r="AM18" s="29" t="str">
        <f aca="false">IF($A17="","",IF(COUNTIFS(Historial!$B$3:$B$502,$A17,Historial!$C$3:$C$502,$B17,Historial!$G$3:$G$502,AM$4,Historial!$H$3:$H$502,$B$2)&gt;0,"✓",""))</f>
        <v/>
      </c>
      <c r="AN18" s="29" t="str">
        <f aca="false">IF($A17="","",IF(COUNTIFS(Historial!$B$3:$B$502,$A17,Historial!$C$3:$C$502,$B17,Historial!$G$3:$G$502,AN$4,Historial!$H$3:$H$502,$B$2)&gt;0,"✓",""))</f>
        <v/>
      </c>
      <c r="AO18" s="29" t="str">
        <f aca="false">IF($A17="","",IF(COUNTIFS(Historial!$B$3:$B$502,$A17,Historial!$C$3:$C$502,$B17,Historial!$G$3:$G$502,AO$4,Historial!$H$3:$H$502,$B$2)&gt;0,"✓",""))</f>
        <v/>
      </c>
      <c r="AP18" s="29" t="str">
        <f aca="false">IF($A17="","",IF(COUNTIFS(Historial!$B$3:$B$502,$A17,Historial!$C$3:$C$502,$B17,Historial!$G$3:$G$502,AP$4,Historial!$H$3:$H$502,$B$2)&gt;0,"✓",""))</f>
        <v/>
      </c>
      <c r="AQ18" s="29" t="str">
        <f aca="false">IF($A17="","",IF(COUNTIFS(Historial!$B$3:$B$502,$A17,Historial!$C$3:$C$502,$B17,Historial!$G$3:$G$502,AQ$4,Historial!$H$3:$H$502,$B$2)&gt;0,"✓",""))</f>
        <v/>
      </c>
      <c r="AR18" s="29" t="str">
        <f aca="false">IF($A17="","",IF(COUNTIFS(Historial!$B$3:$B$502,$A17,Historial!$C$3:$C$502,$B17,Historial!$G$3:$G$502,AR$4,Historial!$H$3:$H$502,$B$2)&gt;0,"✓",""))</f>
        <v/>
      </c>
      <c r="AS18" s="29" t="str">
        <f aca="false">IF($A17="","",IF(COUNTIFS(Historial!$B$3:$B$502,$A17,Historial!$C$3:$C$502,$B17,Historial!$G$3:$G$502,AS$4,Historial!$H$3:$H$502,$B$2)&gt;0,"✓",""))</f>
        <v/>
      </c>
      <c r="AT18" s="29" t="str">
        <f aca="false">IF($A17="","",IF(COUNTIFS(Historial!$B$3:$B$502,$A17,Historial!$C$3:$C$502,$B17,Historial!$G$3:$G$502,AT$4,Historial!$H$3:$H$502,$B$2)&gt;0,"✓",""))</f>
        <v/>
      </c>
      <c r="AU18" s="29" t="str">
        <f aca="false">IF($A17="","",IF(COUNTIFS(Historial!$B$3:$B$502,$A17,Historial!$C$3:$C$502,$B17,Historial!$G$3:$G$502,AU$4,Historial!$H$3:$H$502,$B$2)&gt;0,"✓",""))</f>
        <v/>
      </c>
      <c r="AV18" s="29" t="str">
        <f aca="false">IF($A17="","",IF(COUNTIFS(Historial!$B$3:$B$502,$A17,Historial!$C$3:$C$502,$B17,Historial!$G$3:$G$502,AV$4,Historial!$H$3:$H$502,$B$2)&gt;0,"✓",""))</f>
        <v/>
      </c>
      <c r="AW18" s="29" t="str">
        <f aca="false">IF($A17="","",IF(COUNTIFS(Historial!$B$3:$B$502,$A17,Historial!$C$3:$C$502,$B17,Historial!$G$3:$G$502,AW$4,Historial!$H$3:$H$502,$B$2)&gt;0,"✓",""))</f>
        <v/>
      </c>
      <c r="AX18" s="29" t="str">
        <f aca="false">IF($A17="","",IF(COUNTIFS(Historial!$B$3:$B$502,$A17,Historial!$C$3:$C$502,$B17,Historial!$G$3:$G$502,AX$4,Historial!$H$3:$H$502,$B$2)&gt;0,"✓",""))</f>
        <v/>
      </c>
      <c r="AY18" s="29" t="str">
        <f aca="false">IF($A17="","",IF(COUNTIFS(Historial!$B$3:$B$502,$A17,Historial!$C$3:$C$502,$B17,Historial!$G$3:$G$502,AY$4,Historial!$H$3:$H$502,$B$2)&gt;0,"✓",""))</f>
        <v/>
      </c>
      <c r="AZ18" s="29" t="str">
        <f aca="false">IF($A17="","",IF(COUNTIFS(Historial!$B$3:$B$502,$A17,Historial!$C$3:$C$502,$B17,Historial!$G$3:$G$502,AZ$4,Historial!$H$3:$H$502,$B$2)&gt;0,"✓",""))</f>
        <v/>
      </c>
      <c r="BA18" s="29" t="str">
        <f aca="false">IF($A17="","",IF(COUNTIFS(Historial!$B$3:$B$502,$A17,Historial!$C$3:$C$502,$B17,Historial!$G$3:$G$502,BA$4,Historial!$H$3:$H$502,$B$2)&gt;0,"✓",""))</f>
        <v/>
      </c>
      <c r="BB18" s="29" t="str">
        <f aca="false">IF($A17="","",IF(COUNTIFS(Historial!$B$3:$B$502,$A17,Historial!$C$3:$C$502,$B17,Historial!$G$3:$G$502,BB$4,Historial!$H$3:$H$502,$B$2)&gt;0,"✓",""))</f>
        <v/>
      </c>
      <c r="BC18" s="29" t="str">
        <f aca="false">IF($A17="","",IF(COUNTIFS(Historial!$B$3:$B$502,$A17,Historial!$C$3:$C$502,$B17,Historial!$G$3:$G$502,BC$4,Historial!$H$3:$H$502,$B$2)&gt;0,"✓",""))</f>
        <v/>
      </c>
      <c r="BD18" s="29"/>
      <c r="BE18" s="29"/>
      <c r="BF18" s="29"/>
    </row>
    <row r="19" customFormat="false" ht="15" hidden="false" customHeight="false" outlineLevel="0" collapsed="false">
      <c r="A19" s="24" t="str">
        <f aca="false">IF(Actividades!$B10="","",Actividades!$B10)</f>
        <v/>
      </c>
      <c r="B19" s="24" t="str">
        <f aca="false">IF(Actividades!$C10="","",Actividades!$C10)</f>
        <v/>
      </c>
      <c r="C19" s="24" t="str">
        <f aca="false">IF($A19="","","Plan")</f>
        <v/>
      </c>
      <c r="D19" s="25" t="str">
        <f aca="false">IF($A19="","",IF(AND(N(Actividades!$E10)&gt;0,D$4&gt;=Actividades!$E10,MOD(D$4-Actividades!$E10,IFERROR(VLOOKUP(Actividades!$D10,Listas!$A$2:$B$8,2,0),52))=0),"P",""))</f>
        <v/>
      </c>
      <c r="E19" s="25" t="str">
        <f aca="false">IF($A19="","",IF(AND(N(Actividades!$E10)&gt;0,E$4&gt;=Actividades!$E10,MOD(E$4-Actividades!$E10,IFERROR(VLOOKUP(Actividades!$D10,Listas!$A$2:$B$8,2,0),52))=0),"P",""))</f>
        <v/>
      </c>
      <c r="F19" s="25" t="str">
        <f aca="false">IF($A19="","",IF(AND(N(Actividades!$E10)&gt;0,F$4&gt;=Actividades!$E10,MOD(F$4-Actividades!$E10,IFERROR(VLOOKUP(Actividades!$D10,Listas!$A$2:$B$8,2,0),52))=0),"P",""))</f>
        <v/>
      </c>
      <c r="G19" s="25" t="str">
        <f aca="false">IF($A19="","",IF(AND(N(Actividades!$E10)&gt;0,G$4&gt;=Actividades!$E10,MOD(G$4-Actividades!$E10,IFERROR(VLOOKUP(Actividades!$D10,Listas!$A$2:$B$8,2,0),52))=0),"P",""))</f>
        <v/>
      </c>
      <c r="H19" s="25" t="str">
        <f aca="false">IF($A19="","",IF(AND(N(Actividades!$E10)&gt;0,H$4&gt;=Actividades!$E10,MOD(H$4-Actividades!$E10,IFERROR(VLOOKUP(Actividades!$D10,Listas!$A$2:$B$8,2,0),52))=0),"P",""))</f>
        <v/>
      </c>
      <c r="I19" s="25" t="str">
        <f aca="false">IF($A19="","",IF(AND(N(Actividades!$E10)&gt;0,I$4&gt;=Actividades!$E10,MOD(I$4-Actividades!$E10,IFERROR(VLOOKUP(Actividades!$D10,Listas!$A$2:$B$8,2,0),52))=0),"P",""))</f>
        <v/>
      </c>
      <c r="J19" s="25" t="str">
        <f aca="false">IF($A19="","",IF(AND(N(Actividades!$E10)&gt;0,J$4&gt;=Actividades!$E10,MOD(J$4-Actividades!$E10,IFERROR(VLOOKUP(Actividades!$D10,Listas!$A$2:$B$8,2,0),52))=0),"P",""))</f>
        <v/>
      </c>
      <c r="K19" s="25" t="str">
        <f aca="false">IF($A19="","",IF(AND(N(Actividades!$E10)&gt;0,K$4&gt;=Actividades!$E10,MOD(K$4-Actividades!$E10,IFERROR(VLOOKUP(Actividades!$D10,Listas!$A$2:$B$8,2,0),52))=0),"P",""))</f>
        <v/>
      </c>
      <c r="L19" s="25" t="str">
        <f aca="false">IF($A19="","",IF(AND(N(Actividades!$E10)&gt;0,L$4&gt;=Actividades!$E10,MOD(L$4-Actividades!$E10,IFERROR(VLOOKUP(Actividades!$D10,Listas!$A$2:$B$8,2,0),52))=0),"P",""))</f>
        <v/>
      </c>
      <c r="M19" s="25" t="str">
        <f aca="false">IF($A19="","",IF(AND(N(Actividades!$E10)&gt;0,M$4&gt;=Actividades!$E10,MOD(M$4-Actividades!$E10,IFERROR(VLOOKUP(Actividades!$D10,Listas!$A$2:$B$8,2,0),52))=0),"P",""))</f>
        <v/>
      </c>
      <c r="N19" s="25" t="str">
        <f aca="false">IF($A19="","",IF(AND(N(Actividades!$E10)&gt;0,N$4&gt;=Actividades!$E10,MOD(N$4-Actividades!$E10,IFERROR(VLOOKUP(Actividades!$D10,Listas!$A$2:$B$8,2,0),52))=0),"P",""))</f>
        <v/>
      </c>
      <c r="O19" s="25" t="str">
        <f aca="false">IF($A19="","",IF(AND(N(Actividades!$E10)&gt;0,O$4&gt;=Actividades!$E10,MOD(O$4-Actividades!$E10,IFERROR(VLOOKUP(Actividades!$D10,Listas!$A$2:$B$8,2,0),52))=0),"P",""))</f>
        <v/>
      </c>
      <c r="P19" s="25" t="str">
        <f aca="false">IF($A19="","",IF(AND(N(Actividades!$E10)&gt;0,P$4&gt;=Actividades!$E10,MOD(P$4-Actividades!$E10,IFERROR(VLOOKUP(Actividades!$D10,Listas!$A$2:$B$8,2,0),52))=0),"P",""))</f>
        <v/>
      </c>
      <c r="Q19" s="25" t="str">
        <f aca="false">IF($A19="","",IF(AND(N(Actividades!$E10)&gt;0,Q$4&gt;=Actividades!$E10,MOD(Q$4-Actividades!$E10,IFERROR(VLOOKUP(Actividades!$D10,Listas!$A$2:$B$8,2,0),52))=0),"P",""))</f>
        <v/>
      </c>
      <c r="R19" s="25" t="str">
        <f aca="false">IF($A19="","",IF(AND(N(Actividades!$E10)&gt;0,R$4&gt;=Actividades!$E10,MOD(R$4-Actividades!$E10,IFERROR(VLOOKUP(Actividades!$D10,Listas!$A$2:$B$8,2,0),52))=0),"P",""))</f>
        <v/>
      </c>
      <c r="S19" s="25" t="str">
        <f aca="false">IF($A19="","",IF(AND(N(Actividades!$E10)&gt;0,S$4&gt;=Actividades!$E10,MOD(S$4-Actividades!$E10,IFERROR(VLOOKUP(Actividades!$D10,Listas!$A$2:$B$8,2,0),52))=0),"P",""))</f>
        <v/>
      </c>
      <c r="T19" s="25" t="str">
        <f aca="false">IF($A19="","",IF(AND(N(Actividades!$E10)&gt;0,T$4&gt;=Actividades!$E10,MOD(T$4-Actividades!$E10,IFERROR(VLOOKUP(Actividades!$D10,Listas!$A$2:$B$8,2,0),52))=0),"P",""))</f>
        <v/>
      </c>
      <c r="U19" s="25" t="str">
        <f aca="false">IF($A19="","",IF(AND(N(Actividades!$E10)&gt;0,U$4&gt;=Actividades!$E10,MOD(U$4-Actividades!$E10,IFERROR(VLOOKUP(Actividades!$D10,Listas!$A$2:$B$8,2,0),52))=0),"P",""))</f>
        <v/>
      </c>
      <c r="V19" s="25" t="str">
        <f aca="false">IF($A19="","",IF(AND(N(Actividades!$E10)&gt;0,V$4&gt;=Actividades!$E10,MOD(V$4-Actividades!$E10,IFERROR(VLOOKUP(Actividades!$D10,Listas!$A$2:$B$8,2,0),52))=0),"P",""))</f>
        <v/>
      </c>
      <c r="W19" s="25" t="str">
        <f aca="false">IF($A19="","",IF(AND(N(Actividades!$E10)&gt;0,W$4&gt;=Actividades!$E10,MOD(W$4-Actividades!$E10,IFERROR(VLOOKUP(Actividades!$D10,Listas!$A$2:$B$8,2,0),52))=0),"P",""))</f>
        <v/>
      </c>
      <c r="X19" s="25" t="str">
        <f aca="false">IF($A19="","",IF(AND(N(Actividades!$E10)&gt;0,X$4&gt;=Actividades!$E10,MOD(X$4-Actividades!$E10,IFERROR(VLOOKUP(Actividades!$D10,Listas!$A$2:$B$8,2,0),52))=0),"P",""))</f>
        <v/>
      </c>
      <c r="Y19" s="25" t="str">
        <f aca="false">IF($A19="","",IF(AND(N(Actividades!$E10)&gt;0,Y$4&gt;=Actividades!$E10,MOD(Y$4-Actividades!$E10,IFERROR(VLOOKUP(Actividades!$D10,Listas!$A$2:$B$8,2,0),52))=0),"P",""))</f>
        <v/>
      </c>
      <c r="Z19" s="25" t="str">
        <f aca="false">IF($A19="","",IF(AND(N(Actividades!$E10)&gt;0,Z$4&gt;=Actividades!$E10,MOD(Z$4-Actividades!$E10,IFERROR(VLOOKUP(Actividades!$D10,Listas!$A$2:$B$8,2,0),52))=0),"P",""))</f>
        <v/>
      </c>
      <c r="AA19" s="25" t="str">
        <f aca="false">IF($A19="","",IF(AND(N(Actividades!$E10)&gt;0,AA$4&gt;=Actividades!$E10,MOD(AA$4-Actividades!$E10,IFERROR(VLOOKUP(Actividades!$D10,Listas!$A$2:$B$8,2,0),52))=0),"P",""))</f>
        <v/>
      </c>
      <c r="AB19" s="25" t="str">
        <f aca="false">IF($A19="","",IF(AND(N(Actividades!$E10)&gt;0,AB$4&gt;=Actividades!$E10,MOD(AB$4-Actividades!$E10,IFERROR(VLOOKUP(Actividades!$D10,Listas!$A$2:$B$8,2,0),52))=0),"P",""))</f>
        <v/>
      </c>
      <c r="AC19" s="25" t="str">
        <f aca="false">IF($A19="","",IF(AND(N(Actividades!$E10)&gt;0,AC$4&gt;=Actividades!$E10,MOD(AC$4-Actividades!$E10,IFERROR(VLOOKUP(Actividades!$D10,Listas!$A$2:$B$8,2,0),52))=0),"P",""))</f>
        <v/>
      </c>
      <c r="AD19" s="25" t="str">
        <f aca="false">IF($A19="","",IF(AND(N(Actividades!$E10)&gt;0,AD$4&gt;=Actividades!$E10,MOD(AD$4-Actividades!$E10,IFERROR(VLOOKUP(Actividades!$D10,Listas!$A$2:$B$8,2,0),52))=0),"P",""))</f>
        <v/>
      </c>
      <c r="AE19" s="25" t="str">
        <f aca="false">IF($A19="","",IF(AND(N(Actividades!$E10)&gt;0,AE$4&gt;=Actividades!$E10,MOD(AE$4-Actividades!$E10,IFERROR(VLOOKUP(Actividades!$D10,Listas!$A$2:$B$8,2,0),52))=0),"P",""))</f>
        <v/>
      </c>
      <c r="AF19" s="25" t="str">
        <f aca="false">IF($A19="","",IF(AND(N(Actividades!$E10)&gt;0,AF$4&gt;=Actividades!$E10,MOD(AF$4-Actividades!$E10,IFERROR(VLOOKUP(Actividades!$D10,Listas!$A$2:$B$8,2,0),52))=0),"P",""))</f>
        <v/>
      </c>
      <c r="AG19" s="25" t="str">
        <f aca="false">IF($A19="","",IF(AND(N(Actividades!$E10)&gt;0,AG$4&gt;=Actividades!$E10,MOD(AG$4-Actividades!$E10,IFERROR(VLOOKUP(Actividades!$D10,Listas!$A$2:$B$8,2,0),52))=0),"P",""))</f>
        <v/>
      </c>
      <c r="AH19" s="25" t="str">
        <f aca="false">IF($A19="","",IF(AND(N(Actividades!$E10)&gt;0,AH$4&gt;=Actividades!$E10,MOD(AH$4-Actividades!$E10,IFERROR(VLOOKUP(Actividades!$D10,Listas!$A$2:$B$8,2,0),52))=0),"P",""))</f>
        <v/>
      </c>
      <c r="AI19" s="25" t="str">
        <f aca="false">IF($A19="","",IF(AND(N(Actividades!$E10)&gt;0,AI$4&gt;=Actividades!$E10,MOD(AI$4-Actividades!$E10,IFERROR(VLOOKUP(Actividades!$D10,Listas!$A$2:$B$8,2,0),52))=0),"P",""))</f>
        <v/>
      </c>
      <c r="AJ19" s="25" t="str">
        <f aca="false">IF($A19="","",IF(AND(N(Actividades!$E10)&gt;0,AJ$4&gt;=Actividades!$E10,MOD(AJ$4-Actividades!$E10,IFERROR(VLOOKUP(Actividades!$D10,Listas!$A$2:$B$8,2,0),52))=0),"P",""))</f>
        <v/>
      </c>
      <c r="AK19" s="25" t="str">
        <f aca="false">IF($A19="","",IF(AND(N(Actividades!$E10)&gt;0,AK$4&gt;=Actividades!$E10,MOD(AK$4-Actividades!$E10,IFERROR(VLOOKUP(Actividades!$D10,Listas!$A$2:$B$8,2,0),52))=0),"P",""))</f>
        <v/>
      </c>
      <c r="AL19" s="25" t="str">
        <f aca="false">IF($A19="","",IF(AND(N(Actividades!$E10)&gt;0,AL$4&gt;=Actividades!$E10,MOD(AL$4-Actividades!$E10,IFERROR(VLOOKUP(Actividades!$D10,Listas!$A$2:$B$8,2,0),52))=0),"P",""))</f>
        <v/>
      </c>
      <c r="AM19" s="25" t="str">
        <f aca="false">IF($A19="","",IF(AND(N(Actividades!$E10)&gt;0,AM$4&gt;=Actividades!$E10,MOD(AM$4-Actividades!$E10,IFERROR(VLOOKUP(Actividades!$D10,Listas!$A$2:$B$8,2,0),52))=0),"P",""))</f>
        <v/>
      </c>
      <c r="AN19" s="25" t="str">
        <f aca="false">IF($A19="","",IF(AND(N(Actividades!$E10)&gt;0,AN$4&gt;=Actividades!$E10,MOD(AN$4-Actividades!$E10,IFERROR(VLOOKUP(Actividades!$D10,Listas!$A$2:$B$8,2,0),52))=0),"P",""))</f>
        <v/>
      </c>
      <c r="AO19" s="25" t="str">
        <f aca="false">IF($A19="","",IF(AND(N(Actividades!$E10)&gt;0,AO$4&gt;=Actividades!$E10,MOD(AO$4-Actividades!$E10,IFERROR(VLOOKUP(Actividades!$D10,Listas!$A$2:$B$8,2,0),52))=0),"P",""))</f>
        <v/>
      </c>
      <c r="AP19" s="25" t="str">
        <f aca="false">IF($A19="","",IF(AND(N(Actividades!$E10)&gt;0,AP$4&gt;=Actividades!$E10,MOD(AP$4-Actividades!$E10,IFERROR(VLOOKUP(Actividades!$D10,Listas!$A$2:$B$8,2,0),52))=0),"P",""))</f>
        <v/>
      </c>
      <c r="AQ19" s="25" t="str">
        <f aca="false">IF($A19="","",IF(AND(N(Actividades!$E10)&gt;0,AQ$4&gt;=Actividades!$E10,MOD(AQ$4-Actividades!$E10,IFERROR(VLOOKUP(Actividades!$D10,Listas!$A$2:$B$8,2,0),52))=0),"P",""))</f>
        <v/>
      </c>
      <c r="AR19" s="25" t="str">
        <f aca="false">IF($A19="","",IF(AND(N(Actividades!$E10)&gt;0,AR$4&gt;=Actividades!$E10,MOD(AR$4-Actividades!$E10,IFERROR(VLOOKUP(Actividades!$D10,Listas!$A$2:$B$8,2,0),52))=0),"P",""))</f>
        <v/>
      </c>
      <c r="AS19" s="25" t="str">
        <f aca="false">IF($A19="","",IF(AND(N(Actividades!$E10)&gt;0,AS$4&gt;=Actividades!$E10,MOD(AS$4-Actividades!$E10,IFERROR(VLOOKUP(Actividades!$D10,Listas!$A$2:$B$8,2,0),52))=0),"P",""))</f>
        <v/>
      </c>
      <c r="AT19" s="25" t="str">
        <f aca="false">IF($A19="","",IF(AND(N(Actividades!$E10)&gt;0,AT$4&gt;=Actividades!$E10,MOD(AT$4-Actividades!$E10,IFERROR(VLOOKUP(Actividades!$D10,Listas!$A$2:$B$8,2,0),52))=0),"P",""))</f>
        <v/>
      </c>
      <c r="AU19" s="25" t="str">
        <f aca="false">IF($A19="","",IF(AND(N(Actividades!$E10)&gt;0,AU$4&gt;=Actividades!$E10,MOD(AU$4-Actividades!$E10,IFERROR(VLOOKUP(Actividades!$D10,Listas!$A$2:$B$8,2,0),52))=0),"P",""))</f>
        <v/>
      </c>
      <c r="AV19" s="25" t="str">
        <f aca="false">IF($A19="","",IF(AND(N(Actividades!$E10)&gt;0,AV$4&gt;=Actividades!$E10,MOD(AV$4-Actividades!$E10,IFERROR(VLOOKUP(Actividades!$D10,Listas!$A$2:$B$8,2,0),52))=0),"P",""))</f>
        <v/>
      </c>
      <c r="AW19" s="25" t="str">
        <f aca="false">IF($A19="","",IF(AND(N(Actividades!$E10)&gt;0,AW$4&gt;=Actividades!$E10,MOD(AW$4-Actividades!$E10,IFERROR(VLOOKUP(Actividades!$D10,Listas!$A$2:$B$8,2,0),52))=0),"P",""))</f>
        <v/>
      </c>
      <c r="AX19" s="25" t="str">
        <f aca="false">IF($A19="","",IF(AND(N(Actividades!$E10)&gt;0,AX$4&gt;=Actividades!$E10,MOD(AX$4-Actividades!$E10,IFERROR(VLOOKUP(Actividades!$D10,Listas!$A$2:$B$8,2,0),52))=0),"P",""))</f>
        <v/>
      </c>
      <c r="AY19" s="25" t="str">
        <f aca="false">IF($A19="","",IF(AND(N(Actividades!$E10)&gt;0,AY$4&gt;=Actividades!$E10,MOD(AY$4-Actividades!$E10,IFERROR(VLOOKUP(Actividades!$D10,Listas!$A$2:$B$8,2,0),52))=0),"P",""))</f>
        <v/>
      </c>
      <c r="AZ19" s="25" t="str">
        <f aca="false">IF($A19="","",IF(AND(N(Actividades!$E10)&gt;0,AZ$4&gt;=Actividades!$E10,MOD(AZ$4-Actividades!$E10,IFERROR(VLOOKUP(Actividades!$D10,Listas!$A$2:$B$8,2,0),52))=0),"P",""))</f>
        <v/>
      </c>
      <c r="BA19" s="25" t="str">
        <f aca="false">IF($A19="","",IF(AND(N(Actividades!$E10)&gt;0,BA$4&gt;=Actividades!$E10,MOD(BA$4-Actividades!$E10,IFERROR(VLOOKUP(Actividades!$D10,Listas!$A$2:$B$8,2,0),52))=0),"P",""))</f>
        <v/>
      </c>
      <c r="BB19" s="25" t="str">
        <f aca="false">IF($A19="","",IF(AND(N(Actividades!$E10)&gt;0,BB$4&gt;=Actividades!$E10,MOD(BB$4-Actividades!$E10,IFERROR(VLOOKUP(Actividades!$D10,Listas!$A$2:$B$8,2,0),52))=0),"P",""))</f>
        <v/>
      </c>
      <c r="BC19" s="25" t="str">
        <f aca="false">IF($A19="","",IF(AND(N(Actividades!$E10)&gt;0,BC$4&gt;=Actividades!$E10,MOD(BC$4-Actividades!$E10,IFERROR(VLOOKUP(Actividades!$D10,Listas!$A$2:$B$8,2,0),52))=0),"P",""))</f>
        <v/>
      </c>
      <c r="BD19" s="26" t="str">
        <f aca="false">IF($A19="","",COUNTIF(D19:BC19,"P"))</f>
        <v/>
      </c>
      <c r="BE19" s="26" t="str">
        <f aca="false">IF($A19="","",SUMPRODUCT((D19:BC19="P")*(D20:BC20="✓")))</f>
        <v/>
      </c>
      <c r="BF19" s="27" t="str">
        <f aca="false">IF($A19="","",IF(BD19=0,"",BE19/BD19))</f>
        <v/>
      </c>
    </row>
    <row r="20" customFormat="false" ht="15" hidden="false" customHeight="false" outlineLevel="0" collapsed="false">
      <c r="A20" s="28"/>
      <c r="B20" s="28"/>
      <c r="C20" s="28" t="str">
        <f aca="false">IF($A19="","","Real")</f>
        <v/>
      </c>
      <c r="D20" s="29" t="str">
        <f aca="false">IF($A19="","",IF(COUNTIFS(Historial!$B$3:$B$502,$A19,Historial!$C$3:$C$502,$B19,Historial!$G$3:$G$502,D$4,Historial!$H$3:$H$502,$B$2)&gt;0,"✓",""))</f>
        <v/>
      </c>
      <c r="E20" s="29" t="str">
        <f aca="false">IF($A19="","",IF(COUNTIFS(Historial!$B$3:$B$502,$A19,Historial!$C$3:$C$502,$B19,Historial!$G$3:$G$502,E$4,Historial!$H$3:$H$502,$B$2)&gt;0,"✓",""))</f>
        <v/>
      </c>
      <c r="F20" s="29" t="str">
        <f aca="false">IF($A19="","",IF(COUNTIFS(Historial!$B$3:$B$502,$A19,Historial!$C$3:$C$502,$B19,Historial!$G$3:$G$502,F$4,Historial!$H$3:$H$502,$B$2)&gt;0,"✓",""))</f>
        <v/>
      </c>
      <c r="G20" s="29" t="str">
        <f aca="false">IF($A19="","",IF(COUNTIFS(Historial!$B$3:$B$502,$A19,Historial!$C$3:$C$502,$B19,Historial!$G$3:$G$502,G$4,Historial!$H$3:$H$502,$B$2)&gt;0,"✓",""))</f>
        <v/>
      </c>
      <c r="H20" s="29" t="str">
        <f aca="false">IF($A19="","",IF(COUNTIFS(Historial!$B$3:$B$502,$A19,Historial!$C$3:$C$502,$B19,Historial!$G$3:$G$502,H$4,Historial!$H$3:$H$502,$B$2)&gt;0,"✓",""))</f>
        <v/>
      </c>
      <c r="I20" s="29" t="str">
        <f aca="false">IF($A19="","",IF(COUNTIFS(Historial!$B$3:$B$502,$A19,Historial!$C$3:$C$502,$B19,Historial!$G$3:$G$502,I$4,Historial!$H$3:$H$502,$B$2)&gt;0,"✓",""))</f>
        <v/>
      </c>
      <c r="J20" s="29" t="str">
        <f aca="false">IF($A19="","",IF(COUNTIFS(Historial!$B$3:$B$502,$A19,Historial!$C$3:$C$502,$B19,Historial!$G$3:$G$502,J$4,Historial!$H$3:$H$502,$B$2)&gt;0,"✓",""))</f>
        <v/>
      </c>
      <c r="K20" s="29" t="str">
        <f aca="false">IF($A19="","",IF(COUNTIFS(Historial!$B$3:$B$502,$A19,Historial!$C$3:$C$502,$B19,Historial!$G$3:$G$502,K$4,Historial!$H$3:$H$502,$B$2)&gt;0,"✓",""))</f>
        <v/>
      </c>
      <c r="L20" s="29" t="str">
        <f aca="false">IF($A19="","",IF(COUNTIFS(Historial!$B$3:$B$502,$A19,Historial!$C$3:$C$502,$B19,Historial!$G$3:$G$502,L$4,Historial!$H$3:$H$502,$B$2)&gt;0,"✓",""))</f>
        <v/>
      </c>
      <c r="M20" s="29" t="str">
        <f aca="false">IF($A19="","",IF(COUNTIFS(Historial!$B$3:$B$502,$A19,Historial!$C$3:$C$502,$B19,Historial!$G$3:$G$502,M$4,Historial!$H$3:$H$502,$B$2)&gt;0,"✓",""))</f>
        <v/>
      </c>
      <c r="N20" s="29" t="str">
        <f aca="false">IF($A19="","",IF(COUNTIFS(Historial!$B$3:$B$502,$A19,Historial!$C$3:$C$502,$B19,Historial!$G$3:$G$502,N$4,Historial!$H$3:$H$502,$B$2)&gt;0,"✓",""))</f>
        <v/>
      </c>
      <c r="O20" s="29" t="str">
        <f aca="false">IF($A19="","",IF(COUNTIFS(Historial!$B$3:$B$502,$A19,Historial!$C$3:$C$502,$B19,Historial!$G$3:$G$502,O$4,Historial!$H$3:$H$502,$B$2)&gt;0,"✓",""))</f>
        <v/>
      </c>
      <c r="P20" s="29" t="str">
        <f aca="false">IF($A19="","",IF(COUNTIFS(Historial!$B$3:$B$502,$A19,Historial!$C$3:$C$502,$B19,Historial!$G$3:$G$502,P$4,Historial!$H$3:$H$502,$B$2)&gt;0,"✓",""))</f>
        <v/>
      </c>
      <c r="Q20" s="29" t="str">
        <f aca="false">IF($A19="","",IF(COUNTIFS(Historial!$B$3:$B$502,$A19,Historial!$C$3:$C$502,$B19,Historial!$G$3:$G$502,Q$4,Historial!$H$3:$H$502,$B$2)&gt;0,"✓",""))</f>
        <v/>
      </c>
      <c r="R20" s="29" t="str">
        <f aca="false">IF($A19="","",IF(COUNTIFS(Historial!$B$3:$B$502,$A19,Historial!$C$3:$C$502,$B19,Historial!$G$3:$G$502,R$4,Historial!$H$3:$H$502,$B$2)&gt;0,"✓",""))</f>
        <v/>
      </c>
      <c r="S20" s="29" t="str">
        <f aca="false">IF($A19="","",IF(COUNTIFS(Historial!$B$3:$B$502,$A19,Historial!$C$3:$C$502,$B19,Historial!$G$3:$G$502,S$4,Historial!$H$3:$H$502,$B$2)&gt;0,"✓",""))</f>
        <v/>
      </c>
      <c r="T20" s="29" t="str">
        <f aca="false">IF($A19="","",IF(COUNTIFS(Historial!$B$3:$B$502,$A19,Historial!$C$3:$C$502,$B19,Historial!$G$3:$G$502,T$4,Historial!$H$3:$H$502,$B$2)&gt;0,"✓",""))</f>
        <v/>
      </c>
      <c r="U20" s="29" t="str">
        <f aca="false">IF($A19="","",IF(COUNTIFS(Historial!$B$3:$B$502,$A19,Historial!$C$3:$C$502,$B19,Historial!$G$3:$G$502,U$4,Historial!$H$3:$H$502,$B$2)&gt;0,"✓",""))</f>
        <v/>
      </c>
      <c r="V20" s="29" t="str">
        <f aca="false">IF($A19="","",IF(COUNTIFS(Historial!$B$3:$B$502,$A19,Historial!$C$3:$C$502,$B19,Historial!$G$3:$G$502,V$4,Historial!$H$3:$H$502,$B$2)&gt;0,"✓",""))</f>
        <v/>
      </c>
      <c r="W20" s="29" t="str">
        <f aca="false">IF($A19="","",IF(COUNTIFS(Historial!$B$3:$B$502,$A19,Historial!$C$3:$C$502,$B19,Historial!$G$3:$G$502,W$4,Historial!$H$3:$H$502,$B$2)&gt;0,"✓",""))</f>
        <v/>
      </c>
      <c r="X20" s="29" t="str">
        <f aca="false">IF($A19="","",IF(COUNTIFS(Historial!$B$3:$B$502,$A19,Historial!$C$3:$C$502,$B19,Historial!$G$3:$G$502,X$4,Historial!$H$3:$H$502,$B$2)&gt;0,"✓",""))</f>
        <v/>
      </c>
      <c r="Y20" s="29" t="str">
        <f aca="false">IF($A19="","",IF(COUNTIFS(Historial!$B$3:$B$502,$A19,Historial!$C$3:$C$502,$B19,Historial!$G$3:$G$502,Y$4,Historial!$H$3:$H$502,$B$2)&gt;0,"✓",""))</f>
        <v/>
      </c>
      <c r="Z20" s="29" t="str">
        <f aca="false">IF($A19="","",IF(COUNTIFS(Historial!$B$3:$B$502,$A19,Historial!$C$3:$C$502,$B19,Historial!$G$3:$G$502,Z$4,Historial!$H$3:$H$502,$B$2)&gt;0,"✓",""))</f>
        <v/>
      </c>
      <c r="AA20" s="29" t="str">
        <f aca="false">IF($A19="","",IF(COUNTIFS(Historial!$B$3:$B$502,$A19,Historial!$C$3:$C$502,$B19,Historial!$G$3:$G$502,AA$4,Historial!$H$3:$H$502,$B$2)&gt;0,"✓",""))</f>
        <v/>
      </c>
      <c r="AB20" s="29" t="str">
        <f aca="false">IF($A19="","",IF(COUNTIFS(Historial!$B$3:$B$502,$A19,Historial!$C$3:$C$502,$B19,Historial!$G$3:$G$502,AB$4,Historial!$H$3:$H$502,$B$2)&gt;0,"✓",""))</f>
        <v/>
      </c>
      <c r="AC20" s="29" t="str">
        <f aca="false">IF($A19="","",IF(COUNTIFS(Historial!$B$3:$B$502,$A19,Historial!$C$3:$C$502,$B19,Historial!$G$3:$G$502,AC$4,Historial!$H$3:$H$502,$B$2)&gt;0,"✓",""))</f>
        <v/>
      </c>
      <c r="AD20" s="29" t="str">
        <f aca="false">IF($A19="","",IF(COUNTIFS(Historial!$B$3:$B$502,$A19,Historial!$C$3:$C$502,$B19,Historial!$G$3:$G$502,AD$4,Historial!$H$3:$H$502,$B$2)&gt;0,"✓",""))</f>
        <v/>
      </c>
      <c r="AE20" s="29" t="str">
        <f aca="false">IF($A19="","",IF(COUNTIFS(Historial!$B$3:$B$502,$A19,Historial!$C$3:$C$502,$B19,Historial!$G$3:$G$502,AE$4,Historial!$H$3:$H$502,$B$2)&gt;0,"✓",""))</f>
        <v/>
      </c>
      <c r="AF20" s="29" t="str">
        <f aca="false">IF($A19="","",IF(COUNTIFS(Historial!$B$3:$B$502,$A19,Historial!$C$3:$C$502,$B19,Historial!$G$3:$G$502,AF$4,Historial!$H$3:$H$502,$B$2)&gt;0,"✓",""))</f>
        <v/>
      </c>
      <c r="AG20" s="29" t="str">
        <f aca="false">IF($A19="","",IF(COUNTIFS(Historial!$B$3:$B$502,$A19,Historial!$C$3:$C$502,$B19,Historial!$G$3:$G$502,AG$4,Historial!$H$3:$H$502,$B$2)&gt;0,"✓",""))</f>
        <v/>
      </c>
      <c r="AH20" s="29" t="str">
        <f aca="false">IF($A19="","",IF(COUNTIFS(Historial!$B$3:$B$502,$A19,Historial!$C$3:$C$502,$B19,Historial!$G$3:$G$502,AH$4,Historial!$H$3:$H$502,$B$2)&gt;0,"✓",""))</f>
        <v/>
      </c>
      <c r="AI20" s="29" t="str">
        <f aca="false">IF($A19="","",IF(COUNTIFS(Historial!$B$3:$B$502,$A19,Historial!$C$3:$C$502,$B19,Historial!$G$3:$G$502,AI$4,Historial!$H$3:$H$502,$B$2)&gt;0,"✓",""))</f>
        <v/>
      </c>
      <c r="AJ20" s="29" t="str">
        <f aca="false">IF($A19="","",IF(COUNTIFS(Historial!$B$3:$B$502,$A19,Historial!$C$3:$C$502,$B19,Historial!$G$3:$G$502,AJ$4,Historial!$H$3:$H$502,$B$2)&gt;0,"✓",""))</f>
        <v/>
      </c>
      <c r="AK20" s="29" t="str">
        <f aca="false">IF($A19="","",IF(COUNTIFS(Historial!$B$3:$B$502,$A19,Historial!$C$3:$C$502,$B19,Historial!$G$3:$G$502,AK$4,Historial!$H$3:$H$502,$B$2)&gt;0,"✓",""))</f>
        <v/>
      </c>
      <c r="AL20" s="29" t="str">
        <f aca="false">IF($A19="","",IF(COUNTIFS(Historial!$B$3:$B$502,$A19,Historial!$C$3:$C$502,$B19,Historial!$G$3:$G$502,AL$4,Historial!$H$3:$H$502,$B$2)&gt;0,"✓",""))</f>
        <v/>
      </c>
      <c r="AM20" s="29" t="str">
        <f aca="false">IF($A19="","",IF(COUNTIFS(Historial!$B$3:$B$502,$A19,Historial!$C$3:$C$502,$B19,Historial!$G$3:$G$502,AM$4,Historial!$H$3:$H$502,$B$2)&gt;0,"✓",""))</f>
        <v/>
      </c>
      <c r="AN20" s="29" t="str">
        <f aca="false">IF($A19="","",IF(COUNTIFS(Historial!$B$3:$B$502,$A19,Historial!$C$3:$C$502,$B19,Historial!$G$3:$G$502,AN$4,Historial!$H$3:$H$502,$B$2)&gt;0,"✓",""))</f>
        <v/>
      </c>
      <c r="AO20" s="29" t="str">
        <f aca="false">IF($A19="","",IF(COUNTIFS(Historial!$B$3:$B$502,$A19,Historial!$C$3:$C$502,$B19,Historial!$G$3:$G$502,AO$4,Historial!$H$3:$H$502,$B$2)&gt;0,"✓",""))</f>
        <v/>
      </c>
      <c r="AP20" s="29" t="str">
        <f aca="false">IF($A19="","",IF(COUNTIFS(Historial!$B$3:$B$502,$A19,Historial!$C$3:$C$502,$B19,Historial!$G$3:$G$502,AP$4,Historial!$H$3:$H$502,$B$2)&gt;0,"✓",""))</f>
        <v/>
      </c>
      <c r="AQ20" s="29" t="str">
        <f aca="false">IF($A19="","",IF(COUNTIFS(Historial!$B$3:$B$502,$A19,Historial!$C$3:$C$502,$B19,Historial!$G$3:$G$502,AQ$4,Historial!$H$3:$H$502,$B$2)&gt;0,"✓",""))</f>
        <v/>
      </c>
      <c r="AR20" s="29" t="str">
        <f aca="false">IF($A19="","",IF(COUNTIFS(Historial!$B$3:$B$502,$A19,Historial!$C$3:$C$502,$B19,Historial!$G$3:$G$502,AR$4,Historial!$H$3:$H$502,$B$2)&gt;0,"✓",""))</f>
        <v/>
      </c>
      <c r="AS20" s="29" t="str">
        <f aca="false">IF($A19="","",IF(COUNTIFS(Historial!$B$3:$B$502,$A19,Historial!$C$3:$C$502,$B19,Historial!$G$3:$G$502,AS$4,Historial!$H$3:$H$502,$B$2)&gt;0,"✓",""))</f>
        <v/>
      </c>
      <c r="AT20" s="29" t="str">
        <f aca="false">IF($A19="","",IF(COUNTIFS(Historial!$B$3:$B$502,$A19,Historial!$C$3:$C$502,$B19,Historial!$G$3:$G$502,AT$4,Historial!$H$3:$H$502,$B$2)&gt;0,"✓",""))</f>
        <v/>
      </c>
      <c r="AU20" s="29" t="str">
        <f aca="false">IF($A19="","",IF(COUNTIFS(Historial!$B$3:$B$502,$A19,Historial!$C$3:$C$502,$B19,Historial!$G$3:$G$502,AU$4,Historial!$H$3:$H$502,$B$2)&gt;0,"✓",""))</f>
        <v/>
      </c>
      <c r="AV20" s="29" t="str">
        <f aca="false">IF($A19="","",IF(COUNTIFS(Historial!$B$3:$B$502,$A19,Historial!$C$3:$C$502,$B19,Historial!$G$3:$G$502,AV$4,Historial!$H$3:$H$502,$B$2)&gt;0,"✓",""))</f>
        <v/>
      </c>
      <c r="AW20" s="29" t="str">
        <f aca="false">IF($A19="","",IF(COUNTIFS(Historial!$B$3:$B$502,$A19,Historial!$C$3:$C$502,$B19,Historial!$G$3:$G$502,AW$4,Historial!$H$3:$H$502,$B$2)&gt;0,"✓",""))</f>
        <v/>
      </c>
      <c r="AX20" s="29" t="str">
        <f aca="false">IF($A19="","",IF(COUNTIFS(Historial!$B$3:$B$502,$A19,Historial!$C$3:$C$502,$B19,Historial!$G$3:$G$502,AX$4,Historial!$H$3:$H$502,$B$2)&gt;0,"✓",""))</f>
        <v/>
      </c>
      <c r="AY20" s="29" t="str">
        <f aca="false">IF($A19="","",IF(COUNTIFS(Historial!$B$3:$B$502,$A19,Historial!$C$3:$C$502,$B19,Historial!$G$3:$G$502,AY$4,Historial!$H$3:$H$502,$B$2)&gt;0,"✓",""))</f>
        <v/>
      </c>
      <c r="AZ20" s="29" t="str">
        <f aca="false">IF($A19="","",IF(COUNTIFS(Historial!$B$3:$B$502,$A19,Historial!$C$3:$C$502,$B19,Historial!$G$3:$G$502,AZ$4,Historial!$H$3:$H$502,$B$2)&gt;0,"✓",""))</f>
        <v/>
      </c>
      <c r="BA20" s="29" t="str">
        <f aca="false">IF($A19="","",IF(COUNTIFS(Historial!$B$3:$B$502,$A19,Historial!$C$3:$C$502,$B19,Historial!$G$3:$G$502,BA$4,Historial!$H$3:$H$502,$B$2)&gt;0,"✓",""))</f>
        <v/>
      </c>
      <c r="BB20" s="29" t="str">
        <f aca="false">IF($A19="","",IF(COUNTIFS(Historial!$B$3:$B$502,$A19,Historial!$C$3:$C$502,$B19,Historial!$G$3:$G$502,BB$4,Historial!$H$3:$H$502,$B$2)&gt;0,"✓",""))</f>
        <v/>
      </c>
      <c r="BC20" s="29" t="str">
        <f aca="false">IF($A19="","",IF(COUNTIFS(Historial!$B$3:$B$502,$A19,Historial!$C$3:$C$502,$B19,Historial!$G$3:$G$502,BC$4,Historial!$H$3:$H$502,$B$2)&gt;0,"✓",""))</f>
        <v/>
      </c>
      <c r="BD20" s="29"/>
      <c r="BE20" s="29"/>
      <c r="BF20" s="29"/>
    </row>
    <row r="21" customFormat="false" ht="15" hidden="false" customHeight="false" outlineLevel="0" collapsed="false">
      <c r="A21" s="24" t="str">
        <f aca="false">IF(Actividades!$B11="","",Actividades!$B11)</f>
        <v/>
      </c>
      <c r="B21" s="24" t="str">
        <f aca="false">IF(Actividades!$C11="","",Actividades!$C11)</f>
        <v/>
      </c>
      <c r="C21" s="24" t="str">
        <f aca="false">IF($A21="","","Plan")</f>
        <v/>
      </c>
      <c r="D21" s="25" t="str">
        <f aca="false">IF($A21="","",IF(AND(N(Actividades!$E11)&gt;0,D$4&gt;=Actividades!$E11,MOD(D$4-Actividades!$E11,IFERROR(VLOOKUP(Actividades!$D11,Listas!$A$2:$B$8,2,0),52))=0),"P",""))</f>
        <v/>
      </c>
      <c r="E21" s="25" t="str">
        <f aca="false">IF($A21="","",IF(AND(N(Actividades!$E11)&gt;0,E$4&gt;=Actividades!$E11,MOD(E$4-Actividades!$E11,IFERROR(VLOOKUP(Actividades!$D11,Listas!$A$2:$B$8,2,0),52))=0),"P",""))</f>
        <v/>
      </c>
      <c r="F21" s="25" t="str">
        <f aca="false">IF($A21="","",IF(AND(N(Actividades!$E11)&gt;0,F$4&gt;=Actividades!$E11,MOD(F$4-Actividades!$E11,IFERROR(VLOOKUP(Actividades!$D11,Listas!$A$2:$B$8,2,0),52))=0),"P",""))</f>
        <v/>
      </c>
      <c r="G21" s="25" t="str">
        <f aca="false">IF($A21="","",IF(AND(N(Actividades!$E11)&gt;0,G$4&gt;=Actividades!$E11,MOD(G$4-Actividades!$E11,IFERROR(VLOOKUP(Actividades!$D11,Listas!$A$2:$B$8,2,0),52))=0),"P",""))</f>
        <v/>
      </c>
      <c r="H21" s="25" t="str">
        <f aca="false">IF($A21="","",IF(AND(N(Actividades!$E11)&gt;0,H$4&gt;=Actividades!$E11,MOD(H$4-Actividades!$E11,IFERROR(VLOOKUP(Actividades!$D11,Listas!$A$2:$B$8,2,0),52))=0),"P",""))</f>
        <v/>
      </c>
      <c r="I21" s="25" t="str">
        <f aca="false">IF($A21="","",IF(AND(N(Actividades!$E11)&gt;0,I$4&gt;=Actividades!$E11,MOD(I$4-Actividades!$E11,IFERROR(VLOOKUP(Actividades!$D11,Listas!$A$2:$B$8,2,0),52))=0),"P",""))</f>
        <v/>
      </c>
      <c r="J21" s="25" t="str">
        <f aca="false">IF($A21="","",IF(AND(N(Actividades!$E11)&gt;0,J$4&gt;=Actividades!$E11,MOD(J$4-Actividades!$E11,IFERROR(VLOOKUP(Actividades!$D11,Listas!$A$2:$B$8,2,0),52))=0),"P",""))</f>
        <v/>
      </c>
      <c r="K21" s="25" t="str">
        <f aca="false">IF($A21="","",IF(AND(N(Actividades!$E11)&gt;0,K$4&gt;=Actividades!$E11,MOD(K$4-Actividades!$E11,IFERROR(VLOOKUP(Actividades!$D11,Listas!$A$2:$B$8,2,0),52))=0),"P",""))</f>
        <v/>
      </c>
      <c r="L21" s="25" t="str">
        <f aca="false">IF($A21="","",IF(AND(N(Actividades!$E11)&gt;0,L$4&gt;=Actividades!$E11,MOD(L$4-Actividades!$E11,IFERROR(VLOOKUP(Actividades!$D11,Listas!$A$2:$B$8,2,0),52))=0),"P",""))</f>
        <v/>
      </c>
      <c r="M21" s="25" t="str">
        <f aca="false">IF($A21="","",IF(AND(N(Actividades!$E11)&gt;0,M$4&gt;=Actividades!$E11,MOD(M$4-Actividades!$E11,IFERROR(VLOOKUP(Actividades!$D11,Listas!$A$2:$B$8,2,0),52))=0),"P",""))</f>
        <v/>
      </c>
      <c r="N21" s="25" t="str">
        <f aca="false">IF($A21="","",IF(AND(N(Actividades!$E11)&gt;0,N$4&gt;=Actividades!$E11,MOD(N$4-Actividades!$E11,IFERROR(VLOOKUP(Actividades!$D11,Listas!$A$2:$B$8,2,0),52))=0),"P",""))</f>
        <v/>
      </c>
      <c r="O21" s="25" t="str">
        <f aca="false">IF($A21="","",IF(AND(N(Actividades!$E11)&gt;0,O$4&gt;=Actividades!$E11,MOD(O$4-Actividades!$E11,IFERROR(VLOOKUP(Actividades!$D11,Listas!$A$2:$B$8,2,0),52))=0),"P",""))</f>
        <v/>
      </c>
      <c r="P21" s="25" t="str">
        <f aca="false">IF($A21="","",IF(AND(N(Actividades!$E11)&gt;0,P$4&gt;=Actividades!$E11,MOD(P$4-Actividades!$E11,IFERROR(VLOOKUP(Actividades!$D11,Listas!$A$2:$B$8,2,0),52))=0),"P",""))</f>
        <v/>
      </c>
      <c r="Q21" s="25" t="str">
        <f aca="false">IF($A21="","",IF(AND(N(Actividades!$E11)&gt;0,Q$4&gt;=Actividades!$E11,MOD(Q$4-Actividades!$E11,IFERROR(VLOOKUP(Actividades!$D11,Listas!$A$2:$B$8,2,0),52))=0),"P",""))</f>
        <v/>
      </c>
      <c r="R21" s="25" t="str">
        <f aca="false">IF($A21="","",IF(AND(N(Actividades!$E11)&gt;0,R$4&gt;=Actividades!$E11,MOD(R$4-Actividades!$E11,IFERROR(VLOOKUP(Actividades!$D11,Listas!$A$2:$B$8,2,0),52))=0),"P",""))</f>
        <v/>
      </c>
      <c r="S21" s="25" t="str">
        <f aca="false">IF($A21="","",IF(AND(N(Actividades!$E11)&gt;0,S$4&gt;=Actividades!$E11,MOD(S$4-Actividades!$E11,IFERROR(VLOOKUP(Actividades!$D11,Listas!$A$2:$B$8,2,0),52))=0),"P",""))</f>
        <v/>
      </c>
      <c r="T21" s="25" t="str">
        <f aca="false">IF($A21="","",IF(AND(N(Actividades!$E11)&gt;0,T$4&gt;=Actividades!$E11,MOD(T$4-Actividades!$E11,IFERROR(VLOOKUP(Actividades!$D11,Listas!$A$2:$B$8,2,0),52))=0),"P",""))</f>
        <v/>
      </c>
      <c r="U21" s="25" t="str">
        <f aca="false">IF($A21="","",IF(AND(N(Actividades!$E11)&gt;0,U$4&gt;=Actividades!$E11,MOD(U$4-Actividades!$E11,IFERROR(VLOOKUP(Actividades!$D11,Listas!$A$2:$B$8,2,0),52))=0),"P",""))</f>
        <v/>
      </c>
      <c r="V21" s="25" t="str">
        <f aca="false">IF($A21="","",IF(AND(N(Actividades!$E11)&gt;0,V$4&gt;=Actividades!$E11,MOD(V$4-Actividades!$E11,IFERROR(VLOOKUP(Actividades!$D11,Listas!$A$2:$B$8,2,0),52))=0),"P",""))</f>
        <v/>
      </c>
      <c r="W21" s="25" t="str">
        <f aca="false">IF($A21="","",IF(AND(N(Actividades!$E11)&gt;0,W$4&gt;=Actividades!$E11,MOD(W$4-Actividades!$E11,IFERROR(VLOOKUP(Actividades!$D11,Listas!$A$2:$B$8,2,0),52))=0),"P",""))</f>
        <v/>
      </c>
      <c r="X21" s="25" t="str">
        <f aca="false">IF($A21="","",IF(AND(N(Actividades!$E11)&gt;0,X$4&gt;=Actividades!$E11,MOD(X$4-Actividades!$E11,IFERROR(VLOOKUP(Actividades!$D11,Listas!$A$2:$B$8,2,0),52))=0),"P",""))</f>
        <v/>
      </c>
      <c r="Y21" s="25" t="str">
        <f aca="false">IF($A21="","",IF(AND(N(Actividades!$E11)&gt;0,Y$4&gt;=Actividades!$E11,MOD(Y$4-Actividades!$E11,IFERROR(VLOOKUP(Actividades!$D11,Listas!$A$2:$B$8,2,0),52))=0),"P",""))</f>
        <v/>
      </c>
      <c r="Z21" s="25" t="str">
        <f aca="false">IF($A21="","",IF(AND(N(Actividades!$E11)&gt;0,Z$4&gt;=Actividades!$E11,MOD(Z$4-Actividades!$E11,IFERROR(VLOOKUP(Actividades!$D11,Listas!$A$2:$B$8,2,0),52))=0),"P",""))</f>
        <v/>
      </c>
      <c r="AA21" s="25" t="str">
        <f aca="false">IF($A21="","",IF(AND(N(Actividades!$E11)&gt;0,AA$4&gt;=Actividades!$E11,MOD(AA$4-Actividades!$E11,IFERROR(VLOOKUP(Actividades!$D11,Listas!$A$2:$B$8,2,0),52))=0),"P",""))</f>
        <v/>
      </c>
      <c r="AB21" s="25" t="str">
        <f aca="false">IF($A21="","",IF(AND(N(Actividades!$E11)&gt;0,AB$4&gt;=Actividades!$E11,MOD(AB$4-Actividades!$E11,IFERROR(VLOOKUP(Actividades!$D11,Listas!$A$2:$B$8,2,0),52))=0),"P",""))</f>
        <v/>
      </c>
      <c r="AC21" s="25" t="str">
        <f aca="false">IF($A21="","",IF(AND(N(Actividades!$E11)&gt;0,AC$4&gt;=Actividades!$E11,MOD(AC$4-Actividades!$E11,IFERROR(VLOOKUP(Actividades!$D11,Listas!$A$2:$B$8,2,0),52))=0),"P",""))</f>
        <v/>
      </c>
      <c r="AD21" s="25" t="str">
        <f aca="false">IF($A21="","",IF(AND(N(Actividades!$E11)&gt;0,AD$4&gt;=Actividades!$E11,MOD(AD$4-Actividades!$E11,IFERROR(VLOOKUP(Actividades!$D11,Listas!$A$2:$B$8,2,0),52))=0),"P",""))</f>
        <v/>
      </c>
      <c r="AE21" s="25" t="str">
        <f aca="false">IF($A21="","",IF(AND(N(Actividades!$E11)&gt;0,AE$4&gt;=Actividades!$E11,MOD(AE$4-Actividades!$E11,IFERROR(VLOOKUP(Actividades!$D11,Listas!$A$2:$B$8,2,0),52))=0),"P",""))</f>
        <v/>
      </c>
      <c r="AF21" s="25" t="str">
        <f aca="false">IF($A21="","",IF(AND(N(Actividades!$E11)&gt;0,AF$4&gt;=Actividades!$E11,MOD(AF$4-Actividades!$E11,IFERROR(VLOOKUP(Actividades!$D11,Listas!$A$2:$B$8,2,0),52))=0),"P",""))</f>
        <v/>
      </c>
      <c r="AG21" s="25" t="str">
        <f aca="false">IF($A21="","",IF(AND(N(Actividades!$E11)&gt;0,AG$4&gt;=Actividades!$E11,MOD(AG$4-Actividades!$E11,IFERROR(VLOOKUP(Actividades!$D11,Listas!$A$2:$B$8,2,0),52))=0),"P",""))</f>
        <v/>
      </c>
      <c r="AH21" s="25" t="str">
        <f aca="false">IF($A21="","",IF(AND(N(Actividades!$E11)&gt;0,AH$4&gt;=Actividades!$E11,MOD(AH$4-Actividades!$E11,IFERROR(VLOOKUP(Actividades!$D11,Listas!$A$2:$B$8,2,0),52))=0),"P",""))</f>
        <v/>
      </c>
      <c r="AI21" s="25" t="str">
        <f aca="false">IF($A21="","",IF(AND(N(Actividades!$E11)&gt;0,AI$4&gt;=Actividades!$E11,MOD(AI$4-Actividades!$E11,IFERROR(VLOOKUP(Actividades!$D11,Listas!$A$2:$B$8,2,0),52))=0),"P",""))</f>
        <v/>
      </c>
      <c r="AJ21" s="25" t="str">
        <f aca="false">IF($A21="","",IF(AND(N(Actividades!$E11)&gt;0,AJ$4&gt;=Actividades!$E11,MOD(AJ$4-Actividades!$E11,IFERROR(VLOOKUP(Actividades!$D11,Listas!$A$2:$B$8,2,0),52))=0),"P",""))</f>
        <v/>
      </c>
      <c r="AK21" s="25" t="str">
        <f aca="false">IF($A21="","",IF(AND(N(Actividades!$E11)&gt;0,AK$4&gt;=Actividades!$E11,MOD(AK$4-Actividades!$E11,IFERROR(VLOOKUP(Actividades!$D11,Listas!$A$2:$B$8,2,0),52))=0),"P",""))</f>
        <v/>
      </c>
      <c r="AL21" s="25" t="str">
        <f aca="false">IF($A21="","",IF(AND(N(Actividades!$E11)&gt;0,AL$4&gt;=Actividades!$E11,MOD(AL$4-Actividades!$E11,IFERROR(VLOOKUP(Actividades!$D11,Listas!$A$2:$B$8,2,0),52))=0),"P",""))</f>
        <v/>
      </c>
      <c r="AM21" s="25" t="str">
        <f aca="false">IF($A21="","",IF(AND(N(Actividades!$E11)&gt;0,AM$4&gt;=Actividades!$E11,MOD(AM$4-Actividades!$E11,IFERROR(VLOOKUP(Actividades!$D11,Listas!$A$2:$B$8,2,0),52))=0),"P",""))</f>
        <v/>
      </c>
      <c r="AN21" s="25" t="str">
        <f aca="false">IF($A21="","",IF(AND(N(Actividades!$E11)&gt;0,AN$4&gt;=Actividades!$E11,MOD(AN$4-Actividades!$E11,IFERROR(VLOOKUP(Actividades!$D11,Listas!$A$2:$B$8,2,0),52))=0),"P",""))</f>
        <v/>
      </c>
      <c r="AO21" s="25" t="str">
        <f aca="false">IF($A21="","",IF(AND(N(Actividades!$E11)&gt;0,AO$4&gt;=Actividades!$E11,MOD(AO$4-Actividades!$E11,IFERROR(VLOOKUP(Actividades!$D11,Listas!$A$2:$B$8,2,0),52))=0),"P",""))</f>
        <v/>
      </c>
      <c r="AP21" s="25" t="str">
        <f aca="false">IF($A21="","",IF(AND(N(Actividades!$E11)&gt;0,AP$4&gt;=Actividades!$E11,MOD(AP$4-Actividades!$E11,IFERROR(VLOOKUP(Actividades!$D11,Listas!$A$2:$B$8,2,0),52))=0),"P",""))</f>
        <v/>
      </c>
      <c r="AQ21" s="25" t="str">
        <f aca="false">IF($A21="","",IF(AND(N(Actividades!$E11)&gt;0,AQ$4&gt;=Actividades!$E11,MOD(AQ$4-Actividades!$E11,IFERROR(VLOOKUP(Actividades!$D11,Listas!$A$2:$B$8,2,0),52))=0),"P",""))</f>
        <v/>
      </c>
      <c r="AR21" s="25" t="str">
        <f aca="false">IF($A21="","",IF(AND(N(Actividades!$E11)&gt;0,AR$4&gt;=Actividades!$E11,MOD(AR$4-Actividades!$E11,IFERROR(VLOOKUP(Actividades!$D11,Listas!$A$2:$B$8,2,0),52))=0),"P",""))</f>
        <v/>
      </c>
      <c r="AS21" s="25" t="str">
        <f aca="false">IF($A21="","",IF(AND(N(Actividades!$E11)&gt;0,AS$4&gt;=Actividades!$E11,MOD(AS$4-Actividades!$E11,IFERROR(VLOOKUP(Actividades!$D11,Listas!$A$2:$B$8,2,0),52))=0),"P",""))</f>
        <v/>
      </c>
      <c r="AT21" s="25" t="str">
        <f aca="false">IF($A21="","",IF(AND(N(Actividades!$E11)&gt;0,AT$4&gt;=Actividades!$E11,MOD(AT$4-Actividades!$E11,IFERROR(VLOOKUP(Actividades!$D11,Listas!$A$2:$B$8,2,0),52))=0),"P",""))</f>
        <v/>
      </c>
      <c r="AU21" s="25" t="str">
        <f aca="false">IF($A21="","",IF(AND(N(Actividades!$E11)&gt;0,AU$4&gt;=Actividades!$E11,MOD(AU$4-Actividades!$E11,IFERROR(VLOOKUP(Actividades!$D11,Listas!$A$2:$B$8,2,0),52))=0),"P",""))</f>
        <v/>
      </c>
      <c r="AV21" s="25" t="str">
        <f aca="false">IF($A21="","",IF(AND(N(Actividades!$E11)&gt;0,AV$4&gt;=Actividades!$E11,MOD(AV$4-Actividades!$E11,IFERROR(VLOOKUP(Actividades!$D11,Listas!$A$2:$B$8,2,0),52))=0),"P",""))</f>
        <v/>
      </c>
      <c r="AW21" s="25" t="str">
        <f aca="false">IF($A21="","",IF(AND(N(Actividades!$E11)&gt;0,AW$4&gt;=Actividades!$E11,MOD(AW$4-Actividades!$E11,IFERROR(VLOOKUP(Actividades!$D11,Listas!$A$2:$B$8,2,0),52))=0),"P",""))</f>
        <v/>
      </c>
      <c r="AX21" s="25" t="str">
        <f aca="false">IF($A21="","",IF(AND(N(Actividades!$E11)&gt;0,AX$4&gt;=Actividades!$E11,MOD(AX$4-Actividades!$E11,IFERROR(VLOOKUP(Actividades!$D11,Listas!$A$2:$B$8,2,0),52))=0),"P",""))</f>
        <v/>
      </c>
      <c r="AY21" s="25" t="str">
        <f aca="false">IF($A21="","",IF(AND(N(Actividades!$E11)&gt;0,AY$4&gt;=Actividades!$E11,MOD(AY$4-Actividades!$E11,IFERROR(VLOOKUP(Actividades!$D11,Listas!$A$2:$B$8,2,0),52))=0),"P",""))</f>
        <v/>
      </c>
      <c r="AZ21" s="25" t="str">
        <f aca="false">IF($A21="","",IF(AND(N(Actividades!$E11)&gt;0,AZ$4&gt;=Actividades!$E11,MOD(AZ$4-Actividades!$E11,IFERROR(VLOOKUP(Actividades!$D11,Listas!$A$2:$B$8,2,0),52))=0),"P",""))</f>
        <v/>
      </c>
      <c r="BA21" s="25" t="str">
        <f aca="false">IF($A21="","",IF(AND(N(Actividades!$E11)&gt;0,BA$4&gt;=Actividades!$E11,MOD(BA$4-Actividades!$E11,IFERROR(VLOOKUP(Actividades!$D11,Listas!$A$2:$B$8,2,0),52))=0),"P",""))</f>
        <v/>
      </c>
      <c r="BB21" s="25" t="str">
        <f aca="false">IF($A21="","",IF(AND(N(Actividades!$E11)&gt;0,BB$4&gt;=Actividades!$E11,MOD(BB$4-Actividades!$E11,IFERROR(VLOOKUP(Actividades!$D11,Listas!$A$2:$B$8,2,0),52))=0),"P",""))</f>
        <v/>
      </c>
      <c r="BC21" s="25" t="str">
        <f aca="false">IF($A21="","",IF(AND(N(Actividades!$E11)&gt;0,BC$4&gt;=Actividades!$E11,MOD(BC$4-Actividades!$E11,IFERROR(VLOOKUP(Actividades!$D11,Listas!$A$2:$B$8,2,0),52))=0),"P",""))</f>
        <v/>
      </c>
      <c r="BD21" s="26" t="str">
        <f aca="false">IF($A21="","",COUNTIF(D21:BC21,"P"))</f>
        <v/>
      </c>
      <c r="BE21" s="26" t="str">
        <f aca="false">IF($A21="","",SUMPRODUCT((D21:BC21="P")*(D22:BC22="✓")))</f>
        <v/>
      </c>
      <c r="BF21" s="27" t="str">
        <f aca="false">IF($A21="","",IF(BD21=0,"",BE21/BD21))</f>
        <v/>
      </c>
    </row>
    <row r="22" customFormat="false" ht="15" hidden="false" customHeight="false" outlineLevel="0" collapsed="false">
      <c r="A22" s="28"/>
      <c r="B22" s="28"/>
      <c r="C22" s="28" t="str">
        <f aca="false">IF($A21="","","Real")</f>
        <v/>
      </c>
      <c r="D22" s="29" t="str">
        <f aca="false">IF($A21="","",IF(COUNTIFS(Historial!$B$3:$B$502,$A21,Historial!$C$3:$C$502,$B21,Historial!$G$3:$G$502,D$4,Historial!$H$3:$H$502,$B$2)&gt;0,"✓",""))</f>
        <v/>
      </c>
      <c r="E22" s="29" t="str">
        <f aca="false">IF($A21="","",IF(COUNTIFS(Historial!$B$3:$B$502,$A21,Historial!$C$3:$C$502,$B21,Historial!$G$3:$G$502,E$4,Historial!$H$3:$H$502,$B$2)&gt;0,"✓",""))</f>
        <v/>
      </c>
      <c r="F22" s="29" t="str">
        <f aca="false">IF($A21="","",IF(COUNTIFS(Historial!$B$3:$B$502,$A21,Historial!$C$3:$C$502,$B21,Historial!$G$3:$G$502,F$4,Historial!$H$3:$H$502,$B$2)&gt;0,"✓",""))</f>
        <v/>
      </c>
      <c r="G22" s="29" t="str">
        <f aca="false">IF($A21="","",IF(COUNTIFS(Historial!$B$3:$B$502,$A21,Historial!$C$3:$C$502,$B21,Historial!$G$3:$G$502,G$4,Historial!$H$3:$H$502,$B$2)&gt;0,"✓",""))</f>
        <v/>
      </c>
      <c r="H22" s="29" t="str">
        <f aca="false">IF($A21="","",IF(COUNTIFS(Historial!$B$3:$B$502,$A21,Historial!$C$3:$C$502,$B21,Historial!$G$3:$G$502,H$4,Historial!$H$3:$H$502,$B$2)&gt;0,"✓",""))</f>
        <v/>
      </c>
      <c r="I22" s="29" t="str">
        <f aca="false">IF($A21="","",IF(COUNTIFS(Historial!$B$3:$B$502,$A21,Historial!$C$3:$C$502,$B21,Historial!$G$3:$G$502,I$4,Historial!$H$3:$H$502,$B$2)&gt;0,"✓",""))</f>
        <v/>
      </c>
      <c r="J22" s="29" t="str">
        <f aca="false">IF($A21="","",IF(COUNTIFS(Historial!$B$3:$B$502,$A21,Historial!$C$3:$C$502,$B21,Historial!$G$3:$G$502,J$4,Historial!$H$3:$H$502,$B$2)&gt;0,"✓",""))</f>
        <v/>
      </c>
      <c r="K22" s="29" t="str">
        <f aca="false">IF($A21="","",IF(COUNTIFS(Historial!$B$3:$B$502,$A21,Historial!$C$3:$C$502,$B21,Historial!$G$3:$G$502,K$4,Historial!$H$3:$H$502,$B$2)&gt;0,"✓",""))</f>
        <v/>
      </c>
      <c r="L22" s="29" t="str">
        <f aca="false">IF($A21="","",IF(COUNTIFS(Historial!$B$3:$B$502,$A21,Historial!$C$3:$C$502,$B21,Historial!$G$3:$G$502,L$4,Historial!$H$3:$H$502,$B$2)&gt;0,"✓",""))</f>
        <v/>
      </c>
      <c r="M22" s="29" t="str">
        <f aca="false">IF($A21="","",IF(COUNTIFS(Historial!$B$3:$B$502,$A21,Historial!$C$3:$C$502,$B21,Historial!$G$3:$G$502,M$4,Historial!$H$3:$H$502,$B$2)&gt;0,"✓",""))</f>
        <v/>
      </c>
      <c r="N22" s="29" t="str">
        <f aca="false">IF($A21="","",IF(COUNTIFS(Historial!$B$3:$B$502,$A21,Historial!$C$3:$C$502,$B21,Historial!$G$3:$G$502,N$4,Historial!$H$3:$H$502,$B$2)&gt;0,"✓",""))</f>
        <v/>
      </c>
      <c r="O22" s="29" t="str">
        <f aca="false">IF($A21="","",IF(COUNTIFS(Historial!$B$3:$B$502,$A21,Historial!$C$3:$C$502,$B21,Historial!$G$3:$G$502,O$4,Historial!$H$3:$H$502,$B$2)&gt;0,"✓",""))</f>
        <v/>
      </c>
      <c r="P22" s="29" t="str">
        <f aca="false">IF($A21="","",IF(COUNTIFS(Historial!$B$3:$B$502,$A21,Historial!$C$3:$C$502,$B21,Historial!$G$3:$G$502,P$4,Historial!$H$3:$H$502,$B$2)&gt;0,"✓",""))</f>
        <v/>
      </c>
      <c r="Q22" s="29" t="str">
        <f aca="false">IF($A21="","",IF(COUNTIFS(Historial!$B$3:$B$502,$A21,Historial!$C$3:$C$502,$B21,Historial!$G$3:$G$502,Q$4,Historial!$H$3:$H$502,$B$2)&gt;0,"✓",""))</f>
        <v/>
      </c>
      <c r="R22" s="29" t="str">
        <f aca="false">IF($A21="","",IF(COUNTIFS(Historial!$B$3:$B$502,$A21,Historial!$C$3:$C$502,$B21,Historial!$G$3:$G$502,R$4,Historial!$H$3:$H$502,$B$2)&gt;0,"✓",""))</f>
        <v/>
      </c>
      <c r="S22" s="29" t="str">
        <f aca="false">IF($A21="","",IF(COUNTIFS(Historial!$B$3:$B$502,$A21,Historial!$C$3:$C$502,$B21,Historial!$G$3:$G$502,S$4,Historial!$H$3:$H$502,$B$2)&gt;0,"✓",""))</f>
        <v/>
      </c>
      <c r="T22" s="29" t="str">
        <f aca="false">IF($A21="","",IF(COUNTIFS(Historial!$B$3:$B$502,$A21,Historial!$C$3:$C$502,$B21,Historial!$G$3:$G$502,T$4,Historial!$H$3:$H$502,$B$2)&gt;0,"✓",""))</f>
        <v/>
      </c>
      <c r="U22" s="29" t="str">
        <f aca="false">IF($A21="","",IF(COUNTIFS(Historial!$B$3:$B$502,$A21,Historial!$C$3:$C$502,$B21,Historial!$G$3:$G$502,U$4,Historial!$H$3:$H$502,$B$2)&gt;0,"✓",""))</f>
        <v/>
      </c>
      <c r="V22" s="29" t="str">
        <f aca="false">IF($A21="","",IF(COUNTIFS(Historial!$B$3:$B$502,$A21,Historial!$C$3:$C$502,$B21,Historial!$G$3:$G$502,V$4,Historial!$H$3:$H$502,$B$2)&gt;0,"✓",""))</f>
        <v/>
      </c>
      <c r="W22" s="29" t="str">
        <f aca="false">IF($A21="","",IF(COUNTIFS(Historial!$B$3:$B$502,$A21,Historial!$C$3:$C$502,$B21,Historial!$G$3:$G$502,W$4,Historial!$H$3:$H$502,$B$2)&gt;0,"✓",""))</f>
        <v/>
      </c>
      <c r="X22" s="29" t="str">
        <f aca="false">IF($A21="","",IF(COUNTIFS(Historial!$B$3:$B$502,$A21,Historial!$C$3:$C$502,$B21,Historial!$G$3:$G$502,X$4,Historial!$H$3:$H$502,$B$2)&gt;0,"✓",""))</f>
        <v/>
      </c>
      <c r="Y22" s="29" t="str">
        <f aca="false">IF($A21="","",IF(COUNTIFS(Historial!$B$3:$B$502,$A21,Historial!$C$3:$C$502,$B21,Historial!$G$3:$G$502,Y$4,Historial!$H$3:$H$502,$B$2)&gt;0,"✓",""))</f>
        <v/>
      </c>
      <c r="Z22" s="29" t="str">
        <f aca="false">IF($A21="","",IF(COUNTIFS(Historial!$B$3:$B$502,$A21,Historial!$C$3:$C$502,$B21,Historial!$G$3:$G$502,Z$4,Historial!$H$3:$H$502,$B$2)&gt;0,"✓",""))</f>
        <v/>
      </c>
      <c r="AA22" s="29" t="str">
        <f aca="false">IF($A21="","",IF(COUNTIFS(Historial!$B$3:$B$502,$A21,Historial!$C$3:$C$502,$B21,Historial!$G$3:$G$502,AA$4,Historial!$H$3:$H$502,$B$2)&gt;0,"✓",""))</f>
        <v/>
      </c>
      <c r="AB22" s="29" t="str">
        <f aca="false">IF($A21="","",IF(COUNTIFS(Historial!$B$3:$B$502,$A21,Historial!$C$3:$C$502,$B21,Historial!$G$3:$G$502,AB$4,Historial!$H$3:$H$502,$B$2)&gt;0,"✓",""))</f>
        <v/>
      </c>
      <c r="AC22" s="29" t="str">
        <f aca="false">IF($A21="","",IF(COUNTIFS(Historial!$B$3:$B$502,$A21,Historial!$C$3:$C$502,$B21,Historial!$G$3:$G$502,AC$4,Historial!$H$3:$H$502,$B$2)&gt;0,"✓",""))</f>
        <v/>
      </c>
      <c r="AD22" s="29" t="str">
        <f aca="false">IF($A21="","",IF(COUNTIFS(Historial!$B$3:$B$502,$A21,Historial!$C$3:$C$502,$B21,Historial!$G$3:$G$502,AD$4,Historial!$H$3:$H$502,$B$2)&gt;0,"✓",""))</f>
        <v/>
      </c>
      <c r="AE22" s="29" t="str">
        <f aca="false">IF($A21="","",IF(COUNTIFS(Historial!$B$3:$B$502,$A21,Historial!$C$3:$C$502,$B21,Historial!$G$3:$G$502,AE$4,Historial!$H$3:$H$502,$B$2)&gt;0,"✓",""))</f>
        <v/>
      </c>
      <c r="AF22" s="29" t="str">
        <f aca="false">IF($A21="","",IF(COUNTIFS(Historial!$B$3:$B$502,$A21,Historial!$C$3:$C$502,$B21,Historial!$G$3:$G$502,AF$4,Historial!$H$3:$H$502,$B$2)&gt;0,"✓",""))</f>
        <v/>
      </c>
      <c r="AG22" s="29" t="str">
        <f aca="false">IF($A21="","",IF(COUNTIFS(Historial!$B$3:$B$502,$A21,Historial!$C$3:$C$502,$B21,Historial!$G$3:$G$502,AG$4,Historial!$H$3:$H$502,$B$2)&gt;0,"✓",""))</f>
        <v/>
      </c>
      <c r="AH22" s="29" t="str">
        <f aca="false">IF($A21="","",IF(COUNTIFS(Historial!$B$3:$B$502,$A21,Historial!$C$3:$C$502,$B21,Historial!$G$3:$G$502,AH$4,Historial!$H$3:$H$502,$B$2)&gt;0,"✓",""))</f>
        <v/>
      </c>
      <c r="AI22" s="29" t="str">
        <f aca="false">IF($A21="","",IF(COUNTIFS(Historial!$B$3:$B$502,$A21,Historial!$C$3:$C$502,$B21,Historial!$G$3:$G$502,AI$4,Historial!$H$3:$H$502,$B$2)&gt;0,"✓",""))</f>
        <v/>
      </c>
      <c r="AJ22" s="29" t="str">
        <f aca="false">IF($A21="","",IF(COUNTIFS(Historial!$B$3:$B$502,$A21,Historial!$C$3:$C$502,$B21,Historial!$G$3:$G$502,AJ$4,Historial!$H$3:$H$502,$B$2)&gt;0,"✓",""))</f>
        <v/>
      </c>
      <c r="AK22" s="29" t="str">
        <f aca="false">IF($A21="","",IF(COUNTIFS(Historial!$B$3:$B$502,$A21,Historial!$C$3:$C$502,$B21,Historial!$G$3:$G$502,AK$4,Historial!$H$3:$H$502,$B$2)&gt;0,"✓",""))</f>
        <v/>
      </c>
      <c r="AL22" s="29" t="str">
        <f aca="false">IF($A21="","",IF(COUNTIFS(Historial!$B$3:$B$502,$A21,Historial!$C$3:$C$502,$B21,Historial!$G$3:$G$502,AL$4,Historial!$H$3:$H$502,$B$2)&gt;0,"✓",""))</f>
        <v/>
      </c>
      <c r="AM22" s="29" t="str">
        <f aca="false">IF($A21="","",IF(COUNTIFS(Historial!$B$3:$B$502,$A21,Historial!$C$3:$C$502,$B21,Historial!$G$3:$G$502,AM$4,Historial!$H$3:$H$502,$B$2)&gt;0,"✓",""))</f>
        <v/>
      </c>
      <c r="AN22" s="29" t="str">
        <f aca="false">IF($A21="","",IF(COUNTIFS(Historial!$B$3:$B$502,$A21,Historial!$C$3:$C$502,$B21,Historial!$G$3:$G$502,AN$4,Historial!$H$3:$H$502,$B$2)&gt;0,"✓",""))</f>
        <v/>
      </c>
      <c r="AO22" s="29" t="str">
        <f aca="false">IF($A21="","",IF(COUNTIFS(Historial!$B$3:$B$502,$A21,Historial!$C$3:$C$502,$B21,Historial!$G$3:$G$502,AO$4,Historial!$H$3:$H$502,$B$2)&gt;0,"✓",""))</f>
        <v/>
      </c>
      <c r="AP22" s="29" t="str">
        <f aca="false">IF($A21="","",IF(COUNTIFS(Historial!$B$3:$B$502,$A21,Historial!$C$3:$C$502,$B21,Historial!$G$3:$G$502,AP$4,Historial!$H$3:$H$502,$B$2)&gt;0,"✓",""))</f>
        <v/>
      </c>
      <c r="AQ22" s="29" t="str">
        <f aca="false">IF($A21="","",IF(COUNTIFS(Historial!$B$3:$B$502,$A21,Historial!$C$3:$C$502,$B21,Historial!$G$3:$G$502,AQ$4,Historial!$H$3:$H$502,$B$2)&gt;0,"✓",""))</f>
        <v/>
      </c>
      <c r="AR22" s="29" t="str">
        <f aca="false">IF($A21="","",IF(COUNTIFS(Historial!$B$3:$B$502,$A21,Historial!$C$3:$C$502,$B21,Historial!$G$3:$G$502,AR$4,Historial!$H$3:$H$502,$B$2)&gt;0,"✓",""))</f>
        <v/>
      </c>
      <c r="AS22" s="29" t="str">
        <f aca="false">IF($A21="","",IF(COUNTIFS(Historial!$B$3:$B$502,$A21,Historial!$C$3:$C$502,$B21,Historial!$G$3:$G$502,AS$4,Historial!$H$3:$H$502,$B$2)&gt;0,"✓",""))</f>
        <v/>
      </c>
      <c r="AT22" s="29" t="str">
        <f aca="false">IF($A21="","",IF(COUNTIFS(Historial!$B$3:$B$502,$A21,Historial!$C$3:$C$502,$B21,Historial!$G$3:$G$502,AT$4,Historial!$H$3:$H$502,$B$2)&gt;0,"✓",""))</f>
        <v/>
      </c>
      <c r="AU22" s="29" t="str">
        <f aca="false">IF($A21="","",IF(COUNTIFS(Historial!$B$3:$B$502,$A21,Historial!$C$3:$C$502,$B21,Historial!$G$3:$G$502,AU$4,Historial!$H$3:$H$502,$B$2)&gt;0,"✓",""))</f>
        <v/>
      </c>
      <c r="AV22" s="29" t="str">
        <f aca="false">IF($A21="","",IF(COUNTIFS(Historial!$B$3:$B$502,$A21,Historial!$C$3:$C$502,$B21,Historial!$G$3:$G$502,AV$4,Historial!$H$3:$H$502,$B$2)&gt;0,"✓",""))</f>
        <v/>
      </c>
      <c r="AW22" s="29" t="str">
        <f aca="false">IF($A21="","",IF(COUNTIFS(Historial!$B$3:$B$502,$A21,Historial!$C$3:$C$502,$B21,Historial!$G$3:$G$502,AW$4,Historial!$H$3:$H$502,$B$2)&gt;0,"✓",""))</f>
        <v/>
      </c>
      <c r="AX22" s="29" t="str">
        <f aca="false">IF($A21="","",IF(COUNTIFS(Historial!$B$3:$B$502,$A21,Historial!$C$3:$C$502,$B21,Historial!$G$3:$G$502,AX$4,Historial!$H$3:$H$502,$B$2)&gt;0,"✓",""))</f>
        <v/>
      </c>
      <c r="AY22" s="29" t="str">
        <f aca="false">IF($A21="","",IF(COUNTIFS(Historial!$B$3:$B$502,$A21,Historial!$C$3:$C$502,$B21,Historial!$G$3:$G$502,AY$4,Historial!$H$3:$H$502,$B$2)&gt;0,"✓",""))</f>
        <v/>
      </c>
      <c r="AZ22" s="29" t="str">
        <f aca="false">IF($A21="","",IF(COUNTIFS(Historial!$B$3:$B$502,$A21,Historial!$C$3:$C$502,$B21,Historial!$G$3:$G$502,AZ$4,Historial!$H$3:$H$502,$B$2)&gt;0,"✓",""))</f>
        <v/>
      </c>
      <c r="BA22" s="29" t="str">
        <f aca="false">IF($A21="","",IF(COUNTIFS(Historial!$B$3:$B$502,$A21,Historial!$C$3:$C$502,$B21,Historial!$G$3:$G$502,BA$4,Historial!$H$3:$H$502,$B$2)&gt;0,"✓",""))</f>
        <v/>
      </c>
      <c r="BB22" s="29" t="str">
        <f aca="false">IF($A21="","",IF(COUNTIFS(Historial!$B$3:$B$502,$A21,Historial!$C$3:$C$502,$B21,Historial!$G$3:$G$502,BB$4,Historial!$H$3:$H$502,$B$2)&gt;0,"✓",""))</f>
        <v/>
      </c>
      <c r="BC22" s="29" t="str">
        <f aca="false">IF($A21="","",IF(COUNTIFS(Historial!$B$3:$B$502,$A21,Historial!$C$3:$C$502,$B21,Historial!$G$3:$G$502,BC$4,Historial!$H$3:$H$502,$B$2)&gt;0,"✓",""))</f>
        <v/>
      </c>
      <c r="BD22" s="29"/>
      <c r="BE22" s="29"/>
      <c r="BF22" s="29"/>
    </row>
    <row r="23" customFormat="false" ht="15" hidden="false" customHeight="false" outlineLevel="0" collapsed="false">
      <c r="A23" s="24" t="str">
        <f aca="false">IF(Actividades!$B12="","",Actividades!$B12)</f>
        <v/>
      </c>
      <c r="B23" s="24" t="str">
        <f aca="false">IF(Actividades!$C12="","",Actividades!$C12)</f>
        <v/>
      </c>
      <c r="C23" s="24" t="str">
        <f aca="false">IF($A23="","","Plan")</f>
        <v/>
      </c>
      <c r="D23" s="25" t="str">
        <f aca="false">IF($A23="","",IF(AND(N(Actividades!$E12)&gt;0,D$4&gt;=Actividades!$E12,MOD(D$4-Actividades!$E12,IFERROR(VLOOKUP(Actividades!$D12,Listas!$A$2:$B$8,2,0),52))=0),"P",""))</f>
        <v/>
      </c>
      <c r="E23" s="25" t="str">
        <f aca="false">IF($A23="","",IF(AND(N(Actividades!$E12)&gt;0,E$4&gt;=Actividades!$E12,MOD(E$4-Actividades!$E12,IFERROR(VLOOKUP(Actividades!$D12,Listas!$A$2:$B$8,2,0),52))=0),"P",""))</f>
        <v/>
      </c>
      <c r="F23" s="25" t="str">
        <f aca="false">IF($A23="","",IF(AND(N(Actividades!$E12)&gt;0,F$4&gt;=Actividades!$E12,MOD(F$4-Actividades!$E12,IFERROR(VLOOKUP(Actividades!$D12,Listas!$A$2:$B$8,2,0),52))=0),"P",""))</f>
        <v/>
      </c>
      <c r="G23" s="25" t="str">
        <f aca="false">IF($A23="","",IF(AND(N(Actividades!$E12)&gt;0,G$4&gt;=Actividades!$E12,MOD(G$4-Actividades!$E12,IFERROR(VLOOKUP(Actividades!$D12,Listas!$A$2:$B$8,2,0),52))=0),"P",""))</f>
        <v/>
      </c>
      <c r="H23" s="25" t="str">
        <f aca="false">IF($A23="","",IF(AND(N(Actividades!$E12)&gt;0,H$4&gt;=Actividades!$E12,MOD(H$4-Actividades!$E12,IFERROR(VLOOKUP(Actividades!$D12,Listas!$A$2:$B$8,2,0),52))=0),"P",""))</f>
        <v/>
      </c>
      <c r="I23" s="25" t="str">
        <f aca="false">IF($A23="","",IF(AND(N(Actividades!$E12)&gt;0,I$4&gt;=Actividades!$E12,MOD(I$4-Actividades!$E12,IFERROR(VLOOKUP(Actividades!$D12,Listas!$A$2:$B$8,2,0),52))=0),"P",""))</f>
        <v/>
      </c>
      <c r="J23" s="25" t="str">
        <f aca="false">IF($A23="","",IF(AND(N(Actividades!$E12)&gt;0,J$4&gt;=Actividades!$E12,MOD(J$4-Actividades!$E12,IFERROR(VLOOKUP(Actividades!$D12,Listas!$A$2:$B$8,2,0),52))=0),"P",""))</f>
        <v/>
      </c>
      <c r="K23" s="25" t="str">
        <f aca="false">IF($A23="","",IF(AND(N(Actividades!$E12)&gt;0,K$4&gt;=Actividades!$E12,MOD(K$4-Actividades!$E12,IFERROR(VLOOKUP(Actividades!$D12,Listas!$A$2:$B$8,2,0),52))=0),"P",""))</f>
        <v/>
      </c>
      <c r="L23" s="25" t="str">
        <f aca="false">IF($A23="","",IF(AND(N(Actividades!$E12)&gt;0,L$4&gt;=Actividades!$E12,MOD(L$4-Actividades!$E12,IFERROR(VLOOKUP(Actividades!$D12,Listas!$A$2:$B$8,2,0),52))=0),"P",""))</f>
        <v/>
      </c>
      <c r="M23" s="25" t="str">
        <f aca="false">IF($A23="","",IF(AND(N(Actividades!$E12)&gt;0,M$4&gt;=Actividades!$E12,MOD(M$4-Actividades!$E12,IFERROR(VLOOKUP(Actividades!$D12,Listas!$A$2:$B$8,2,0),52))=0),"P",""))</f>
        <v/>
      </c>
      <c r="N23" s="25" t="str">
        <f aca="false">IF($A23="","",IF(AND(N(Actividades!$E12)&gt;0,N$4&gt;=Actividades!$E12,MOD(N$4-Actividades!$E12,IFERROR(VLOOKUP(Actividades!$D12,Listas!$A$2:$B$8,2,0),52))=0),"P",""))</f>
        <v/>
      </c>
      <c r="O23" s="25" t="str">
        <f aca="false">IF($A23="","",IF(AND(N(Actividades!$E12)&gt;0,O$4&gt;=Actividades!$E12,MOD(O$4-Actividades!$E12,IFERROR(VLOOKUP(Actividades!$D12,Listas!$A$2:$B$8,2,0),52))=0),"P",""))</f>
        <v/>
      </c>
      <c r="P23" s="25" t="str">
        <f aca="false">IF($A23="","",IF(AND(N(Actividades!$E12)&gt;0,P$4&gt;=Actividades!$E12,MOD(P$4-Actividades!$E12,IFERROR(VLOOKUP(Actividades!$D12,Listas!$A$2:$B$8,2,0),52))=0),"P",""))</f>
        <v/>
      </c>
      <c r="Q23" s="25" t="str">
        <f aca="false">IF($A23="","",IF(AND(N(Actividades!$E12)&gt;0,Q$4&gt;=Actividades!$E12,MOD(Q$4-Actividades!$E12,IFERROR(VLOOKUP(Actividades!$D12,Listas!$A$2:$B$8,2,0),52))=0),"P",""))</f>
        <v/>
      </c>
      <c r="R23" s="25" t="str">
        <f aca="false">IF($A23="","",IF(AND(N(Actividades!$E12)&gt;0,R$4&gt;=Actividades!$E12,MOD(R$4-Actividades!$E12,IFERROR(VLOOKUP(Actividades!$D12,Listas!$A$2:$B$8,2,0),52))=0),"P",""))</f>
        <v/>
      </c>
      <c r="S23" s="25" t="str">
        <f aca="false">IF($A23="","",IF(AND(N(Actividades!$E12)&gt;0,S$4&gt;=Actividades!$E12,MOD(S$4-Actividades!$E12,IFERROR(VLOOKUP(Actividades!$D12,Listas!$A$2:$B$8,2,0),52))=0),"P",""))</f>
        <v/>
      </c>
      <c r="T23" s="25" t="str">
        <f aca="false">IF($A23="","",IF(AND(N(Actividades!$E12)&gt;0,T$4&gt;=Actividades!$E12,MOD(T$4-Actividades!$E12,IFERROR(VLOOKUP(Actividades!$D12,Listas!$A$2:$B$8,2,0),52))=0),"P",""))</f>
        <v/>
      </c>
      <c r="U23" s="25" t="str">
        <f aca="false">IF($A23="","",IF(AND(N(Actividades!$E12)&gt;0,U$4&gt;=Actividades!$E12,MOD(U$4-Actividades!$E12,IFERROR(VLOOKUP(Actividades!$D12,Listas!$A$2:$B$8,2,0),52))=0),"P",""))</f>
        <v/>
      </c>
      <c r="V23" s="25" t="str">
        <f aca="false">IF($A23="","",IF(AND(N(Actividades!$E12)&gt;0,V$4&gt;=Actividades!$E12,MOD(V$4-Actividades!$E12,IFERROR(VLOOKUP(Actividades!$D12,Listas!$A$2:$B$8,2,0),52))=0),"P",""))</f>
        <v/>
      </c>
      <c r="W23" s="25" t="str">
        <f aca="false">IF($A23="","",IF(AND(N(Actividades!$E12)&gt;0,W$4&gt;=Actividades!$E12,MOD(W$4-Actividades!$E12,IFERROR(VLOOKUP(Actividades!$D12,Listas!$A$2:$B$8,2,0),52))=0),"P",""))</f>
        <v/>
      </c>
      <c r="X23" s="25" t="str">
        <f aca="false">IF($A23="","",IF(AND(N(Actividades!$E12)&gt;0,X$4&gt;=Actividades!$E12,MOD(X$4-Actividades!$E12,IFERROR(VLOOKUP(Actividades!$D12,Listas!$A$2:$B$8,2,0),52))=0),"P",""))</f>
        <v/>
      </c>
      <c r="Y23" s="25" t="str">
        <f aca="false">IF($A23="","",IF(AND(N(Actividades!$E12)&gt;0,Y$4&gt;=Actividades!$E12,MOD(Y$4-Actividades!$E12,IFERROR(VLOOKUP(Actividades!$D12,Listas!$A$2:$B$8,2,0),52))=0),"P",""))</f>
        <v/>
      </c>
      <c r="Z23" s="25" t="str">
        <f aca="false">IF($A23="","",IF(AND(N(Actividades!$E12)&gt;0,Z$4&gt;=Actividades!$E12,MOD(Z$4-Actividades!$E12,IFERROR(VLOOKUP(Actividades!$D12,Listas!$A$2:$B$8,2,0),52))=0),"P",""))</f>
        <v/>
      </c>
      <c r="AA23" s="25" t="str">
        <f aca="false">IF($A23="","",IF(AND(N(Actividades!$E12)&gt;0,AA$4&gt;=Actividades!$E12,MOD(AA$4-Actividades!$E12,IFERROR(VLOOKUP(Actividades!$D12,Listas!$A$2:$B$8,2,0),52))=0),"P",""))</f>
        <v/>
      </c>
      <c r="AB23" s="25" t="str">
        <f aca="false">IF($A23="","",IF(AND(N(Actividades!$E12)&gt;0,AB$4&gt;=Actividades!$E12,MOD(AB$4-Actividades!$E12,IFERROR(VLOOKUP(Actividades!$D12,Listas!$A$2:$B$8,2,0),52))=0),"P",""))</f>
        <v/>
      </c>
      <c r="AC23" s="25" t="str">
        <f aca="false">IF($A23="","",IF(AND(N(Actividades!$E12)&gt;0,AC$4&gt;=Actividades!$E12,MOD(AC$4-Actividades!$E12,IFERROR(VLOOKUP(Actividades!$D12,Listas!$A$2:$B$8,2,0),52))=0),"P",""))</f>
        <v/>
      </c>
      <c r="AD23" s="25" t="str">
        <f aca="false">IF($A23="","",IF(AND(N(Actividades!$E12)&gt;0,AD$4&gt;=Actividades!$E12,MOD(AD$4-Actividades!$E12,IFERROR(VLOOKUP(Actividades!$D12,Listas!$A$2:$B$8,2,0),52))=0),"P",""))</f>
        <v/>
      </c>
      <c r="AE23" s="25" t="str">
        <f aca="false">IF($A23="","",IF(AND(N(Actividades!$E12)&gt;0,AE$4&gt;=Actividades!$E12,MOD(AE$4-Actividades!$E12,IFERROR(VLOOKUP(Actividades!$D12,Listas!$A$2:$B$8,2,0),52))=0),"P",""))</f>
        <v/>
      </c>
      <c r="AF23" s="25" t="str">
        <f aca="false">IF($A23="","",IF(AND(N(Actividades!$E12)&gt;0,AF$4&gt;=Actividades!$E12,MOD(AF$4-Actividades!$E12,IFERROR(VLOOKUP(Actividades!$D12,Listas!$A$2:$B$8,2,0),52))=0),"P",""))</f>
        <v/>
      </c>
      <c r="AG23" s="25" t="str">
        <f aca="false">IF($A23="","",IF(AND(N(Actividades!$E12)&gt;0,AG$4&gt;=Actividades!$E12,MOD(AG$4-Actividades!$E12,IFERROR(VLOOKUP(Actividades!$D12,Listas!$A$2:$B$8,2,0),52))=0),"P",""))</f>
        <v/>
      </c>
      <c r="AH23" s="25" t="str">
        <f aca="false">IF($A23="","",IF(AND(N(Actividades!$E12)&gt;0,AH$4&gt;=Actividades!$E12,MOD(AH$4-Actividades!$E12,IFERROR(VLOOKUP(Actividades!$D12,Listas!$A$2:$B$8,2,0),52))=0),"P",""))</f>
        <v/>
      </c>
      <c r="AI23" s="25" t="str">
        <f aca="false">IF($A23="","",IF(AND(N(Actividades!$E12)&gt;0,AI$4&gt;=Actividades!$E12,MOD(AI$4-Actividades!$E12,IFERROR(VLOOKUP(Actividades!$D12,Listas!$A$2:$B$8,2,0),52))=0),"P",""))</f>
        <v/>
      </c>
      <c r="AJ23" s="25" t="str">
        <f aca="false">IF($A23="","",IF(AND(N(Actividades!$E12)&gt;0,AJ$4&gt;=Actividades!$E12,MOD(AJ$4-Actividades!$E12,IFERROR(VLOOKUP(Actividades!$D12,Listas!$A$2:$B$8,2,0),52))=0),"P",""))</f>
        <v/>
      </c>
      <c r="AK23" s="25" t="str">
        <f aca="false">IF($A23="","",IF(AND(N(Actividades!$E12)&gt;0,AK$4&gt;=Actividades!$E12,MOD(AK$4-Actividades!$E12,IFERROR(VLOOKUP(Actividades!$D12,Listas!$A$2:$B$8,2,0),52))=0),"P",""))</f>
        <v/>
      </c>
      <c r="AL23" s="25" t="str">
        <f aca="false">IF($A23="","",IF(AND(N(Actividades!$E12)&gt;0,AL$4&gt;=Actividades!$E12,MOD(AL$4-Actividades!$E12,IFERROR(VLOOKUP(Actividades!$D12,Listas!$A$2:$B$8,2,0),52))=0),"P",""))</f>
        <v/>
      </c>
      <c r="AM23" s="25" t="str">
        <f aca="false">IF($A23="","",IF(AND(N(Actividades!$E12)&gt;0,AM$4&gt;=Actividades!$E12,MOD(AM$4-Actividades!$E12,IFERROR(VLOOKUP(Actividades!$D12,Listas!$A$2:$B$8,2,0),52))=0),"P",""))</f>
        <v/>
      </c>
      <c r="AN23" s="25" t="str">
        <f aca="false">IF($A23="","",IF(AND(N(Actividades!$E12)&gt;0,AN$4&gt;=Actividades!$E12,MOD(AN$4-Actividades!$E12,IFERROR(VLOOKUP(Actividades!$D12,Listas!$A$2:$B$8,2,0),52))=0),"P",""))</f>
        <v/>
      </c>
      <c r="AO23" s="25" t="str">
        <f aca="false">IF($A23="","",IF(AND(N(Actividades!$E12)&gt;0,AO$4&gt;=Actividades!$E12,MOD(AO$4-Actividades!$E12,IFERROR(VLOOKUP(Actividades!$D12,Listas!$A$2:$B$8,2,0),52))=0),"P",""))</f>
        <v/>
      </c>
      <c r="AP23" s="25" t="str">
        <f aca="false">IF($A23="","",IF(AND(N(Actividades!$E12)&gt;0,AP$4&gt;=Actividades!$E12,MOD(AP$4-Actividades!$E12,IFERROR(VLOOKUP(Actividades!$D12,Listas!$A$2:$B$8,2,0),52))=0),"P",""))</f>
        <v/>
      </c>
      <c r="AQ23" s="25" t="str">
        <f aca="false">IF($A23="","",IF(AND(N(Actividades!$E12)&gt;0,AQ$4&gt;=Actividades!$E12,MOD(AQ$4-Actividades!$E12,IFERROR(VLOOKUP(Actividades!$D12,Listas!$A$2:$B$8,2,0),52))=0),"P",""))</f>
        <v/>
      </c>
      <c r="AR23" s="25" t="str">
        <f aca="false">IF($A23="","",IF(AND(N(Actividades!$E12)&gt;0,AR$4&gt;=Actividades!$E12,MOD(AR$4-Actividades!$E12,IFERROR(VLOOKUP(Actividades!$D12,Listas!$A$2:$B$8,2,0),52))=0),"P",""))</f>
        <v/>
      </c>
      <c r="AS23" s="25" t="str">
        <f aca="false">IF($A23="","",IF(AND(N(Actividades!$E12)&gt;0,AS$4&gt;=Actividades!$E12,MOD(AS$4-Actividades!$E12,IFERROR(VLOOKUP(Actividades!$D12,Listas!$A$2:$B$8,2,0),52))=0),"P",""))</f>
        <v/>
      </c>
      <c r="AT23" s="25" t="str">
        <f aca="false">IF($A23="","",IF(AND(N(Actividades!$E12)&gt;0,AT$4&gt;=Actividades!$E12,MOD(AT$4-Actividades!$E12,IFERROR(VLOOKUP(Actividades!$D12,Listas!$A$2:$B$8,2,0),52))=0),"P",""))</f>
        <v/>
      </c>
      <c r="AU23" s="25" t="str">
        <f aca="false">IF($A23="","",IF(AND(N(Actividades!$E12)&gt;0,AU$4&gt;=Actividades!$E12,MOD(AU$4-Actividades!$E12,IFERROR(VLOOKUP(Actividades!$D12,Listas!$A$2:$B$8,2,0),52))=0),"P",""))</f>
        <v/>
      </c>
      <c r="AV23" s="25" t="str">
        <f aca="false">IF($A23="","",IF(AND(N(Actividades!$E12)&gt;0,AV$4&gt;=Actividades!$E12,MOD(AV$4-Actividades!$E12,IFERROR(VLOOKUP(Actividades!$D12,Listas!$A$2:$B$8,2,0),52))=0),"P",""))</f>
        <v/>
      </c>
      <c r="AW23" s="25" t="str">
        <f aca="false">IF($A23="","",IF(AND(N(Actividades!$E12)&gt;0,AW$4&gt;=Actividades!$E12,MOD(AW$4-Actividades!$E12,IFERROR(VLOOKUP(Actividades!$D12,Listas!$A$2:$B$8,2,0),52))=0),"P",""))</f>
        <v/>
      </c>
      <c r="AX23" s="25" t="str">
        <f aca="false">IF($A23="","",IF(AND(N(Actividades!$E12)&gt;0,AX$4&gt;=Actividades!$E12,MOD(AX$4-Actividades!$E12,IFERROR(VLOOKUP(Actividades!$D12,Listas!$A$2:$B$8,2,0),52))=0),"P",""))</f>
        <v/>
      </c>
      <c r="AY23" s="25" t="str">
        <f aca="false">IF($A23="","",IF(AND(N(Actividades!$E12)&gt;0,AY$4&gt;=Actividades!$E12,MOD(AY$4-Actividades!$E12,IFERROR(VLOOKUP(Actividades!$D12,Listas!$A$2:$B$8,2,0),52))=0),"P",""))</f>
        <v/>
      </c>
      <c r="AZ23" s="25" t="str">
        <f aca="false">IF($A23="","",IF(AND(N(Actividades!$E12)&gt;0,AZ$4&gt;=Actividades!$E12,MOD(AZ$4-Actividades!$E12,IFERROR(VLOOKUP(Actividades!$D12,Listas!$A$2:$B$8,2,0),52))=0),"P",""))</f>
        <v/>
      </c>
      <c r="BA23" s="25" t="str">
        <f aca="false">IF($A23="","",IF(AND(N(Actividades!$E12)&gt;0,BA$4&gt;=Actividades!$E12,MOD(BA$4-Actividades!$E12,IFERROR(VLOOKUP(Actividades!$D12,Listas!$A$2:$B$8,2,0),52))=0),"P",""))</f>
        <v/>
      </c>
      <c r="BB23" s="25" t="str">
        <f aca="false">IF($A23="","",IF(AND(N(Actividades!$E12)&gt;0,BB$4&gt;=Actividades!$E12,MOD(BB$4-Actividades!$E12,IFERROR(VLOOKUP(Actividades!$D12,Listas!$A$2:$B$8,2,0),52))=0),"P",""))</f>
        <v/>
      </c>
      <c r="BC23" s="25" t="str">
        <f aca="false">IF($A23="","",IF(AND(N(Actividades!$E12)&gt;0,BC$4&gt;=Actividades!$E12,MOD(BC$4-Actividades!$E12,IFERROR(VLOOKUP(Actividades!$D12,Listas!$A$2:$B$8,2,0),52))=0),"P",""))</f>
        <v/>
      </c>
      <c r="BD23" s="26" t="str">
        <f aca="false">IF($A23="","",COUNTIF(D23:BC23,"P"))</f>
        <v/>
      </c>
      <c r="BE23" s="26" t="str">
        <f aca="false">IF($A23="","",SUMPRODUCT((D23:BC23="P")*(D24:BC24="✓")))</f>
        <v/>
      </c>
      <c r="BF23" s="27" t="str">
        <f aca="false">IF($A23="","",IF(BD23=0,"",BE23/BD23))</f>
        <v/>
      </c>
    </row>
    <row r="24" customFormat="false" ht="15" hidden="false" customHeight="false" outlineLevel="0" collapsed="false">
      <c r="A24" s="28"/>
      <c r="B24" s="28"/>
      <c r="C24" s="28" t="str">
        <f aca="false">IF($A23="","","Real")</f>
        <v/>
      </c>
      <c r="D24" s="29" t="str">
        <f aca="false">IF($A23="","",IF(COUNTIFS(Historial!$B$3:$B$502,$A23,Historial!$C$3:$C$502,$B23,Historial!$G$3:$G$502,D$4,Historial!$H$3:$H$502,$B$2)&gt;0,"✓",""))</f>
        <v/>
      </c>
      <c r="E24" s="29" t="str">
        <f aca="false">IF($A23="","",IF(COUNTIFS(Historial!$B$3:$B$502,$A23,Historial!$C$3:$C$502,$B23,Historial!$G$3:$G$502,E$4,Historial!$H$3:$H$502,$B$2)&gt;0,"✓",""))</f>
        <v/>
      </c>
      <c r="F24" s="29" t="str">
        <f aca="false">IF($A23="","",IF(COUNTIFS(Historial!$B$3:$B$502,$A23,Historial!$C$3:$C$502,$B23,Historial!$G$3:$G$502,F$4,Historial!$H$3:$H$502,$B$2)&gt;0,"✓",""))</f>
        <v/>
      </c>
      <c r="G24" s="29" t="str">
        <f aca="false">IF($A23="","",IF(COUNTIFS(Historial!$B$3:$B$502,$A23,Historial!$C$3:$C$502,$B23,Historial!$G$3:$G$502,G$4,Historial!$H$3:$H$502,$B$2)&gt;0,"✓",""))</f>
        <v/>
      </c>
      <c r="H24" s="29" t="str">
        <f aca="false">IF($A23="","",IF(COUNTIFS(Historial!$B$3:$B$502,$A23,Historial!$C$3:$C$502,$B23,Historial!$G$3:$G$502,H$4,Historial!$H$3:$H$502,$B$2)&gt;0,"✓",""))</f>
        <v/>
      </c>
      <c r="I24" s="29" t="str">
        <f aca="false">IF($A23="","",IF(COUNTIFS(Historial!$B$3:$B$502,$A23,Historial!$C$3:$C$502,$B23,Historial!$G$3:$G$502,I$4,Historial!$H$3:$H$502,$B$2)&gt;0,"✓",""))</f>
        <v/>
      </c>
      <c r="J24" s="29" t="str">
        <f aca="false">IF($A23="","",IF(COUNTIFS(Historial!$B$3:$B$502,$A23,Historial!$C$3:$C$502,$B23,Historial!$G$3:$G$502,J$4,Historial!$H$3:$H$502,$B$2)&gt;0,"✓",""))</f>
        <v/>
      </c>
      <c r="K24" s="29" t="str">
        <f aca="false">IF($A23="","",IF(COUNTIFS(Historial!$B$3:$B$502,$A23,Historial!$C$3:$C$502,$B23,Historial!$G$3:$G$502,K$4,Historial!$H$3:$H$502,$B$2)&gt;0,"✓",""))</f>
        <v/>
      </c>
      <c r="L24" s="29" t="str">
        <f aca="false">IF($A23="","",IF(COUNTIFS(Historial!$B$3:$B$502,$A23,Historial!$C$3:$C$502,$B23,Historial!$G$3:$G$502,L$4,Historial!$H$3:$H$502,$B$2)&gt;0,"✓",""))</f>
        <v/>
      </c>
      <c r="M24" s="29" t="str">
        <f aca="false">IF($A23="","",IF(COUNTIFS(Historial!$B$3:$B$502,$A23,Historial!$C$3:$C$502,$B23,Historial!$G$3:$G$502,M$4,Historial!$H$3:$H$502,$B$2)&gt;0,"✓",""))</f>
        <v/>
      </c>
      <c r="N24" s="29" t="str">
        <f aca="false">IF($A23="","",IF(COUNTIFS(Historial!$B$3:$B$502,$A23,Historial!$C$3:$C$502,$B23,Historial!$G$3:$G$502,N$4,Historial!$H$3:$H$502,$B$2)&gt;0,"✓",""))</f>
        <v/>
      </c>
      <c r="O24" s="29" t="str">
        <f aca="false">IF($A23="","",IF(COUNTIFS(Historial!$B$3:$B$502,$A23,Historial!$C$3:$C$502,$B23,Historial!$G$3:$G$502,O$4,Historial!$H$3:$H$502,$B$2)&gt;0,"✓",""))</f>
        <v/>
      </c>
      <c r="P24" s="29" t="str">
        <f aca="false">IF($A23="","",IF(COUNTIFS(Historial!$B$3:$B$502,$A23,Historial!$C$3:$C$502,$B23,Historial!$G$3:$G$502,P$4,Historial!$H$3:$H$502,$B$2)&gt;0,"✓",""))</f>
        <v/>
      </c>
      <c r="Q24" s="29" t="str">
        <f aca="false">IF($A23="","",IF(COUNTIFS(Historial!$B$3:$B$502,$A23,Historial!$C$3:$C$502,$B23,Historial!$G$3:$G$502,Q$4,Historial!$H$3:$H$502,$B$2)&gt;0,"✓",""))</f>
        <v/>
      </c>
      <c r="R24" s="29" t="str">
        <f aca="false">IF($A23="","",IF(COUNTIFS(Historial!$B$3:$B$502,$A23,Historial!$C$3:$C$502,$B23,Historial!$G$3:$G$502,R$4,Historial!$H$3:$H$502,$B$2)&gt;0,"✓",""))</f>
        <v/>
      </c>
      <c r="S24" s="29" t="str">
        <f aca="false">IF($A23="","",IF(COUNTIFS(Historial!$B$3:$B$502,$A23,Historial!$C$3:$C$502,$B23,Historial!$G$3:$G$502,S$4,Historial!$H$3:$H$502,$B$2)&gt;0,"✓",""))</f>
        <v/>
      </c>
      <c r="T24" s="29" t="str">
        <f aca="false">IF($A23="","",IF(COUNTIFS(Historial!$B$3:$B$502,$A23,Historial!$C$3:$C$502,$B23,Historial!$G$3:$G$502,T$4,Historial!$H$3:$H$502,$B$2)&gt;0,"✓",""))</f>
        <v/>
      </c>
      <c r="U24" s="29" t="str">
        <f aca="false">IF($A23="","",IF(COUNTIFS(Historial!$B$3:$B$502,$A23,Historial!$C$3:$C$502,$B23,Historial!$G$3:$G$502,U$4,Historial!$H$3:$H$502,$B$2)&gt;0,"✓",""))</f>
        <v/>
      </c>
      <c r="V24" s="29" t="str">
        <f aca="false">IF($A23="","",IF(COUNTIFS(Historial!$B$3:$B$502,$A23,Historial!$C$3:$C$502,$B23,Historial!$G$3:$G$502,V$4,Historial!$H$3:$H$502,$B$2)&gt;0,"✓",""))</f>
        <v/>
      </c>
      <c r="W24" s="29" t="str">
        <f aca="false">IF($A23="","",IF(COUNTIFS(Historial!$B$3:$B$502,$A23,Historial!$C$3:$C$502,$B23,Historial!$G$3:$G$502,W$4,Historial!$H$3:$H$502,$B$2)&gt;0,"✓",""))</f>
        <v/>
      </c>
      <c r="X24" s="29" t="str">
        <f aca="false">IF($A23="","",IF(COUNTIFS(Historial!$B$3:$B$502,$A23,Historial!$C$3:$C$502,$B23,Historial!$G$3:$G$502,X$4,Historial!$H$3:$H$502,$B$2)&gt;0,"✓",""))</f>
        <v/>
      </c>
      <c r="Y24" s="29" t="str">
        <f aca="false">IF($A23="","",IF(COUNTIFS(Historial!$B$3:$B$502,$A23,Historial!$C$3:$C$502,$B23,Historial!$G$3:$G$502,Y$4,Historial!$H$3:$H$502,$B$2)&gt;0,"✓",""))</f>
        <v/>
      </c>
      <c r="Z24" s="29" t="str">
        <f aca="false">IF($A23="","",IF(COUNTIFS(Historial!$B$3:$B$502,$A23,Historial!$C$3:$C$502,$B23,Historial!$G$3:$G$502,Z$4,Historial!$H$3:$H$502,$B$2)&gt;0,"✓",""))</f>
        <v/>
      </c>
      <c r="AA24" s="29" t="str">
        <f aca="false">IF($A23="","",IF(COUNTIFS(Historial!$B$3:$B$502,$A23,Historial!$C$3:$C$502,$B23,Historial!$G$3:$G$502,AA$4,Historial!$H$3:$H$502,$B$2)&gt;0,"✓",""))</f>
        <v/>
      </c>
      <c r="AB24" s="29" t="str">
        <f aca="false">IF($A23="","",IF(COUNTIFS(Historial!$B$3:$B$502,$A23,Historial!$C$3:$C$502,$B23,Historial!$G$3:$G$502,AB$4,Historial!$H$3:$H$502,$B$2)&gt;0,"✓",""))</f>
        <v/>
      </c>
      <c r="AC24" s="29" t="str">
        <f aca="false">IF($A23="","",IF(COUNTIFS(Historial!$B$3:$B$502,$A23,Historial!$C$3:$C$502,$B23,Historial!$G$3:$G$502,AC$4,Historial!$H$3:$H$502,$B$2)&gt;0,"✓",""))</f>
        <v/>
      </c>
      <c r="AD24" s="29" t="str">
        <f aca="false">IF($A23="","",IF(COUNTIFS(Historial!$B$3:$B$502,$A23,Historial!$C$3:$C$502,$B23,Historial!$G$3:$G$502,AD$4,Historial!$H$3:$H$502,$B$2)&gt;0,"✓",""))</f>
        <v/>
      </c>
      <c r="AE24" s="29" t="str">
        <f aca="false">IF($A23="","",IF(COUNTIFS(Historial!$B$3:$B$502,$A23,Historial!$C$3:$C$502,$B23,Historial!$G$3:$G$502,AE$4,Historial!$H$3:$H$502,$B$2)&gt;0,"✓",""))</f>
        <v/>
      </c>
      <c r="AF24" s="29" t="str">
        <f aca="false">IF($A23="","",IF(COUNTIFS(Historial!$B$3:$B$502,$A23,Historial!$C$3:$C$502,$B23,Historial!$G$3:$G$502,AF$4,Historial!$H$3:$H$502,$B$2)&gt;0,"✓",""))</f>
        <v/>
      </c>
      <c r="AG24" s="29" t="str">
        <f aca="false">IF($A23="","",IF(COUNTIFS(Historial!$B$3:$B$502,$A23,Historial!$C$3:$C$502,$B23,Historial!$G$3:$G$502,AG$4,Historial!$H$3:$H$502,$B$2)&gt;0,"✓",""))</f>
        <v/>
      </c>
      <c r="AH24" s="29" t="str">
        <f aca="false">IF($A23="","",IF(COUNTIFS(Historial!$B$3:$B$502,$A23,Historial!$C$3:$C$502,$B23,Historial!$G$3:$G$502,AH$4,Historial!$H$3:$H$502,$B$2)&gt;0,"✓",""))</f>
        <v/>
      </c>
      <c r="AI24" s="29" t="str">
        <f aca="false">IF($A23="","",IF(COUNTIFS(Historial!$B$3:$B$502,$A23,Historial!$C$3:$C$502,$B23,Historial!$G$3:$G$502,AI$4,Historial!$H$3:$H$502,$B$2)&gt;0,"✓",""))</f>
        <v/>
      </c>
      <c r="AJ24" s="29" t="str">
        <f aca="false">IF($A23="","",IF(COUNTIFS(Historial!$B$3:$B$502,$A23,Historial!$C$3:$C$502,$B23,Historial!$G$3:$G$502,AJ$4,Historial!$H$3:$H$502,$B$2)&gt;0,"✓",""))</f>
        <v/>
      </c>
      <c r="AK24" s="29" t="str">
        <f aca="false">IF($A23="","",IF(COUNTIFS(Historial!$B$3:$B$502,$A23,Historial!$C$3:$C$502,$B23,Historial!$G$3:$G$502,AK$4,Historial!$H$3:$H$502,$B$2)&gt;0,"✓",""))</f>
        <v/>
      </c>
      <c r="AL24" s="29" t="str">
        <f aca="false">IF($A23="","",IF(COUNTIFS(Historial!$B$3:$B$502,$A23,Historial!$C$3:$C$502,$B23,Historial!$G$3:$G$502,AL$4,Historial!$H$3:$H$502,$B$2)&gt;0,"✓",""))</f>
        <v/>
      </c>
      <c r="AM24" s="29" t="str">
        <f aca="false">IF($A23="","",IF(COUNTIFS(Historial!$B$3:$B$502,$A23,Historial!$C$3:$C$502,$B23,Historial!$G$3:$G$502,AM$4,Historial!$H$3:$H$502,$B$2)&gt;0,"✓",""))</f>
        <v/>
      </c>
      <c r="AN24" s="29" t="str">
        <f aca="false">IF($A23="","",IF(COUNTIFS(Historial!$B$3:$B$502,$A23,Historial!$C$3:$C$502,$B23,Historial!$G$3:$G$502,AN$4,Historial!$H$3:$H$502,$B$2)&gt;0,"✓",""))</f>
        <v/>
      </c>
      <c r="AO24" s="29" t="str">
        <f aca="false">IF($A23="","",IF(COUNTIFS(Historial!$B$3:$B$502,$A23,Historial!$C$3:$C$502,$B23,Historial!$G$3:$G$502,AO$4,Historial!$H$3:$H$502,$B$2)&gt;0,"✓",""))</f>
        <v/>
      </c>
      <c r="AP24" s="29" t="str">
        <f aca="false">IF($A23="","",IF(COUNTIFS(Historial!$B$3:$B$502,$A23,Historial!$C$3:$C$502,$B23,Historial!$G$3:$G$502,AP$4,Historial!$H$3:$H$502,$B$2)&gt;0,"✓",""))</f>
        <v/>
      </c>
      <c r="AQ24" s="29" t="str">
        <f aca="false">IF($A23="","",IF(COUNTIFS(Historial!$B$3:$B$502,$A23,Historial!$C$3:$C$502,$B23,Historial!$G$3:$G$502,AQ$4,Historial!$H$3:$H$502,$B$2)&gt;0,"✓",""))</f>
        <v/>
      </c>
      <c r="AR24" s="29" t="str">
        <f aca="false">IF($A23="","",IF(COUNTIFS(Historial!$B$3:$B$502,$A23,Historial!$C$3:$C$502,$B23,Historial!$G$3:$G$502,AR$4,Historial!$H$3:$H$502,$B$2)&gt;0,"✓",""))</f>
        <v/>
      </c>
      <c r="AS24" s="29" t="str">
        <f aca="false">IF($A23="","",IF(COUNTIFS(Historial!$B$3:$B$502,$A23,Historial!$C$3:$C$502,$B23,Historial!$G$3:$G$502,AS$4,Historial!$H$3:$H$502,$B$2)&gt;0,"✓",""))</f>
        <v/>
      </c>
      <c r="AT24" s="29" t="str">
        <f aca="false">IF($A23="","",IF(COUNTIFS(Historial!$B$3:$B$502,$A23,Historial!$C$3:$C$502,$B23,Historial!$G$3:$G$502,AT$4,Historial!$H$3:$H$502,$B$2)&gt;0,"✓",""))</f>
        <v/>
      </c>
      <c r="AU24" s="29" t="str">
        <f aca="false">IF($A23="","",IF(COUNTIFS(Historial!$B$3:$B$502,$A23,Historial!$C$3:$C$502,$B23,Historial!$G$3:$G$502,AU$4,Historial!$H$3:$H$502,$B$2)&gt;0,"✓",""))</f>
        <v/>
      </c>
      <c r="AV24" s="29" t="str">
        <f aca="false">IF($A23="","",IF(COUNTIFS(Historial!$B$3:$B$502,$A23,Historial!$C$3:$C$502,$B23,Historial!$G$3:$G$502,AV$4,Historial!$H$3:$H$502,$B$2)&gt;0,"✓",""))</f>
        <v/>
      </c>
      <c r="AW24" s="29" t="str">
        <f aca="false">IF($A23="","",IF(COUNTIFS(Historial!$B$3:$B$502,$A23,Historial!$C$3:$C$502,$B23,Historial!$G$3:$G$502,AW$4,Historial!$H$3:$H$502,$B$2)&gt;0,"✓",""))</f>
        <v/>
      </c>
      <c r="AX24" s="29" t="str">
        <f aca="false">IF($A23="","",IF(COUNTIFS(Historial!$B$3:$B$502,$A23,Historial!$C$3:$C$502,$B23,Historial!$G$3:$G$502,AX$4,Historial!$H$3:$H$502,$B$2)&gt;0,"✓",""))</f>
        <v/>
      </c>
      <c r="AY24" s="29" t="str">
        <f aca="false">IF($A23="","",IF(COUNTIFS(Historial!$B$3:$B$502,$A23,Historial!$C$3:$C$502,$B23,Historial!$G$3:$G$502,AY$4,Historial!$H$3:$H$502,$B$2)&gt;0,"✓",""))</f>
        <v/>
      </c>
      <c r="AZ24" s="29" t="str">
        <f aca="false">IF($A23="","",IF(COUNTIFS(Historial!$B$3:$B$502,$A23,Historial!$C$3:$C$502,$B23,Historial!$G$3:$G$502,AZ$4,Historial!$H$3:$H$502,$B$2)&gt;0,"✓",""))</f>
        <v/>
      </c>
      <c r="BA24" s="29" t="str">
        <f aca="false">IF($A23="","",IF(COUNTIFS(Historial!$B$3:$B$502,$A23,Historial!$C$3:$C$502,$B23,Historial!$G$3:$G$502,BA$4,Historial!$H$3:$H$502,$B$2)&gt;0,"✓",""))</f>
        <v/>
      </c>
      <c r="BB24" s="29" t="str">
        <f aca="false">IF($A23="","",IF(COUNTIFS(Historial!$B$3:$B$502,$A23,Historial!$C$3:$C$502,$B23,Historial!$G$3:$G$502,BB$4,Historial!$H$3:$H$502,$B$2)&gt;0,"✓",""))</f>
        <v/>
      </c>
      <c r="BC24" s="29" t="str">
        <f aca="false">IF($A23="","",IF(COUNTIFS(Historial!$B$3:$B$502,$A23,Historial!$C$3:$C$502,$B23,Historial!$G$3:$G$502,BC$4,Historial!$H$3:$H$502,$B$2)&gt;0,"✓",""))</f>
        <v/>
      </c>
      <c r="BD24" s="29"/>
      <c r="BE24" s="29"/>
      <c r="BF24" s="29"/>
    </row>
    <row r="25" customFormat="false" ht="15" hidden="false" customHeight="false" outlineLevel="0" collapsed="false">
      <c r="A25" s="24" t="str">
        <f aca="false">IF(Actividades!$B13="","",Actividades!$B13)</f>
        <v/>
      </c>
      <c r="B25" s="24" t="str">
        <f aca="false">IF(Actividades!$C13="","",Actividades!$C13)</f>
        <v/>
      </c>
      <c r="C25" s="24" t="str">
        <f aca="false">IF($A25="","","Plan")</f>
        <v/>
      </c>
      <c r="D25" s="25" t="str">
        <f aca="false">IF($A25="","",IF(AND(N(Actividades!$E13)&gt;0,D$4&gt;=Actividades!$E13,MOD(D$4-Actividades!$E13,IFERROR(VLOOKUP(Actividades!$D13,Listas!$A$2:$B$8,2,0),52))=0),"P",""))</f>
        <v/>
      </c>
      <c r="E25" s="25" t="str">
        <f aca="false">IF($A25="","",IF(AND(N(Actividades!$E13)&gt;0,E$4&gt;=Actividades!$E13,MOD(E$4-Actividades!$E13,IFERROR(VLOOKUP(Actividades!$D13,Listas!$A$2:$B$8,2,0),52))=0),"P",""))</f>
        <v/>
      </c>
      <c r="F25" s="25" t="str">
        <f aca="false">IF($A25="","",IF(AND(N(Actividades!$E13)&gt;0,F$4&gt;=Actividades!$E13,MOD(F$4-Actividades!$E13,IFERROR(VLOOKUP(Actividades!$D13,Listas!$A$2:$B$8,2,0),52))=0),"P",""))</f>
        <v/>
      </c>
      <c r="G25" s="25" t="str">
        <f aca="false">IF($A25="","",IF(AND(N(Actividades!$E13)&gt;0,G$4&gt;=Actividades!$E13,MOD(G$4-Actividades!$E13,IFERROR(VLOOKUP(Actividades!$D13,Listas!$A$2:$B$8,2,0),52))=0),"P",""))</f>
        <v/>
      </c>
      <c r="H25" s="25" t="str">
        <f aca="false">IF($A25="","",IF(AND(N(Actividades!$E13)&gt;0,H$4&gt;=Actividades!$E13,MOD(H$4-Actividades!$E13,IFERROR(VLOOKUP(Actividades!$D13,Listas!$A$2:$B$8,2,0),52))=0),"P",""))</f>
        <v/>
      </c>
      <c r="I25" s="25" t="str">
        <f aca="false">IF($A25="","",IF(AND(N(Actividades!$E13)&gt;0,I$4&gt;=Actividades!$E13,MOD(I$4-Actividades!$E13,IFERROR(VLOOKUP(Actividades!$D13,Listas!$A$2:$B$8,2,0),52))=0),"P",""))</f>
        <v/>
      </c>
      <c r="J25" s="25" t="str">
        <f aca="false">IF($A25="","",IF(AND(N(Actividades!$E13)&gt;0,J$4&gt;=Actividades!$E13,MOD(J$4-Actividades!$E13,IFERROR(VLOOKUP(Actividades!$D13,Listas!$A$2:$B$8,2,0),52))=0),"P",""))</f>
        <v/>
      </c>
      <c r="K25" s="25" t="str">
        <f aca="false">IF($A25="","",IF(AND(N(Actividades!$E13)&gt;0,K$4&gt;=Actividades!$E13,MOD(K$4-Actividades!$E13,IFERROR(VLOOKUP(Actividades!$D13,Listas!$A$2:$B$8,2,0),52))=0),"P",""))</f>
        <v/>
      </c>
      <c r="L25" s="25" t="str">
        <f aca="false">IF($A25="","",IF(AND(N(Actividades!$E13)&gt;0,L$4&gt;=Actividades!$E13,MOD(L$4-Actividades!$E13,IFERROR(VLOOKUP(Actividades!$D13,Listas!$A$2:$B$8,2,0),52))=0),"P",""))</f>
        <v/>
      </c>
      <c r="M25" s="25" t="str">
        <f aca="false">IF($A25="","",IF(AND(N(Actividades!$E13)&gt;0,M$4&gt;=Actividades!$E13,MOD(M$4-Actividades!$E13,IFERROR(VLOOKUP(Actividades!$D13,Listas!$A$2:$B$8,2,0),52))=0),"P",""))</f>
        <v/>
      </c>
      <c r="N25" s="25" t="str">
        <f aca="false">IF($A25="","",IF(AND(N(Actividades!$E13)&gt;0,N$4&gt;=Actividades!$E13,MOD(N$4-Actividades!$E13,IFERROR(VLOOKUP(Actividades!$D13,Listas!$A$2:$B$8,2,0),52))=0),"P",""))</f>
        <v/>
      </c>
      <c r="O25" s="25" t="str">
        <f aca="false">IF($A25="","",IF(AND(N(Actividades!$E13)&gt;0,O$4&gt;=Actividades!$E13,MOD(O$4-Actividades!$E13,IFERROR(VLOOKUP(Actividades!$D13,Listas!$A$2:$B$8,2,0),52))=0),"P",""))</f>
        <v/>
      </c>
      <c r="P25" s="25" t="str">
        <f aca="false">IF($A25="","",IF(AND(N(Actividades!$E13)&gt;0,P$4&gt;=Actividades!$E13,MOD(P$4-Actividades!$E13,IFERROR(VLOOKUP(Actividades!$D13,Listas!$A$2:$B$8,2,0),52))=0),"P",""))</f>
        <v/>
      </c>
      <c r="Q25" s="25" t="str">
        <f aca="false">IF($A25="","",IF(AND(N(Actividades!$E13)&gt;0,Q$4&gt;=Actividades!$E13,MOD(Q$4-Actividades!$E13,IFERROR(VLOOKUP(Actividades!$D13,Listas!$A$2:$B$8,2,0),52))=0),"P",""))</f>
        <v/>
      </c>
      <c r="R25" s="25" t="str">
        <f aca="false">IF($A25="","",IF(AND(N(Actividades!$E13)&gt;0,R$4&gt;=Actividades!$E13,MOD(R$4-Actividades!$E13,IFERROR(VLOOKUP(Actividades!$D13,Listas!$A$2:$B$8,2,0),52))=0),"P",""))</f>
        <v/>
      </c>
      <c r="S25" s="25" t="str">
        <f aca="false">IF($A25="","",IF(AND(N(Actividades!$E13)&gt;0,S$4&gt;=Actividades!$E13,MOD(S$4-Actividades!$E13,IFERROR(VLOOKUP(Actividades!$D13,Listas!$A$2:$B$8,2,0),52))=0),"P",""))</f>
        <v/>
      </c>
      <c r="T25" s="25" t="str">
        <f aca="false">IF($A25="","",IF(AND(N(Actividades!$E13)&gt;0,T$4&gt;=Actividades!$E13,MOD(T$4-Actividades!$E13,IFERROR(VLOOKUP(Actividades!$D13,Listas!$A$2:$B$8,2,0),52))=0),"P",""))</f>
        <v/>
      </c>
      <c r="U25" s="25" t="str">
        <f aca="false">IF($A25="","",IF(AND(N(Actividades!$E13)&gt;0,U$4&gt;=Actividades!$E13,MOD(U$4-Actividades!$E13,IFERROR(VLOOKUP(Actividades!$D13,Listas!$A$2:$B$8,2,0),52))=0),"P",""))</f>
        <v/>
      </c>
      <c r="V25" s="25" t="str">
        <f aca="false">IF($A25="","",IF(AND(N(Actividades!$E13)&gt;0,V$4&gt;=Actividades!$E13,MOD(V$4-Actividades!$E13,IFERROR(VLOOKUP(Actividades!$D13,Listas!$A$2:$B$8,2,0),52))=0),"P",""))</f>
        <v/>
      </c>
      <c r="W25" s="25" t="str">
        <f aca="false">IF($A25="","",IF(AND(N(Actividades!$E13)&gt;0,W$4&gt;=Actividades!$E13,MOD(W$4-Actividades!$E13,IFERROR(VLOOKUP(Actividades!$D13,Listas!$A$2:$B$8,2,0),52))=0),"P",""))</f>
        <v/>
      </c>
      <c r="X25" s="25" t="str">
        <f aca="false">IF($A25="","",IF(AND(N(Actividades!$E13)&gt;0,X$4&gt;=Actividades!$E13,MOD(X$4-Actividades!$E13,IFERROR(VLOOKUP(Actividades!$D13,Listas!$A$2:$B$8,2,0),52))=0),"P",""))</f>
        <v/>
      </c>
      <c r="Y25" s="25" t="str">
        <f aca="false">IF($A25="","",IF(AND(N(Actividades!$E13)&gt;0,Y$4&gt;=Actividades!$E13,MOD(Y$4-Actividades!$E13,IFERROR(VLOOKUP(Actividades!$D13,Listas!$A$2:$B$8,2,0),52))=0),"P",""))</f>
        <v/>
      </c>
      <c r="Z25" s="25" t="str">
        <f aca="false">IF($A25="","",IF(AND(N(Actividades!$E13)&gt;0,Z$4&gt;=Actividades!$E13,MOD(Z$4-Actividades!$E13,IFERROR(VLOOKUP(Actividades!$D13,Listas!$A$2:$B$8,2,0),52))=0),"P",""))</f>
        <v/>
      </c>
      <c r="AA25" s="25" t="str">
        <f aca="false">IF($A25="","",IF(AND(N(Actividades!$E13)&gt;0,AA$4&gt;=Actividades!$E13,MOD(AA$4-Actividades!$E13,IFERROR(VLOOKUP(Actividades!$D13,Listas!$A$2:$B$8,2,0),52))=0),"P",""))</f>
        <v/>
      </c>
      <c r="AB25" s="25" t="str">
        <f aca="false">IF($A25="","",IF(AND(N(Actividades!$E13)&gt;0,AB$4&gt;=Actividades!$E13,MOD(AB$4-Actividades!$E13,IFERROR(VLOOKUP(Actividades!$D13,Listas!$A$2:$B$8,2,0),52))=0),"P",""))</f>
        <v/>
      </c>
      <c r="AC25" s="25" t="str">
        <f aca="false">IF($A25="","",IF(AND(N(Actividades!$E13)&gt;0,AC$4&gt;=Actividades!$E13,MOD(AC$4-Actividades!$E13,IFERROR(VLOOKUP(Actividades!$D13,Listas!$A$2:$B$8,2,0),52))=0),"P",""))</f>
        <v/>
      </c>
      <c r="AD25" s="25" t="str">
        <f aca="false">IF($A25="","",IF(AND(N(Actividades!$E13)&gt;0,AD$4&gt;=Actividades!$E13,MOD(AD$4-Actividades!$E13,IFERROR(VLOOKUP(Actividades!$D13,Listas!$A$2:$B$8,2,0),52))=0),"P",""))</f>
        <v/>
      </c>
      <c r="AE25" s="25" t="str">
        <f aca="false">IF($A25="","",IF(AND(N(Actividades!$E13)&gt;0,AE$4&gt;=Actividades!$E13,MOD(AE$4-Actividades!$E13,IFERROR(VLOOKUP(Actividades!$D13,Listas!$A$2:$B$8,2,0),52))=0),"P",""))</f>
        <v/>
      </c>
      <c r="AF25" s="25" t="str">
        <f aca="false">IF($A25="","",IF(AND(N(Actividades!$E13)&gt;0,AF$4&gt;=Actividades!$E13,MOD(AF$4-Actividades!$E13,IFERROR(VLOOKUP(Actividades!$D13,Listas!$A$2:$B$8,2,0),52))=0),"P",""))</f>
        <v/>
      </c>
      <c r="AG25" s="25" t="str">
        <f aca="false">IF($A25="","",IF(AND(N(Actividades!$E13)&gt;0,AG$4&gt;=Actividades!$E13,MOD(AG$4-Actividades!$E13,IFERROR(VLOOKUP(Actividades!$D13,Listas!$A$2:$B$8,2,0),52))=0),"P",""))</f>
        <v/>
      </c>
      <c r="AH25" s="25" t="str">
        <f aca="false">IF($A25="","",IF(AND(N(Actividades!$E13)&gt;0,AH$4&gt;=Actividades!$E13,MOD(AH$4-Actividades!$E13,IFERROR(VLOOKUP(Actividades!$D13,Listas!$A$2:$B$8,2,0),52))=0),"P",""))</f>
        <v/>
      </c>
      <c r="AI25" s="25" t="str">
        <f aca="false">IF($A25="","",IF(AND(N(Actividades!$E13)&gt;0,AI$4&gt;=Actividades!$E13,MOD(AI$4-Actividades!$E13,IFERROR(VLOOKUP(Actividades!$D13,Listas!$A$2:$B$8,2,0),52))=0),"P",""))</f>
        <v/>
      </c>
      <c r="AJ25" s="25" t="str">
        <f aca="false">IF($A25="","",IF(AND(N(Actividades!$E13)&gt;0,AJ$4&gt;=Actividades!$E13,MOD(AJ$4-Actividades!$E13,IFERROR(VLOOKUP(Actividades!$D13,Listas!$A$2:$B$8,2,0),52))=0),"P",""))</f>
        <v/>
      </c>
      <c r="AK25" s="25" t="str">
        <f aca="false">IF($A25="","",IF(AND(N(Actividades!$E13)&gt;0,AK$4&gt;=Actividades!$E13,MOD(AK$4-Actividades!$E13,IFERROR(VLOOKUP(Actividades!$D13,Listas!$A$2:$B$8,2,0),52))=0),"P",""))</f>
        <v/>
      </c>
      <c r="AL25" s="25" t="str">
        <f aca="false">IF($A25="","",IF(AND(N(Actividades!$E13)&gt;0,AL$4&gt;=Actividades!$E13,MOD(AL$4-Actividades!$E13,IFERROR(VLOOKUP(Actividades!$D13,Listas!$A$2:$B$8,2,0),52))=0),"P",""))</f>
        <v/>
      </c>
      <c r="AM25" s="25" t="str">
        <f aca="false">IF($A25="","",IF(AND(N(Actividades!$E13)&gt;0,AM$4&gt;=Actividades!$E13,MOD(AM$4-Actividades!$E13,IFERROR(VLOOKUP(Actividades!$D13,Listas!$A$2:$B$8,2,0),52))=0),"P",""))</f>
        <v/>
      </c>
      <c r="AN25" s="25" t="str">
        <f aca="false">IF($A25="","",IF(AND(N(Actividades!$E13)&gt;0,AN$4&gt;=Actividades!$E13,MOD(AN$4-Actividades!$E13,IFERROR(VLOOKUP(Actividades!$D13,Listas!$A$2:$B$8,2,0),52))=0),"P",""))</f>
        <v/>
      </c>
      <c r="AO25" s="25" t="str">
        <f aca="false">IF($A25="","",IF(AND(N(Actividades!$E13)&gt;0,AO$4&gt;=Actividades!$E13,MOD(AO$4-Actividades!$E13,IFERROR(VLOOKUP(Actividades!$D13,Listas!$A$2:$B$8,2,0),52))=0),"P",""))</f>
        <v/>
      </c>
      <c r="AP25" s="25" t="str">
        <f aca="false">IF($A25="","",IF(AND(N(Actividades!$E13)&gt;0,AP$4&gt;=Actividades!$E13,MOD(AP$4-Actividades!$E13,IFERROR(VLOOKUP(Actividades!$D13,Listas!$A$2:$B$8,2,0),52))=0),"P",""))</f>
        <v/>
      </c>
      <c r="AQ25" s="25" t="str">
        <f aca="false">IF($A25="","",IF(AND(N(Actividades!$E13)&gt;0,AQ$4&gt;=Actividades!$E13,MOD(AQ$4-Actividades!$E13,IFERROR(VLOOKUP(Actividades!$D13,Listas!$A$2:$B$8,2,0),52))=0),"P",""))</f>
        <v/>
      </c>
      <c r="AR25" s="25" t="str">
        <f aca="false">IF($A25="","",IF(AND(N(Actividades!$E13)&gt;0,AR$4&gt;=Actividades!$E13,MOD(AR$4-Actividades!$E13,IFERROR(VLOOKUP(Actividades!$D13,Listas!$A$2:$B$8,2,0),52))=0),"P",""))</f>
        <v/>
      </c>
      <c r="AS25" s="25" t="str">
        <f aca="false">IF($A25="","",IF(AND(N(Actividades!$E13)&gt;0,AS$4&gt;=Actividades!$E13,MOD(AS$4-Actividades!$E13,IFERROR(VLOOKUP(Actividades!$D13,Listas!$A$2:$B$8,2,0),52))=0),"P",""))</f>
        <v/>
      </c>
      <c r="AT25" s="25" t="str">
        <f aca="false">IF($A25="","",IF(AND(N(Actividades!$E13)&gt;0,AT$4&gt;=Actividades!$E13,MOD(AT$4-Actividades!$E13,IFERROR(VLOOKUP(Actividades!$D13,Listas!$A$2:$B$8,2,0),52))=0),"P",""))</f>
        <v/>
      </c>
      <c r="AU25" s="25" t="str">
        <f aca="false">IF($A25="","",IF(AND(N(Actividades!$E13)&gt;0,AU$4&gt;=Actividades!$E13,MOD(AU$4-Actividades!$E13,IFERROR(VLOOKUP(Actividades!$D13,Listas!$A$2:$B$8,2,0),52))=0),"P",""))</f>
        <v/>
      </c>
      <c r="AV25" s="25" t="str">
        <f aca="false">IF($A25="","",IF(AND(N(Actividades!$E13)&gt;0,AV$4&gt;=Actividades!$E13,MOD(AV$4-Actividades!$E13,IFERROR(VLOOKUP(Actividades!$D13,Listas!$A$2:$B$8,2,0),52))=0),"P",""))</f>
        <v/>
      </c>
      <c r="AW25" s="25" t="str">
        <f aca="false">IF($A25="","",IF(AND(N(Actividades!$E13)&gt;0,AW$4&gt;=Actividades!$E13,MOD(AW$4-Actividades!$E13,IFERROR(VLOOKUP(Actividades!$D13,Listas!$A$2:$B$8,2,0),52))=0),"P",""))</f>
        <v/>
      </c>
      <c r="AX25" s="25" t="str">
        <f aca="false">IF($A25="","",IF(AND(N(Actividades!$E13)&gt;0,AX$4&gt;=Actividades!$E13,MOD(AX$4-Actividades!$E13,IFERROR(VLOOKUP(Actividades!$D13,Listas!$A$2:$B$8,2,0),52))=0),"P",""))</f>
        <v/>
      </c>
      <c r="AY25" s="25" t="str">
        <f aca="false">IF($A25="","",IF(AND(N(Actividades!$E13)&gt;0,AY$4&gt;=Actividades!$E13,MOD(AY$4-Actividades!$E13,IFERROR(VLOOKUP(Actividades!$D13,Listas!$A$2:$B$8,2,0),52))=0),"P",""))</f>
        <v/>
      </c>
      <c r="AZ25" s="25" t="str">
        <f aca="false">IF($A25="","",IF(AND(N(Actividades!$E13)&gt;0,AZ$4&gt;=Actividades!$E13,MOD(AZ$4-Actividades!$E13,IFERROR(VLOOKUP(Actividades!$D13,Listas!$A$2:$B$8,2,0),52))=0),"P",""))</f>
        <v/>
      </c>
      <c r="BA25" s="25" t="str">
        <f aca="false">IF($A25="","",IF(AND(N(Actividades!$E13)&gt;0,BA$4&gt;=Actividades!$E13,MOD(BA$4-Actividades!$E13,IFERROR(VLOOKUP(Actividades!$D13,Listas!$A$2:$B$8,2,0),52))=0),"P",""))</f>
        <v/>
      </c>
      <c r="BB25" s="25" t="str">
        <f aca="false">IF($A25="","",IF(AND(N(Actividades!$E13)&gt;0,BB$4&gt;=Actividades!$E13,MOD(BB$4-Actividades!$E13,IFERROR(VLOOKUP(Actividades!$D13,Listas!$A$2:$B$8,2,0),52))=0),"P",""))</f>
        <v/>
      </c>
      <c r="BC25" s="25" t="str">
        <f aca="false">IF($A25="","",IF(AND(N(Actividades!$E13)&gt;0,BC$4&gt;=Actividades!$E13,MOD(BC$4-Actividades!$E13,IFERROR(VLOOKUP(Actividades!$D13,Listas!$A$2:$B$8,2,0),52))=0),"P",""))</f>
        <v/>
      </c>
      <c r="BD25" s="26" t="str">
        <f aca="false">IF($A25="","",COUNTIF(D25:BC25,"P"))</f>
        <v/>
      </c>
      <c r="BE25" s="26" t="str">
        <f aca="false">IF($A25="","",SUMPRODUCT((D25:BC25="P")*(D26:BC26="✓")))</f>
        <v/>
      </c>
      <c r="BF25" s="27" t="str">
        <f aca="false">IF($A25="","",IF(BD25=0,"",BE25/BD25))</f>
        <v/>
      </c>
    </row>
    <row r="26" customFormat="false" ht="15" hidden="false" customHeight="false" outlineLevel="0" collapsed="false">
      <c r="A26" s="28"/>
      <c r="B26" s="28"/>
      <c r="C26" s="28" t="str">
        <f aca="false">IF($A25="","","Real")</f>
        <v/>
      </c>
      <c r="D26" s="29" t="str">
        <f aca="false">IF($A25="","",IF(COUNTIFS(Historial!$B$3:$B$502,$A25,Historial!$C$3:$C$502,$B25,Historial!$G$3:$G$502,D$4,Historial!$H$3:$H$502,$B$2)&gt;0,"✓",""))</f>
        <v/>
      </c>
      <c r="E26" s="29" t="str">
        <f aca="false">IF($A25="","",IF(COUNTIFS(Historial!$B$3:$B$502,$A25,Historial!$C$3:$C$502,$B25,Historial!$G$3:$G$502,E$4,Historial!$H$3:$H$502,$B$2)&gt;0,"✓",""))</f>
        <v/>
      </c>
      <c r="F26" s="29" t="str">
        <f aca="false">IF($A25="","",IF(COUNTIFS(Historial!$B$3:$B$502,$A25,Historial!$C$3:$C$502,$B25,Historial!$G$3:$G$502,F$4,Historial!$H$3:$H$502,$B$2)&gt;0,"✓",""))</f>
        <v/>
      </c>
      <c r="G26" s="29" t="str">
        <f aca="false">IF($A25="","",IF(COUNTIFS(Historial!$B$3:$B$502,$A25,Historial!$C$3:$C$502,$B25,Historial!$G$3:$G$502,G$4,Historial!$H$3:$H$502,$B$2)&gt;0,"✓",""))</f>
        <v/>
      </c>
      <c r="H26" s="29" t="str">
        <f aca="false">IF($A25="","",IF(COUNTIFS(Historial!$B$3:$B$502,$A25,Historial!$C$3:$C$502,$B25,Historial!$G$3:$G$502,H$4,Historial!$H$3:$H$502,$B$2)&gt;0,"✓",""))</f>
        <v/>
      </c>
      <c r="I26" s="29" t="str">
        <f aca="false">IF($A25="","",IF(COUNTIFS(Historial!$B$3:$B$502,$A25,Historial!$C$3:$C$502,$B25,Historial!$G$3:$G$502,I$4,Historial!$H$3:$H$502,$B$2)&gt;0,"✓",""))</f>
        <v/>
      </c>
      <c r="J26" s="29" t="str">
        <f aca="false">IF($A25="","",IF(COUNTIFS(Historial!$B$3:$B$502,$A25,Historial!$C$3:$C$502,$B25,Historial!$G$3:$G$502,J$4,Historial!$H$3:$H$502,$B$2)&gt;0,"✓",""))</f>
        <v/>
      </c>
      <c r="K26" s="29" t="str">
        <f aca="false">IF($A25="","",IF(COUNTIFS(Historial!$B$3:$B$502,$A25,Historial!$C$3:$C$502,$B25,Historial!$G$3:$G$502,K$4,Historial!$H$3:$H$502,$B$2)&gt;0,"✓",""))</f>
        <v/>
      </c>
      <c r="L26" s="29" t="str">
        <f aca="false">IF($A25="","",IF(COUNTIFS(Historial!$B$3:$B$502,$A25,Historial!$C$3:$C$502,$B25,Historial!$G$3:$G$502,L$4,Historial!$H$3:$H$502,$B$2)&gt;0,"✓",""))</f>
        <v/>
      </c>
      <c r="M26" s="29" t="str">
        <f aca="false">IF($A25="","",IF(COUNTIFS(Historial!$B$3:$B$502,$A25,Historial!$C$3:$C$502,$B25,Historial!$G$3:$G$502,M$4,Historial!$H$3:$H$502,$B$2)&gt;0,"✓",""))</f>
        <v/>
      </c>
      <c r="N26" s="29" t="str">
        <f aca="false">IF($A25="","",IF(COUNTIFS(Historial!$B$3:$B$502,$A25,Historial!$C$3:$C$502,$B25,Historial!$G$3:$G$502,N$4,Historial!$H$3:$H$502,$B$2)&gt;0,"✓",""))</f>
        <v/>
      </c>
      <c r="O26" s="29" t="str">
        <f aca="false">IF($A25="","",IF(COUNTIFS(Historial!$B$3:$B$502,$A25,Historial!$C$3:$C$502,$B25,Historial!$G$3:$G$502,O$4,Historial!$H$3:$H$502,$B$2)&gt;0,"✓",""))</f>
        <v/>
      </c>
      <c r="P26" s="29" t="str">
        <f aca="false">IF($A25="","",IF(COUNTIFS(Historial!$B$3:$B$502,$A25,Historial!$C$3:$C$502,$B25,Historial!$G$3:$G$502,P$4,Historial!$H$3:$H$502,$B$2)&gt;0,"✓",""))</f>
        <v/>
      </c>
      <c r="Q26" s="29" t="str">
        <f aca="false">IF($A25="","",IF(COUNTIFS(Historial!$B$3:$B$502,$A25,Historial!$C$3:$C$502,$B25,Historial!$G$3:$G$502,Q$4,Historial!$H$3:$H$502,$B$2)&gt;0,"✓",""))</f>
        <v/>
      </c>
      <c r="R26" s="29" t="str">
        <f aca="false">IF($A25="","",IF(COUNTIFS(Historial!$B$3:$B$502,$A25,Historial!$C$3:$C$502,$B25,Historial!$G$3:$G$502,R$4,Historial!$H$3:$H$502,$B$2)&gt;0,"✓",""))</f>
        <v/>
      </c>
      <c r="S26" s="29" t="str">
        <f aca="false">IF($A25="","",IF(COUNTIFS(Historial!$B$3:$B$502,$A25,Historial!$C$3:$C$502,$B25,Historial!$G$3:$G$502,S$4,Historial!$H$3:$H$502,$B$2)&gt;0,"✓",""))</f>
        <v/>
      </c>
      <c r="T26" s="29" t="str">
        <f aca="false">IF($A25="","",IF(COUNTIFS(Historial!$B$3:$B$502,$A25,Historial!$C$3:$C$502,$B25,Historial!$G$3:$G$502,T$4,Historial!$H$3:$H$502,$B$2)&gt;0,"✓",""))</f>
        <v/>
      </c>
      <c r="U26" s="29" t="str">
        <f aca="false">IF($A25="","",IF(COUNTIFS(Historial!$B$3:$B$502,$A25,Historial!$C$3:$C$502,$B25,Historial!$G$3:$G$502,U$4,Historial!$H$3:$H$502,$B$2)&gt;0,"✓",""))</f>
        <v/>
      </c>
      <c r="V26" s="29" t="str">
        <f aca="false">IF($A25="","",IF(COUNTIFS(Historial!$B$3:$B$502,$A25,Historial!$C$3:$C$502,$B25,Historial!$G$3:$G$502,V$4,Historial!$H$3:$H$502,$B$2)&gt;0,"✓",""))</f>
        <v/>
      </c>
      <c r="W26" s="29" t="str">
        <f aca="false">IF($A25="","",IF(COUNTIFS(Historial!$B$3:$B$502,$A25,Historial!$C$3:$C$502,$B25,Historial!$G$3:$G$502,W$4,Historial!$H$3:$H$502,$B$2)&gt;0,"✓",""))</f>
        <v/>
      </c>
      <c r="X26" s="29" t="str">
        <f aca="false">IF($A25="","",IF(COUNTIFS(Historial!$B$3:$B$502,$A25,Historial!$C$3:$C$502,$B25,Historial!$G$3:$G$502,X$4,Historial!$H$3:$H$502,$B$2)&gt;0,"✓",""))</f>
        <v/>
      </c>
      <c r="Y26" s="29" t="str">
        <f aca="false">IF($A25="","",IF(COUNTIFS(Historial!$B$3:$B$502,$A25,Historial!$C$3:$C$502,$B25,Historial!$G$3:$G$502,Y$4,Historial!$H$3:$H$502,$B$2)&gt;0,"✓",""))</f>
        <v/>
      </c>
      <c r="Z26" s="29" t="str">
        <f aca="false">IF($A25="","",IF(COUNTIFS(Historial!$B$3:$B$502,$A25,Historial!$C$3:$C$502,$B25,Historial!$G$3:$G$502,Z$4,Historial!$H$3:$H$502,$B$2)&gt;0,"✓",""))</f>
        <v/>
      </c>
      <c r="AA26" s="29" t="str">
        <f aca="false">IF($A25="","",IF(COUNTIFS(Historial!$B$3:$B$502,$A25,Historial!$C$3:$C$502,$B25,Historial!$G$3:$G$502,AA$4,Historial!$H$3:$H$502,$B$2)&gt;0,"✓",""))</f>
        <v/>
      </c>
      <c r="AB26" s="29" t="str">
        <f aca="false">IF($A25="","",IF(COUNTIFS(Historial!$B$3:$B$502,$A25,Historial!$C$3:$C$502,$B25,Historial!$G$3:$G$502,AB$4,Historial!$H$3:$H$502,$B$2)&gt;0,"✓",""))</f>
        <v/>
      </c>
      <c r="AC26" s="29" t="str">
        <f aca="false">IF($A25="","",IF(COUNTIFS(Historial!$B$3:$B$502,$A25,Historial!$C$3:$C$502,$B25,Historial!$G$3:$G$502,AC$4,Historial!$H$3:$H$502,$B$2)&gt;0,"✓",""))</f>
        <v/>
      </c>
      <c r="AD26" s="29" t="str">
        <f aca="false">IF($A25="","",IF(COUNTIFS(Historial!$B$3:$B$502,$A25,Historial!$C$3:$C$502,$B25,Historial!$G$3:$G$502,AD$4,Historial!$H$3:$H$502,$B$2)&gt;0,"✓",""))</f>
        <v/>
      </c>
      <c r="AE26" s="29" t="str">
        <f aca="false">IF($A25="","",IF(COUNTIFS(Historial!$B$3:$B$502,$A25,Historial!$C$3:$C$502,$B25,Historial!$G$3:$G$502,AE$4,Historial!$H$3:$H$502,$B$2)&gt;0,"✓",""))</f>
        <v/>
      </c>
      <c r="AF26" s="29" t="str">
        <f aca="false">IF($A25="","",IF(COUNTIFS(Historial!$B$3:$B$502,$A25,Historial!$C$3:$C$502,$B25,Historial!$G$3:$G$502,AF$4,Historial!$H$3:$H$502,$B$2)&gt;0,"✓",""))</f>
        <v/>
      </c>
      <c r="AG26" s="29" t="str">
        <f aca="false">IF($A25="","",IF(COUNTIFS(Historial!$B$3:$B$502,$A25,Historial!$C$3:$C$502,$B25,Historial!$G$3:$G$502,AG$4,Historial!$H$3:$H$502,$B$2)&gt;0,"✓",""))</f>
        <v/>
      </c>
      <c r="AH26" s="29" t="str">
        <f aca="false">IF($A25="","",IF(COUNTIFS(Historial!$B$3:$B$502,$A25,Historial!$C$3:$C$502,$B25,Historial!$G$3:$G$502,AH$4,Historial!$H$3:$H$502,$B$2)&gt;0,"✓",""))</f>
        <v/>
      </c>
      <c r="AI26" s="29" t="str">
        <f aca="false">IF($A25="","",IF(COUNTIFS(Historial!$B$3:$B$502,$A25,Historial!$C$3:$C$502,$B25,Historial!$G$3:$G$502,AI$4,Historial!$H$3:$H$502,$B$2)&gt;0,"✓",""))</f>
        <v/>
      </c>
      <c r="AJ26" s="29" t="str">
        <f aca="false">IF($A25="","",IF(COUNTIFS(Historial!$B$3:$B$502,$A25,Historial!$C$3:$C$502,$B25,Historial!$G$3:$G$502,AJ$4,Historial!$H$3:$H$502,$B$2)&gt;0,"✓",""))</f>
        <v/>
      </c>
      <c r="AK26" s="29" t="str">
        <f aca="false">IF($A25="","",IF(COUNTIFS(Historial!$B$3:$B$502,$A25,Historial!$C$3:$C$502,$B25,Historial!$G$3:$G$502,AK$4,Historial!$H$3:$H$502,$B$2)&gt;0,"✓",""))</f>
        <v/>
      </c>
      <c r="AL26" s="29" t="str">
        <f aca="false">IF($A25="","",IF(COUNTIFS(Historial!$B$3:$B$502,$A25,Historial!$C$3:$C$502,$B25,Historial!$G$3:$G$502,AL$4,Historial!$H$3:$H$502,$B$2)&gt;0,"✓",""))</f>
        <v/>
      </c>
      <c r="AM26" s="29" t="str">
        <f aca="false">IF($A25="","",IF(COUNTIFS(Historial!$B$3:$B$502,$A25,Historial!$C$3:$C$502,$B25,Historial!$G$3:$G$502,AM$4,Historial!$H$3:$H$502,$B$2)&gt;0,"✓",""))</f>
        <v/>
      </c>
      <c r="AN26" s="29" t="str">
        <f aca="false">IF($A25="","",IF(COUNTIFS(Historial!$B$3:$B$502,$A25,Historial!$C$3:$C$502,$B25,Historial!$G$3:$G$502,AN$4,Historial!$H$3:$H$502,$B$2)&gt;0,"✓",""))</f>
        <v/>
      </c>
      <c r="AO26" s="29" t="str">
        <f aca="false">IF($A25="","",IF(COUNTIFS(Historial!$B$3:$B$502,$A25,Historial!$C$3:$C$502,$B25,Historial!$G$3:$G$502,AO$4,Historial!$H$3:$H$502,$B$2)&gt;0,"✓",""))</f>
        <v/>
      </c>
      <c r="AP26" s="29" t="str">
        <f aca="false">IF($A25="","",IF(COUNTIFS(Historial!$B$3:$B$502,$A25,Historial!$C$3:$C$502,$B25,Historial!$G$3:$G$502,AP$4,Historial!$H$3:$H$502,$B$2)&gt;0,"✓",""))</f>
        <v/>
      </c>
      <c r="AQ26" s="29" t="str">
        <f aca="false">IF($A25="","",IF(COUNTIFS(Historial!$B$3:$B$502,$A25,Historial!$C$3:$C$502,$B25,Historial!$G$3:$G$502,AQ$4,Historial!$H$3:$H$502,$B$2)&gt;0,"✓",""))</f>
        <v/>
      </c>
      <c r="AR26" s="29" t="str">
        <f aca="false">IF($A25="","",IF(COUNTIFS(Historial!$B$3:$B$502,$A25,Historial!$C$3:$C$502,$B25,Historial!$G$3:$G$502,AR$4,Historial!$H$3:$H$502,$B$2)&gt;0,"✓",""))</f>
        <v/>
      </c>
      <c r="AS26" s="29" t="str">
        <f aca="false">IF($A25="","",IF(COUNTIFS(Historial!$B$3:$B$502,$A25,Historial!$C$3:$C$502,$B25,Historial!$G$3:$G$502,AS$4,Historial!$H$3:$H$502,$B$2)&gt;0,"✓",""))</f>
        <v/>
      </c>
      <c r="AT26" s="29" t="str">
        <f aca="false">IF($A25="","",IF(COUNTIFS(Historial!$B$3:$B$502,$A25,Historial!$C$3:$C$502,$B25,Historial!$G$3:$G$502,AT$4,Historial!$H$3:$H$502,$B$2)&gt;0,"✓",""))</f>
        <v/>
      </c>
      <c r="AU26" s="29" t="str">
        <f aca="false">IF($A25="","",IF(COUNTIFS(Historial!$B$3:$B$502,$A25,Historial!$C$3:$C$502,$B25,Historial!$G$3:$G$502,AU$4,Historial!$H$3:$H$502,$B$2)&gt;0,"✓",""))</f>
        <v/>
      </c>
      <c r="AV26" s="29" t="str">
        <f aca="false">IF($A25="","",IF(COUNTIFS(Historial!$B$3:$B$502,$A25,Historial!$C$3:$C$502,$B25,Historial!$G$3:$G$502,AV$4,Historial!$H$3:$H$502,$B$2)&gt;0,"✓",""))</f>
        <v/>
      </c>
      <c r="AW26" s="29" t="str">
        <f aca="false">IF($A25="","",IF(COUNTIFS(Historial!$B$3:$B$502,$A25,Historial!$C$3:$C$502,$B25,Historial!$G$3:$G$502,AW$4,Historial!$H$3:$H$502,$B$2)&gt;0,"✓",""))</f>
        <v/>
      </c>
      <c r="AX26" s="29" t="str">
        <f aca="false">IF($A25="","",IF(COUNTIFS(Historial!$B$3:$B$502,$A25,Historial!$C$3:$C$502,$B25,Historial!$G$3:$G$502,AX$4,Historial!$H$3:$H$502,$B$2)&gt;0,"✓",""))</f>
        <v/>
      </c>
      <c r="AY26" s="29" t="str">
        <f aca="false">IF($A25="","",IF(COUNTIFS(Historial!$B$3:$B$502,$A25,Historial!$C$3:$C$502,$B25,Historial!$G$3:$G$502,AY$4,Historial!$H$3:$H$502,$B$2)&gt;0,"✓",""))</f>
        <v/>
      </c>
      <c r="AZ26" s="29" t="str">
        <f aca="false">IF($A25="","",IF(COUNTIFS(Historial!$B$3:$B$502,$A25,Historial!$C$3:$C$502,$B25,Historial!$G$3:$G$502,AZ$4,Historial!$H$3:$H$502,$B$2)&gt;0,"✓",""))</f>
        <v/>
      </c>
      <c r="BA26" s="29" t="str">
        <f aca="false">IF($A25="","",IF(COUNTIFS(Historial!$B$3:$B$502,$A25,Historial!$C$3:$C$502,$B25,Historial!$G$3:$G$502,BA$4,Historial!$H$3:$H$502,$B$2)&gt;0,"✓",""))</f>
        <v/>
      </c>
      <c r="BB26" s="29" t="str">
        <f aca="false">IF($A25="","",IF(COUNTIFS(Historial!$B$3:$B$502,$A25,Historial!$C$3:$C$502,$B25,Historial!$G$3:$G$502,BB$4,Historial!$H$3:$H$502,$B$2)&gt;0,"✓",""))</f>
        <v/>
      </c>
      <c r="BC26" s="29" t="str">
        <f aca="false">IF($A25="","",IF(COUNTIFS(Historial!$B$3:$B$502,$A25,Historial!$C$3:$C$502,$B25,Historial!$G$3:$G$502,BC$4,Historial!$H$3:$H$502,$B$2)&gt;0,"✓",""))</f>
        <v/>
      </c>
      <c r="BD26" s="29"/>
      <c r="BE26" s="29"/>
      <c r="BF26" s="29"/>
    </row>
    <row r="27" customFormat="false" ht="15" hidden="false" customHeight="false" outlineLevel="0" collapsed="false">
      <c r="A27" s="24" t="str">
        <f aca="false">IF(Actividades!$B14="","",Actividades!$B14)</f>
        <v/>
      </c>
      <c r="B27" s="24" t="str">
        <f aca="false">IF(Actividades!$C14="","",Actividades!$C14)</f>
        <v/>
      </c>
      <c r="C27" s="24" t="str">
        <f aca="false">IF($A27="","","Plan")</f>
        <v/>
      </c>
      <c r="D27" s="25" t="str">
        <f aca="false">IF($A27="","",IF(AND(N(Actividades!$E14)&gt;0,D$4&gt;=Actividades!$E14,MOD(D$4-Actividades!$E14,IFERROR(VLOOKUP(Actividades!$D14,Listas!$A$2:$B$8,2,0),52))=0),"P",""))</f>
        <v/>
      </c>
      <c r="E27" s="25" t="str">
        <f aca="false">IF($A27="","",IF(AND(N(Actividades!$E14)&gt;0,E$4&gt;=Actividades!$E14,MOD(E$4-Actividades!$E14,IFERROR(VLOOKUP(Actividades!$D14,Listas!$A$2:$B$8,2,0),52))=0),"P",""))</f>
        <v/>
      </c>
      <c r="F27" s="25" t="str">
        <f aca="false">IF($A27="","",IF(AND(N(Actividades!$E14)&gt;0,F$4&gt;=Actividades!$E14,MOD(F$4-Actividades!$E14,IFERROR(VLOOKUP(Actividades!$D14,Listas!$A$2:$B$8,2,0),52))=0),"P",""))</f>
        <v/>
      </c>
      <c r="G27" s="25" t="str">
        <f aca="false">IF($A27="","",IF(AND(N(Actividades!$E14)&gt;0,G$4&gt;=Actividades!$E14,MOD(G$4-Actividades!$E14,IFERROR(VLOOKUP(Actividades!$D14,Listas!$A$2:$B$8,2,0),52))=0),"P",""))</f>
        <v/>
      </c>
      <c r="H27" s="25" t="str">
        <f aca="false">IF($A27="","",IF(AND(N(Actividades!$E14)&gt;0,H$4&gt;=Actividades!$E14,MOD(H$4-Actividades!$E14,IFERROR(VLOOKUP(Actividades!$D14,Listas!$A$2:$B$8,2,0),52))=0),"P",""))</f>
        <v/>
      </c>
      <c r="I27" s="25" t="str">
        <f aca="false">IF($A27="","",IF(AND(N(Actividades!$E14)&gt;0,I$4&gt;=Actividades!$E14,MOD(I$4-Actividades!$E14,IFERROR(VLOOKUP(Actividades!$D14,Listas!$A$2:$B$8,2,0),52))=0),"P",""))</f>
        <v/>
      </c>
      <c r="J27" s="25" t="str">
        <f aca="false">IF($A27="","",IF(AND(N(Actividades!$E14)&gt;0,J$4&gt;=Actividades!$E14,MOD(J$4-Actividades!$E14,IFERROR(VLOOKUP(Actividades!$D14,Listas!$A$2:$B$8,2,0),52))=0),"P",""))</f>
        <v/>
      </c>
      <c r="K27" s="25" t="str">
        <f aca="false">IF($A27="","",IF(AND(N(Actividades!$E14)&gt;0,K$4&gt;=Actividades!$E14,MOD(K$4-Actividades!$E14,IFERROR(VLOOKUP(Actividades!$D14,Listas!$A$2:$B$8,2,0),52))=0),"P",""))</f>
        <v/>
      </c>
      <c r="L27" s="25" t="str">
        <f aca="false">IF($A27="","",IF(AND(N(Actividades!$E14)&gt;0,L$4&gt;=Actividades!$E14,MOD(L$4-Actividades!$E14,IFERROR(VLOOKUP(Actividades!$D14,Listas!$A$2:$B$8,2,0),52))=0),"P",""))</f>
        <v/>
      </c>
      <c r="M27" s="25" t="str">
        <f aca="false">IF($A27="","",IF(AND(N(Actividades!$E14)&gt;0,M$4&gt;=Actividades!$E14,MOD(M$4-Actividades!$E14,IFERROR(VLOOKUP(Actividades!$D14,Listas!$A$2:$B$8,2,0),52))=0),"P",""))</f>
        <v/>
      </c>
      <c r="N27" s="25" t="str">
        <f aca="false">IF($A27="","",IF(AND(N(Actividades!$E14)&gt;0,N$4&gt;=Actividades!$E14,MOD(N$4-Actividades!$E14,IFERROR(VLOOKUP(Actividades!$D14,Listas!$A$2:$B$8,2,0),52))=0),"P",""))</f>
        <v/>
      </c>
      <c r="O27" s="25" t="str">
        <f aca="false">IF($A27="","",IF(AND(N(Actividades!$E14)&gt;0,O$4&gt;=Actividades!$E14,MOD(O$4-Actividades!$E14,IFERROR(VLOOKUP(Actividades!$D14,Listas!$A$2:$B$8,2,0),52))=0),"P",""))</f>
        <v/>
      </c>
      <c r="P27" s="25" t="str">
        <f aca="false">IF($A27="","",IF(AND(N(Actividades!$E14)&gt;0,P$4&gt;=Actividades!$E14,MOD(P$4-Actividades!$E14,IFERROR(VLOOKUP(Actividades!$D14,Listas!$A$2:$B$8,2,0),52))=0),"P",""))</f>
        <v/>
      </c>
      <c r="Q27" s="25" t="str">
        <f aca="false">IF($A27="","",IF(AND(N(Actividades!$E14)&gt;0,Q$4&gt;=Actividades!$E14,MOD(Q$4-Actividades!$E14,IFERROR(VLOOKUP(Actividades!$D14,Listas!$A$2:$B$8,2,0),52))=0),"P",""))</f>
        <v/>
      </c>
      <c r="R27" s="25" t="str">
        <f aca="false">IF($A27="","",IF(AND(N(Actividades!$E14)&gt;0,R$4&gt;=Actividades!$E14,MOD(R$4-Actividades!$E14,IFERROR(VLOOKUP(Actividades!$D14,Listas!$A$2:$B$8,2,0),52))=0),"P",""))</f>
        <v/>
      </c>
      <c r="S27" s="25" t="str">
        <f aca="false">IF($A27="","",IF(AND(N(Actividades!$E14)&gt;0,S$4&gt;=Actividades!$E14,MOD(S$4-Actividades!$E14,IFERROR(VLOOKUP(Actividades!$D14,Listas!$A$2:$B$8,2,0),52))=0),"P",""))</f>
        <v/>
      </c>
      <c r="T27" s="25" t="str">
        <f aca="false">IF($A27="","",IF(AND(N(Actividades!$E14)&gt;0,T$4&gt;=Actividades!$E14,MOD(T$4-Actividades!$E14,IFERROR(VLOOKUP(Actividades!$D14,Listas!$A$2:$B$8,2,0),52))=0),"P",""))</f>
        <v/>
      </c>
      <c r="U27" s="25" t="str">
        <f aca="false">IF($A27="","",IF(AND(N(Actividades!$E14)&gt;0,U$4&gt;=Actividades!$E14,MOD(U$4-Actividades!$E14,IFERROR(VLOOKUP(Actividades!$D14,Listas!$A$2:$B$8,2,0),52))=0),"P",""))</f>
        <v/>
      </c>
      <c r="V27" s="25" t="str">
        <f aca="false">IF($A27="","",IF(AND(N(Actividades!$E14)&gt;0,V$4&gt;=Actividades!$E14,MOD(V$4-Actividades!$E14,IFERROR(VLOOKUP(Actividades!$D14,Listas!$A$2:$B$8,2,0),52))=0),"P",""))</f>
        <v/>
      </c>
      <c r="W27" s="25" t="str">
        <f aca="false">IF($A27="","",IF(AND(N(Actividades!$E14)&gt;0,W$4&gt;=Actividades!$E14,MOD(W$4-Actividades!$E14,IFERROR(VLOOKUP(Actividades!$D14,Listas!$A$2:$B$8,2,0),52))=0),"P",""))</f>
        <v/>
      </c>
      <c r="X27" s="25" t="str">
        <f aca="false">IF($A27="","",IF(AND(N(Actividades!$E14)&gt;0,X$4&gt;=Actividades!$E14,MOD(X$4-Actividades!$E14,IFERROR(VLOOKUP(Actividades!$D14,Listas!$A$2:$B$8,2,0),52))=0),"P",""))</f>
        <v/>
      </c>
      <c r="Y27" s="25" t="str">
        <f aca="false">IF($A27="","",IF(AND(N(Actividades!$E14)&gt;0,Y$4&gt;=Actividades!$E14,MOD(Y$4-Actividades!$E14,IFERROR(VLOOKUP(Actividades!$D14,Listas!$A$2:$B$8,2,0),52))=0),"P",""))</f>
        <v/>
      </c>
      <c r="Z27" s="25" t="str">
        <f aca="false">IF($A27="","",IF(AND(N(Actividades!$E14)&gt;0,Z$4&gt;=Actividades!$E14,MOD(Z$4-Actividades!$E14,IFERROR(VLOOKUP(Actividades!$D14,Listas!$A$2:$B$8,2,0),52))=0),"P",""))</f>
        <v/>
      </c>
      <c r="AA27" s="25" t="str">
        <f aca="false">IF($A27="","",IF(AND(N(Actividades!$E14)&gt;0,AA$4&gt;=Actividades!$E14,MOD(AA$4-Actividades!$E14,IFERROR(VLOOKUP(Actividades!$D14,Listas!$A$2:$B$8,2,0),52))=0),"P",""))</f>
        <v/>
      </c>
      <c r="AB27" s="25" t="str">
        <f aca="false">IF($A27="","",IF(AND(N(Actividades!$E14)&gt;0,AB$4&gt;=Actividades!$E14,MOD(AB$4-Actividades!$E14,IFERROR(VLOOKUP(Actividades!$D14,Listas!$A$2:$B$8,2,0),52))=0),"P",""))</f>
        <v/>
      </c>
      <c r="AC27" s="25" t="str">
        <f aca="false">IF($A27="","",IF(AND(N(Actividades!$E14)&gt;0,AC$4&gt;=Actividades!$E14,MOD(AC$4-Actividades!$E14,IFERROR(VLOOKUP(Actividades!$D14,Listas!$A$2:$B$8,2,0),52))=0),"P",""))</f>
        <v/>
      </c>
      <c r="AD27" s="25" t="str">
        <f aca="false">IF($A27="","",IF(AND(N(Actividades!$E14)&gt;0,AD$4&gt;=Actividades!$E14,MOD(AD$4-Actividades!$E14,IFERROR(VLOOKUP(Actividades!$D14,Listas!$A$2:$B$8,2,0),52))=0),"P",""))</f>
        <v/>
      </c>
      <c r="AE27" s="25" t="str">
        <f aca="false">IF($A27="","",IF(AND(N(Actividades!$E14)&gt;0,AE$4&gt;=Actividades!$E14,MOD(AE$4-Actividades!$E14,IFERROR(VLOOKUP(Actividades!$D14,Listas!$A$2:$B$8,2,0),52))=0),"P",""))</f>
        <v/>
      </c>
      <c r="AF27" s="25" t="str">
        <f aca="false">IF($A27="","",IF(AND(N(Actividades!$E14)&gt;0,AF$4&gt;=Actividades!$E14,MOD(AF$4-Actividades!$E14,IFERROR(VLOOKUP(Actividades!$D14,Listas!$A$2:$B$8,2,0),52))=0),"P",""))</f>
        <v/>
      </c>
      <c r="AG27" s="25" t="str">
        <f aca="false">IF($A27="","",IF(AND(N(Actividades!$E14)&gt;0,AG$4&gt;=Actividades!$E14,MOD(AG$4-Actividades!$E14,IFERROR(VLOOKUP(Actividades!$D14,Listas!$A$2:$B$8,2,0),52))=0),"P",""))</f>
        <v/>
      </c>
      <c r="AH27" s="25" t="str">
        <f aca="false">IF($A27="","",IF(AND(N(Actividades!$E14)&gt;0,AH$4&gt;=Actividades!$E14,MOD(AH$4-Actividades!$E14,IFERROR(VLOOKUP(Actividades!$D14,Listas!$A$2:$B$8,2,0),52))=0),"P",""))</f>
        <v/>
      </c>
      <c r="AI27" s="25" t="str">
        <f aca="false">IF($A27="","",IF(AND(N(Actividades!$E14)&gt;0,AI$4&gt;=Actividades!$E14,MOD(AI$4-Actividades!$E14,IFERROR(VLOOKUP(Actividades!$D14,Listas!$A$2:$B$8,2,0),52))=0),"P",""))</f>
        <v/>
      </c>
      <c r="AJ27" s="25" t="str">
        <f aca="false">IF($A27="","",IF(AND(N(Actividades!$E14)&gt;0,AJ$4&gt;=Actividades!$E14,MOD(AJ$4-Actividades!$E14,IFERROR(VLOOKUP(Actividades!$D14,Listas!$A$2:$B$8,2,0),52))=0),"P",""))</f>
        <v/>
      </c>
      <c r="AK27" s="25" t="str">
        <f aca="false">IF($A27="","",IF(AND(N(Actividades!$E14)&gt;0,AK$4&gt;=Actividades!$E14,MOD(AK$4-Actividades!$E14,IFERROR(VLOOKUP(Actividades!$D14,Listas!$A$2:$B$8,2,0),52))=0),"P",""))</f>
        <v/>
      </c>
      <c r="AL27" s="25" t="str">
        <f aca="false">IF($A27="","",IF(AND(N(Actividades!$E14)&gt;0,AL$4&gt;=Actividades!$E14,MOD(AL$4-Actividades!$E14,IFERROR(VLOOKUP(Actividades!$D14,Listas!$A$2:$B$8,2,0),52))=0),"P",""))</f>
        <v/>
      </c>
      <c r="AM27" s="25" t="str">
        <f aca="false">IF($A27="","",IF(AND(N(Actividades!$E14)&gt;0,AM$4&gt;=Actividades!$E14,MOD(AM$4-Actividades!$E14,IFERROR(VLOOKUP(Actividades!$D14,Listas!$A$2:$B$8,2,0),52))=0),"P",""))</f>
        <v/>
      </c>
      <c r="AN27" s="25" t="str">
        <f aca="false">IF($A27="","",IF(AND(N(Actividades!$E14)&gt;0,AN$4&gt;=Actividades!$E14,MOD(AN$4-Actividades!$E14,IFERROR(VLOOKUP(Actividades!$D14,Listas!$A$2:$B$8,2,0),52))=0),"P",""))</f>
        <v/>
      </c>
      <c r="AO27" s="25" t="str">
        <f aca="false">IF($A27="","",IF(AND(N(Actividades!$E14)&gt;0,AO$4&gt;=Actividades!$E14,MOD(AO$4-Actividades!$E14,IFERROR(VLOOKUP(Actividades!$D14,Listas!$A$2:$B$8,2,0),52))=0),"P",""))</f>
        <v/>
      </c>
      <c r="AP27" s="25" t="str">
        <f aca="false">IF($A27="","",IF(AND(N(Actividades!$E14)&gt;0,AP$4&gt;=Actividades!$E14,MOD(AP$4-Actividades!$E14,IFERROR(VLOOKUP(Actividades!$D14,Listas!$A$2:$B$8,2,0),52))=0),"P",""))</f>
        <v/>
      </c>
      <c r="AQ27" s="25" t="str">
        <f aca="false">IF($A27="","",IF(AND(N(Actividades!$E14)&gt;0,AQ$4&gt;=Actividades!$E14,MOD(AQ$4-Actividades!$E14,IFERROR(VLOOKUP(Actividades!$D14,Listas!$A$2:$B$8,2,0),52))=0),"P",""))</f>
        <v/>
      </c>
      <c r="AR27" s="25" t="str">
        <f aca="false">IF($A27="","",IF(AND(N(Actividades!$E14)&gt;0,AR$4&gt;=Actividades!$E14,MOD(AR$4-Actividades!$E14,IFERROR(VLOOKUP(Actividades!$D14,Listas!$A$2:$B$8,2,0),52))=0),"P",""))</f>
        <v/>
      </c>
      <c r="AS27" s="25" t="str">
        <f aca="false">IF($A27="","",IF(AND(N(Actividades!$E14)&gt;0,AS$4&gt;=Actividades!$E14,MOD(AS$4-Actividades!$E14,IFERROR(VLOOKUP(Actividades!$D14,Listas!$A$2:$B$8,2,0),52))=0),"P",""))</f>
        <v/>
      </c>
      <c r="AT27" s="25" t="str">
        <f aca="false">IF($A27="","",IF(AND(N(Actividades!$E14)&gt;0,AT$4&gt;=Actividades!$E14,MOD(AT$4-Actividades!$E14,IFERROR(VLOOKUP(Actividades!$D14,Listas!$A$2:$B$8,2,0),52))=0),"P",""))</f>
        <v/>
      </c>
      <c r="AU27" s="25" t="str">
        <f aca="false">IF($A27="","",IF(AND(N(Actividades!$E14)&gt;0,AU$4&gt;=Actividades!$E14,MOD(AU$4-Actividades!$E14,IFERROR(VLOOKUP(Actividades!$D14,Listas!$A$2:$B$8,2,0),52))=0),"P",""))</f>
        <v/>
      </c>
      <c r="AV27" s="25" t="str">
        <f aca="false">IF($A27="","",IF(AND(N(Actividades!$E14)&gt;0,AV$4&gt;=Actividades!$E14,MOD(AV$4-Actividades!$E14,IFERROR(VLOOKUP(Actividades!$D14,Listas!$A$2:$B$8,2,0),52))=0),"P",""))</f>
        <v/>
      </c>
      <c r="AW27" s="25" t="str">
        <f aca="false">IF($A27="","",IF(AND(N(Actividades!$E14)&gt;0,AW$4&gt;=Actividades!$E14,MOD(AW$4-Actividades!$E14,IFERROR(VLOOKUP(Actividades!$D14,Listas!$A$2:$B$8,2,0),52))=0),"P",""))</f>
        <v/>
      </c>
      <c r="AX27" s="25" t="str">
        <f aca="false">IF($A27="","",IF(AND(N(Actividades!$E14)&gt;0,AX$4&gt;=Actividades!$E14,MOD(AX$4-Actividades!$E14,IFERROR(VLOOKUP(Actividades!$D14,Listas!$A$2:$B$8,2,0),52))=0),"P",""))</f>
        <v/>
      </c>
      <c r="AY27" s="25" t="str">
        <f aca="false">IF($A27="","",IF(AND(N(Actividades!$E14)&gt;0,AY$4&gt;=Actividades!$E14,MOD(AY$4-Actividades!$E14,IFERROR(VLOOKUP(Actividades!$D14,Listas!$A$2:$B$8,2,0),52))=0),"P",""))</f>
        <v/>
      </c>
      <c r="AZ27" s="25" t="str">
        <f aca="false">IF($A27="","",IF(AND(N(Actividades!$E14)&gt;0,AZ$4&gt;=Actividades!$E14,MOD(AZ$4-Actividades!$E14,IFERROR(VLOOKUP(Actividades!$D14,Listas!$A$2:$B$8,2,0),52))=0),"P",""))</f>
        <v/>
      </c>
      <c r="BA27" s="25" t="str">
        <f aca="false">IF($A27="","",IF(AND(N(Actividades!$E14)&gt;0,BA$4&gt;=Actividades!$E14,MOD(BA$4-Actividades!$E14,IFERROR(VLOOKUP(Actividades!$D14,Listas!$A$2:$B$8,2,0),52))=0),"P",""))</f>
        <v/>
      </c>
      <c r="BB27" s="25" t="str">
        <f aca="false">IF($A27="","",IF(AND(N(Actividades!$E14)&gt;0,BB$4&gt;=Actividades!$E14,MOD(BB$4-Actividades!$E14,IFERROR(VLOOKUP(Actividades!$D14,Listas!$A$2:$B$8,2,0),52))=0),"P",""))</f>
        <v/>
      </c>
      <c r="BC27" s="25" t="str">
        <f aca="false">IF($A27="","",IF(AND(N(Actividades!$E14)&gt;0,BC$4&gt;=Actividades!$E14,MOD(BC$4-Actividades!$E14,IFERROR(VLOOKUP(Actividades!$D14,Listas!$A$2:$B$8,2,0),52))=0),"P",""))</f>
        <v/>
      </c>
      <c r="BD27" s="26" t="str">
        <f aca="false">IF($A27="","",COUNTIF(D27:BC27,"P"))</f>
        <v/>
      </c>
      <c r="BE27" s="26" t="str">
        <f aca="false">IF($A27="","",SUMPRODUCT((D27:BC27="P")*(D28:BC28="✓")))</f>
        <v/>
      </c>
      <c r="BF27" s="27" t="str">
        <f aca="false">IF($A27="","",IF(BD27=0,"",BE27/BD27))</f>
        <v/>
      </c>
    </row>
    <row r="28" customFormat="false" ht="15" hidden="false" customHeight="false" outlineLevel="0" collapsed="false">
      <c r="A28" s="28"/>
      <c r="B28" s="28"/>
      <c r="C28" s="28" t="str">
        <f aca="false">IF($A27="","","Real")</f>
        <v/>
      </c>
      <c r="D28" s="29" t="str">
        <f aca="false">IF($A27="","",IF(COUNTIFS(Historial!$B$3:$B$502,$A27,Historial!$C$3:$C$502,$B27,Historial!$G$3:$G$502,D$4,Historial!$H$3:$H$502,$B$2)&gt;0,"✓",""))</f>
        <v/>
      </c>
      <c r="E28" s="29" t="str">
        <f aca="false">IF($A27="","",IF(COUNTIFS(Historial!$B$3:$B$502,$A27,Historial!$C$3:$C$502,$B27,Historial!$G$3:$G$502,E$4,Historial!$H$3:$H$502,$B$2)&gt;0,"✓",""))</f>
        <v/>
      </c>
      <c r="F28" s="29" t="str">
        <f aca="false">IF($A27="","",IF(COUNTIFS(Historial!$B$3:$B$502,$A27,Historial!$C$3:$C$502,$B27,Historial!$G$3:$G$502,F$4,Historial!$H$3:$H$502,$B$2)&gt;0,"✓",""))</f>
        <v/>
      </c>
      <c r="G28" s="29" t="str">
        <f aca="false">IF($A27="","",IF(COUNTIFS(Historial!$B$3:$B$502,$A27,Historial!$C$3:$C$502,$B27,Historial!$G$3:$G$502,G$4,Historial!$H$3:$H$502,$B$2)&gt;0,"✓",""))</f>
        <v/>
      </c>
      <c r="H28" s="29" t="str">
        <f aca="false">IF($A27="","",IF(COUNTIFS(Historial!$B$3:$B$502,$A27,Historial!$C$3:$C$502,$B27,Historial!$G$3:$G$502,H$4,Historial!$H$3:$H$502,$B$2)&gt;0,"✓",""))</f>
        <v/>
      </c>
      <c r="I28" s="29" t="str">
        <f aca="false">IF($A27="","",IF(COUNTIFS(Historial!$B$3:$B$502,$A27,Historial!$C$3:$C$502,$B27,Historial!$G$3:$G$502,I$4,Historial!$H$3:$H$502,$B$2)&gt;0,"✓",""))</f>
        <v/>
      </c>
      <c r="J28" s="29" t="str">
        <f aca="false">IF($A27="","",IF(COUNTIFS(Historial!$B$3:$B$502,$A27,Historial!$C$3:$C$502,$B27,Historial!$G$3:$G$502,J$4,Historial!$H$3:$H$502,$B$2)&gt;0,"✓",""))</f>
        <v/>
      </c>
      <c r="K28" s="29" t="str">
        <f aca="false">IF($A27="","",IF(COUNTIFS(Historial!$B$3:$B$502,$A27,Historial!$C$3:$C$502,$B27,Historial!$G$3:$G$502,K$4,Historial!$H$3:$H$502,$B$2)&gt;0,"✓",""))</f>
        <v/>
      </c>
      <c r="L28" s="29" t="str">
        <f aca="false">IF($A27="","",IF(COUNTIFS(Historial!$B$3:$B$502,$A27,Historial!$C$3:$C$502,$B27,Historial!$G$3:$G$502,L$4,Historial!$H$3:$H$502,$B$2)&gt;0,"✓",""))</f>
        <v/>
      </c>
      <c r="M28" s="29" t="str">
        <f aca="false">IF($A27="","",IF(COUNTIFS(Historial!$B$3:$B$502,$A27,Historial!$C$3:$C$502,$B27,Historial!$G$3:$G$502,M$4,Historial!$H$3:$H$502,$B$2)&gt;0,"✓",""))</f>
        <v/>
      </c>
      <c r="N28" s="29" t="str">
        <f aca="false">IF($A27="","",IF(COUNTIFS(Historial!$B$3:$B$502,$A27,Historial!$C$3:$C$502,$B27,Historial!$G$3:$G$502,N$4,Historial!$H$3:$H$502,$B$2)&gt;0,"✓",""))</f>
        <v/>
      </c>
      <c r="O28" s="29" t="str">
        <f aca="false">IF($A27="","",IF(COUNTIFS(Historial!$B$3:$B$502,$A27,Historial!$C$3:$C$502,$B27,Historial!$G$3:$G$502,O$4,Historial!$H$3:$H$502,$B$2)&gt;0,"✓",""))</f>
        <v/>
      </c>
      <c r="P28" s="29" t="str">
        <f aca="false">IF($A27="","",IF(COUNTIFS(Historial!$B$3:$B$502,$A27,Historial!$C$3:$C$502,$B27,Historial!$G$3:$G$502,P$4,Historial!$H$3:$H$502,$B$2)&gt;0,"✓",""))</f>
        <v/>
      </c>
      <c r="Q28" s="29" t="str">
        <f aca="false">IF($A27="","",IF(COUNTIFS(Historial!$B$3:$B$502,$A27,Historial!$C$3:$C$502,$B27,Historial!$G$3:$G$502,Q$4,Historial!$H$3:$H$502,$B$2)&gt;0,"✓",""))</f>
        <v/>
      </c>
      <c r="R28" s="29" t="str">
        <f aca="false">IF($A27="","",IF(COUNTIFS(Historial!$B$3:$B$502,$A27,Historial!$C$3:$C$502,$B27,Historial!$G$3:$G$502,R$4,Historial!$H$3:$H$502,$B$2)&gt;0,"✓",""))</f>
        <v/>
      </c>
      <c r="S28" s="29" t="str">
        <f aca="false">IF($A27="","",IF(COUNTIFS(Historial!$B$3:$B$502,$A27,Historial!$C$3:$C$502,$B27,Historial!$G$3:$G$502,S$4,Historial!$H$3:$H$502,$B$2)&gt;0,"✓",""))</f>
        <v/>
      </c>
      <c r="T28" s="29" t="str">
        <f aca="false">IF($A27="","",IF(COUNTIFS(Historial!$B$3:$B$502,$A27,Historial!$C$3:$C$502,$B27,Historial!$G$3:$G$502,T$4,Historial!$H$3:$H$502,$B$2)&gt;0,"✓",""))</f>
        <v/>
      </c>
      <c r="U28" s="29" t="str">
        <f aca="false">IF($A27="","",IF(COUNTIFS(Historial!$B$3:$B$502,$A27,Historial!$C$3:$C$502,$B27,Historial!$G$3:$G$502,U$4,Historial!$H$3:$H$502,$B$2)&gt;0,"✓",""))</f>
        <v/>
      </c>
      <c r="V28" s="29" t="str">
        <f aca="false">IF($A27="","",IF(COUNTIFS(Historial!$B$3:$B$502,$A27,Historial!$C$3:$C$502,$B27,Historial!$G$3:$G$502,V$4,Historial!$H$3:$H$502,$B$2)&gt;0,"✓",""))</f>
        <v/>
      </c>
      <c r="W28" s="29" t="str">
        <f aca="false">IF($A27="","",IF(COUNTIFS(Historial!$B$3:$B$502,$A27,Historial!$C$3:$C$502,$B27,Historial!$G$3:$G$502,W$4,Historial!$H$3:$H$502,$B$2)&gt;0,"✓",""))</f>
        <v/>
      </c>
      <c r="X28" s="29" t="str">
        <f aca="false">IF($A27="","",IF(COUNTIFS(Historial!$B$3:$B$502,$A27,Historial!$C$3:$C$502,$B27,Historial!$G$3:$G$502,X$4,Historial!$H$3:$H$502,$B$2)&gt;0,"✓",""))</f>
        <v/>
      </c>
      <c r="Y28" s="29" t="str">
        <f aca="false">IF($A27="","",IF(COUNTIFS(Historial!$B$3:$B$502,$A27,Historial!$C$3:$C$502,$B27,Historial!$G$3:$G$502,Y$4,Historial!$H$3:$H$502,$B$2)&gt;0,"✓",""))</f>
        <v/>
      </c>
      <c r="Z28" s="29" t="str">
        <f aca="false">IF($A27="","",IF(COUNTIFS(Historial!$B$3:$B$502,$A27,Historial!$C$3:$C$502,$B27,Historial!$G$3:$G$502,Z$4,Historial!$H$3:$H$502,$B$2)&gt;0,"✓",""))</f>
        <v/>
      </c>
      <c r="AA28" s="29" t="str">
        <f aca="false">IF($A27="","",IF(COUNTIFS(Historial!$B$3:$B$502,$A27,Historial!$C$3:$C$502,$B27,Historial!$G$3:$G$502,AA$4,Historial!$H$3:$H$502,$B$2)&gt;0,"✓",""))</f>
        <v/>
      </c>
      <c r="AB28" s="29" t="str">
        <f aca="false">IF($A27="","",IF(COUNTIFS(Historial!$B$3:$B$502,$A27,Historial!$C$3:$C$502,$B27,Historial!$G$3:$G$502,AB$4,Historial!$H$3:$H$502,$B$2)&gt;0,"✓",""))</f>
        <v/>
      </c>
      <c r="AC28" s="29" t="str">
        <f aca="false">IF($A27="","",IF(COUNTIFS(Historial!$B$3:$B$502,$A27,Historial!$C$3:$C$502,$B27,Historial!$G$3:$G$502,AC$4,Historial!$H$3:$H$502,$B$2)&gt;0,"✓",""))</f>
        <v/>
      </c>
      <c r="AD28" s="29" t="str">
        <f aca="false">IF($A27="","",IF(COUNTIFS(Historial!$B$3:$B$502,$A27,Historial!$C$3:$C$502,$B27,Historial!$G$3:$G$502,AD$4,Historial!$H$3:$H$502,$B$2)&gt;0,"✓",""))</f>
        <v/>
      </c>
      <c r="AE28" s="29" t="str">
        <f aca="false">IF($A27="","",IF(COUNTIFS(Historial!$B$3:$B$502,$A27,Historial!$C$3:$C$502,$B27,Historial!$G$3:$G$502,AE$4,Historial!$H$3:$H$502,$B$2)&gt;0,"✓",""))</f>
        <v/>
      </c>
      <c r="AF28" s="29" t="str">
        <f aca="false">IF($A27="","",IF(COUNTIFS(Historial!$B$3:$B$502,$A27,Historial!$C$3:$C$502,$B27,Historial!$G$3:$G$502,AF$4,Historial!$H$3:$H$502,$B$2)&gt;0,"✓",""))</f>
        <v/>
      </c>
      <c r="AG28" s="29" t="str">
        <f aca="false">IF($A27="","",IF(COUNTIFS(Historial!$B$3:$B$502,$A27,Historial!$C$3:$C$502,$B27,Historial!$G$3:$G$502,AG$4,Historial!$H$3:$H$502,$B$2)&gt;0,"✓",""))</f>
        <v/>
      </c>
      <c r="AH28" s="29" t="str">
        <f aca="false">IF($A27="","",IF(COUNTIFS(Historial!$B$3:$B$502,$A27,Historial!$C$3:$C$502,$B27,Historial!$G$3:$G$502,AH$4,Historial!$H$3:$H$502,$B$2)&gt;0,"✓",""))</f>
        <v/>
      </c>
      <c r="AI28" s="29" t="str">
        <f aca="false">IF($A27="","",IF(COUNTIFS(Historial!$B$3:$B$502,$A27,Historial!$C$3:$C$502,$B27,Historial!$G$3:$G$502,AI$4,Historial!$H$3:$H$502,$B$2)&gt;0,"✓",""))</f>
        <v/>
      </c>
      <c r="AJ28" s="29" t="str">
        <f aca="false">IF($A27="","",IF(COUNTIFS(Historial!$B$3:$B$502,$A27,Historial!$C$3:$C$502,$B27,Historial!$G$3:$G$502,AJ$4,Historial!$H$3:$H$502,$B$2)&gt;0,"✓",""))</f>
        <v/>
      </c>
      <c r="AK28" s="29" t="str">
        <f aca="false">IF($A27="","",IF(COUNTIFS(Historial!$B$3:$B$502,$A27,Historial!$C$3:$C$502,$B27,Historial!$G$3:$G$502,AK$4,Historial!$H$3:$H$502,$B$2)&gt;0,"✓",""))</f>
        <v/>
      </c>
      <c r="AL28" s="29" t="str">
        <f aca="false">IF($A27="","",IF(COUNTIFS(Historial!$B$3:$B$502,$A27,Historial!$C$3:$C$502,$B27,Historial!$G$3:$G$502,AL$4,Historial!$H$3:$H$502,$B$2)&gt;0,"✓",""))</f>
        <v/>
      </c>
      <c r="AM28" s="29" t="str">
        <f aca="false">IF($A27="","",IF(COUNTIFS(Historial!$B$3:$B$502,$A27,Historial!$C$3:$C$502,$B27,Historial!$G$3:$G$502,AM$4,Historial!$H$3:$H$502,$B$2)&gt;0,"✓",""))</f>
        <v/>
      </c>
      <c r="AN28" s="29" t="str">
        <f aca="false">IF($A27="","",IF(COUNTIFS(Historial!$B$3:$B$502,$A27,Historial!$C$3:$C$502,$B27,Historial!$G$3:$G$502,AN$4,Historial!$H$3:$H$502,$B$2)&gt;0,"✓",""))</f>
        <v/>
      </c>
      <c r="AO28" s="29" t="str">
        <f aca="false">IF($A27="","",IF(COUNTIFS(Historial!$B$3:$B$502,$A27,Historial!$C$3:$C$502,$B27,Historial!$G$3:$G$502,AO$4,Historial!$H$3:$H$502,$B$2)&gt;0,"✓",""))</f>
        <v/>
      </c>
      <c r="AP28" s="29" t="str">
        <f aca="false">IF($A27="","",IF(COUNTIFS(Historial!$B$3:$B$502,$A27,Historial!$C$3:$C$502,$B27,Historial!$G$3:$G$502,AP$4,Historial!$H$3:$H$502,$B$2)&gt;0,"✓",""))</f>
        <v/>
      </c>
      <c r="AQ28" s="29" t="str">
        <f aca="false">IF($A27="","",IF(COUNTIFS(Historial!$B$3:$B$502,$A27,Historial!$C$3:$C$502,$B27,Historial!$G$3:$G$502,AQ$4,Historial!$H$3:$H$502,$B$2)&gt;0,"✓",""))</f>
        <v/>
      </c>
      <c r="AR28" s="29" t="str">
        <f aca="false">IF($A27="","",IF(COUNTIFS(Historial!$B$3:$B$502,$A27,Historial!$C$3:$C$502,$B27,Historial!$G$3:$G$502,AR$4,Historial!$H$3:$H$502,$B$2)&gt;0,"✓",""))</f>
        <v/>
      </c>
      <c r="AS28" s="29" t="str">
        <f aca="false">IF($A27="","",IF(COUNTIFS(Historial!$B$3:$B$502,$A27,Historial!$C$3:$C$502,$B27,Historial!$G$3:$G$502,AS$4,Historial!$H$3:$H$502,$B$2)&gt;0,"✓",""))</f>
        <v/>
      </c>
      <c r="AT28" s="29" t="str">
        <f aca="false">IF($A27="","",IF(COUNTIFS(Historial!$B$3:$B$502,$A27,Historial!$C$3:$C$502,$B27,Historial!$G$3:$G$502,AT$4,Historial!$H$3:$H$502,$B$2)&gt;0,"✓",""))</f>
        <v/>
      </c>
      <c r="AU28" s="29" t="str">
        <f aca="false">IF($A27="","",IF(COUNTIFS(Historial!$B$3:$B$502,$A27,Historial!$C$3:$C$502,$B27,Historial!$G$3:$G$502,AU$4,Historial!$H$3:$H$502,$B$2)&gt;0,"✓",""))</f>
        <v/>
      </c>
      <c r="AV28" s="29" t="str">
        <f aca="false">IF($A27="","",IF(COUNTIFS(Historial!$B$3:$B$502,$A27,Historial!$C$3:$C$502,$B27,Historial!$G$3:$G$502,AV$4,Historial!$H$3:$H$502,$B$2)&gt;0,"✓",""))</f>
        <v/>
      </c>
      <c r="AW28" s="29" t="str">
        <f aca="false">IF($A27="","",IF(COUNTIFS(Historial!$B$3:$B$502,$A27,Historial!$C$3:$C$502,$B27,Historial!$G$3:$G$502,AW$4,Historial!$H$3:$H$502,$B$2)&gt;0,"✓",""))</f>
        <v/>
      </c>
      <c r="AX28" s="29" t="str">
        <f aca="false">IF($A27="","",IF(COUNTIFS(Historial!$B$3:$B$502,$A27,Historial!$C$3:$C$502,$B27,Historial!$G$3:$G$502,AX$4,Historial!$H$3:$H$502,$B$2)&gt;0,"✓",""))</f>
        <v/>
      </c>
      <c r="AY28" s="29" t="str">
        <f aca="false">IF($A27="","",IF(COUNTIFS(Historial!$B$3:$B$502,$A27,Historial!$C$3:$C$502,$B27,Historial!$G$3:$G$502,AY$4,Historial!$H$3:$H$502,$B$2)&gt;0,"✓",""))</f>
        <v/>
      </c>
      <c r="AZ28" s="29" t="str">
        <f aca="false">IF($A27="","",IF(COUNTIFS(Historial!$B$3:$B$502,$A27,Historial!$C$3:$C$502,$B27,Historial!$G$3:$G$502,AZ$4,Historial!$H$3:$H$502,$B$2)&gt;0,"✓",""))</f>
        <v/>
      </c>
      <c r="BA28" s="29" t="str">
        <f aca="false">IF($A27="","",IF(COUNTIFS(Historial!$B$3:$B$502,$A27,Historial!$C$3:$C$502,$B27,Historial!$G$3:$G$502,BA$4,Historial!$H$3:$H$502,$B$2)&gt;0,"✓",""))</f>
        <v/>
      </c>
      <c r="BB28" s="29" t="str">
        <f aca="false">IF($A27="","",IF(COUNTIFS(Historial!$B$3:$B$502,$A27,Historial!$C$3:$C$502,$B27,Historial!$G$3:$G$502,BB$4,Historial!$H$3:$H$502,$B$2)&gt;0,"✓",""))</f>
        <v/>
      </c>
      <c r="BC28" s="29" t="str">
        <f aca="false">IF($A27="","",IF(COUNTIFS(Historial!$B$3:$B$502,$A27,Historial!$C$3:$C$502,$B27,Historial!$G$3:$G$502,BC$4,Historial!$H$3:$H$502,$B$2)&gt;0,"✓",""))</f>
        <v/>
      </c>
      <c r="BD28" s="29"/>
      <c r="BE28" s="29"/>
      <c r="BF28" s="29"/>
    </row>
    <row r="29" customFormat="false" ht="15" hidden="false" customHeight="false" outlineLevel="0" collapsed="false">
      <c r="A29" s="24" t="str">
        <f aca="false">IF(Actividades!$B15="","",Actividades!$B15)</f>
        <v/>
      </c>
      <c r="B29" s="24" t="str">
        <f aca="false">IF(Actividades!$C15="","",Actividades!$C15)</f>
        <v/>
      </c>
      <c r="C29" s="24" t="str">
        <f aca="false">IF($A29="","","Plan")</f>
        <v/>
      </c>
      <c r="D29" s="25" t="str">
        <f aca="false">IF($A29="","",IF(AND(N(Actividades!$E15)&gt;0,D$4&gt;=Actividades!$E15,MOD(D$4-Actividades!$E15,IFERROR(VLOOKUP(Actividades!$D15,Listas!$A$2:$B$8,2,0),52))=0),"P",""))</f>
        <v/>
      </c>
      <c r="E29" s="25" t="str">
        <f aca="false">IF($A29="","",IF(AND(N(Actividades!$E15)&gt;0,E$4&gt;=Actividades!$E15,MOD(E$4-Actividades!$E15,IFERROR(VLOOKUP(Actividades!$D15,Listas!$A$2:$B$8,2,0),52))=0),"P",""))</f>
        <v/>
      </c>
      <c r="F29" s="25" t="str">
        <f aca="false">IF($A29="","",IF(AND(N(Actividades!$E15)&gt;0,F$4&gt;=Actividades!$E15,MOD(F$4-Actividades!$E15,IFERROR(VLOOKUP(Actividades!$D15,Listas!$A$2:$B$8,2,0),52))=0),"P",""))</f>
        <v/>
      </c>
      <c r="G29" s="25" t="str">
        <f aca="false">IF($A29="","",IF(AND(N(Actividades!$E15)&gt;0,G$4&gt;=Actividades!$E15,MOD(G$4-Actividades!$E15,IFERROR(VLOOKUP(Actividades!$D15,Listas!$A$2:$B$8,2,0),52))=0),"P",""))</f>
        <v/>
      </c>
      <c r="H29" s="25" t="str">
        <f aca="false">IF($A29="","",IF(AND(N(Actividades!$E15)&gt;0,H$4&gt;=Actividades!$E15,MOD(H$4-Actividades!$E15,IFERROR(VLOOKUP(Actividades!$D15,Listas!$A$2:$B$8,2,0),52))=0),"P",""))</f>
        <v/>
      </c>
      <c r="I29" s="25" t="str">
        <f aca="false">IF($A29="","",IF(AND(N(Actividades!$E15)&gt;0,I$4&gt;=Actividades!$E15,MOD(I$4-Actividades!$E15,IFERROR(VLOOKUP(Actividades!$D15,Listas!$A$2:$B$8,2,0),52))=0),"P",""))</f>
        <v/>
      </c>
      <c r="J29" s="25" t="str">
        <f aca="false">IF($A29="","",IF(AND(N(Actividades!$E15)&gt;0,J$4&gt;=Actividades!$E15,MOD(J$4-Actividades!$E15,IFERROR(VLOOKUP(Actividades!$D15,Listas!$A$2:$B$8,2,0),52))=0),"P",""))</f>
        <v/>
      </c>
      <c r="K29" s="25" t="str">
        <f aca="false">IF($A29="","",IF(AND(N(Actividades!$E15)&gt;0,K$4&gt;=Actividades!$E15,MOD(K$4-Actividades!$E15,IFERROR(VLOOKUP(Actividades!$D15,Listas!$A$2:$B$8,2,0),52))=0),"P",""))</f>
        <v/>
      </c>
      <c r="L29" s="25" t="str">
        <f aca="false">IF($A29="","",IF(AND(N(Actividades!$E15)&gt;0,L$4&gt;=Actividades!$E15,MOD(L$4-Actividades!$E15,IFERROR(VLOOKUP(Actividades!$D15,Listas!$A$2:$B$8,2,0),52))=0),"P",""))</f>
        <v/>
      </c>
      <c r="M29" s="25" t="str">
        <f aca="false">IF($A29="","",IF(AND(N(Actividades!$E15)&gt;0,M$4&gt;=Actividades!$E15,MOD(M$4-Actividades!$E15,IFERROR(VLOOKUP(Actividades!$D15,Listas!$A$2:$B$8,2,0),52))=0),"P",""))</f>
        <v/>
      </c>
      <c r="N29" s="25" t="str">
        <f aca="false">IF($A29="","",IF(AND(N(Actividades!$E15)&gt;0,N$4&gt;=Actividades!$E15,MOD(N$4-Actividades!$E15,IFERROR(VLOOKUP(Actividades!$D15,Listas!$A$2:$B$8,2,0),52))=0),"P",""))</f>
        <v/>
      </c>
      <c r="O29" s="25" t="str">
        <f aca="false">IF($A29="","",IF(AND(N(Actividades!$E15)&gt;0,O$4&gt;=Actividades!$E15,MOD(O$4-Actividades!$E15,IFERROR(VLOOKUP(Actividades!$D15,Listas!$A$2:$B$8,2,0),52))=0),"P",""))</f>
        <v/>
      </c>
      <c r="P29" s="25" t="str">
        <f aca="false">IF($A29="","",IF(AND(N(Actividades!$E15)&gt;0,P$4&gt;=Actividades!$E15,MOD(P$4-Actividades!$E15,IFERROR(VLOOKUP(Actividades!$D15,Listas!$A$2:$B$8,2,0),52))=0),"P",""))</f>
        <v/>
      </c>
      <c r="Q29" s="25" t="str">
        <f aca="false">IF($A29="","",IF(AND(N(Actividades!$E15)&gt;0,Q$4&gt;=Actividades!$E15,MOD(Q$4-Actividades!$E15,IFERROR(VLOOKUP(Actividades!$D15,Listas!$A$2:$B$8,2,0),52))=0),"P",""))</f>
        <v/>
      </c>
      <c r="R29" s="25" t="str">
        <f aca="false">IF($A29="","",IF(AND(N(Actividades!$E15)&gt;0,R$4&gt;=Actividades!$E15,MOD(R$4-Actividades!$E15,IFERROR(VLOOKUP(Actividades!$D15,Listas!$A$2:$B$8,2,0),52))=0),"P",""))</f>
        <v/>
      </c>
      <c r="S29" s="25" t="str">
        <f aca="false">IF($A29="","",IF(AND(N(Actividades!$E15)&gt;0,S$4&gt;=Actividades!$E15,MOD(S$4-Actividades!$E15,IFERROR(VLOOKUP(Actividades!$D15,Listas!$A$2:$B$8,2,0),52))=0),"P",""))</f>
        <v/>
      </c>
      <c r="T29" s="25" t="str">
        <f aca="false">IF($A29="","",IF(AND(N(Actividades!$E15)&gt;0,T$4&gt;=Actividades!$E15,MOD(T$4-Actividades!$E15,IFERROR(VLOOKUP(Actividades!$D15,Listas!$A$2:$B$8,2,0),52))=0),"P",""))</f>
        <v/>
      </c>
      <c r="U29" s="25" t="str">
        <f aca="false">IF($A29="","",IF(AND(N(Actividades!$E15)&gt;0,U$4&gt;=Actividades!$E15,MOD(U$4-Actividades!$E15,IFERROR(VLOOKUP(Actividades!$D15,Listas!$A$2:$B$8,2,0),52))=0),"P",""))</f>
        <v/>
      </c>
      <c r="V29" s="25" t="str">
        <f aca="false">IF($A29="","",IF(AND(N(Actividades!$E15)&gt;0,V$4&gt;=Actividades!$E15,MOD(V$4-Actividades!$E15,IFERROR(VLOOKUP(Actividades!$D15,Listas!$A$2:$B$8,2,0),52))=0),"P",""))</f>
        <v/>
      </c>
      <c r="W29" s="25" t="str">
        <f aca="false">IF($A29="","",IF(AND(N(Actividades!$E15)&gt;0,W$4&gt;=Actividades!$E15,MOD(W$4-Actividades!$E15,IFERROR(VLOOKUP(Actividades!$D15,Listas!$A$2:$B$8,2,0),52))=0),"P",""))</f>
        <v/>
      </c>
      <c r="X29" s="25" t="str">
        <f aca="false">IF($A29="","",IF(AND(N(Actividades!$E15)&gt;0,X$4&gt;=Actividades!$E15,MOD(X$4-Actividades!$E15,IFERROR(VLOOKUP(Actividades!$D15,Listas!$A$2:$B$8,2,0),52))=0),"P",""))</f>
        <v/>
      </c>
      <c r="Y29" s="25" t="str">
        <f aca="false">IF($A29="","",IF(AND(N(Actividades!$E15)&gt;0,Y$4&gt;=Actividades!$E15,MOD(Y$4-Actividades!$E15,IFERROR(VLOOKUP(Actividades!$D15,Listas!$A$2:$B$8,2,0),52))=0),"P",""))</f>
        <v/>
      </c>
      <c r="Z29" s="25" t="str">
        <f aca="false">IF($A29="","",IF(AND(N(Actividades!$E15)&gt;0,Z$4&gt;=Actividades!$E15,MOD(Z$4-Actividades!$E15,IFERROR(VLOOKUP(Actividades!$D15,Listas!$A$2:$B$8,2,0),52))=0),"P",""))</f>
        <v/>
      </c>
      <c r="AA29" s="25" t="str">
        <f aca="false">IF($A29="","",IF(AND(N(Actividades!$E15)&gt;0,AA$4&gt;=Actividades!$E15,MOD(AA$4-Actividades!$E15,IFERROR(VLOOKUP(Actividades!$D15,Listas!$A$2:$B$8,2,0),52))=0),"P",""))</f>
        <v/>
      </c>
      <c r="AB29" s="25" t="str">
        <f aca="false">IF($A29="","",IF(AND(N(Actividades!$E15)&gt;0,AB$4&gt;=Actividades!$E15,MOD(AB$4-Actividades!$E15,IFERROR(VLOOKUP(Actividades!$D15,Listas!$A$2:$B$8,2,0),52))=0),"P",""))</f>
        <v/>
      </c>
      <c r="AC29" s="25" t="str">
        <f aca="false">IF($A29="","",IF(AND(N(Actividades!$E15)&gt;0,AC$4&gt;=Actividades!$E15,MOD(AC$4-Actividades!$E15,IFERROR(VLOOKUP(Actividades!$D15,Listas!$A$2:$B$8,2,0),52))=0),"P",""))</f>
        <v/>
      </c>
      <c r="AD29" s="25" t="str">
        <f aca="false">IF($A29="","",IF(AND(N(Actividades!$E15)&gt;0,AD$4&gt;=Actividades!$E15,MOD(AD$4-Actividades!$E15,IFERROR(VLOOKUP(Actividades!$D15,Listas!$A$2:$B$8,2,0),52))=0),"P",""))</f>
        <v/>
      </c>
      <c r="AE29" s="25" t="str">
        <f aca="false">IF($A29="","",IF(AND(N(Actividades!$E15)&gt;0,AE$4&gt;=Actividades!$E15,MOD(AE$4-Actividades!$E15,IFERROR(VLOOKUP(Actividades!$D15,Listas!$A$2:$B$8,2,0),52))=0),"P",""))</f>
        <v/>
      </c>
      <c r="AF29" s="25" t="str">
        <f aca="false">IF($A29="","",IF(AND(N(Actividades!$E15)&gt;0,AF$4&gt;=Actividades!$E15,MOD(AF$4-Actividades!$E15,IFERROR(VLOOKUP(Actividades!$D15,Listas!$A$2:$B$8,2,0),52))=0),"P",""))</f>
        <v/>
      </c>
      <c r="AG29" s="25" t="str">
        <f aca="false">IF($A29="","",IF(AND(N(Actividades!$E15)&gt;0,AG$4&gt;=Actividades!$E15,MOD(AG$4-Actividades!$E15,IFERROR(VLOOKUP(Actividades!$D15,Listas!$A$2:$B$8,2,0),52))=0),"P",""))</f>
        <v/>
      </c>
      <c r="AH29" s="25" t="str">
        <f aca="false">IF($A29="","",IF(AND(N(Actividades!$E15)&gt;0,AH$4&gt;=Actividades!$E15,MOD(AH$4-Actividades!$E15,IFERROR(VLOOKUP(Actividades!$D15,Listas!$A$2:$B$8,2,0),52))=0),"P",""))</f>
        <v/>
      </c>
      <c r="AI29" s="25" t="str">
        <f aca="false">IF($A29="","",IF(AND(N(Actividades!$E15)&gt;0,AI$4&gt;=Actividades!$E15,MOD(AI$4-Actividades!$E15,IFERROR(VLOOKUP(Actividades!$D15,Listas!$A$2:$B$8,2,0),52))=0),"P",""))</f>
        <v/>
      </c>
      <c r="AJ29" s="25" t="str">
        <f aca="false">IF($A29="","",IF(AND(N(Actividades!$E15)&gt;0,AJ$4&gt;=Actividades!$E15,MOD(AJ$4-Actividades!$E15,IFERROR(VLOOKUP(Actividades!$D15,Listas!$A$2:$B$8,2,0),52))=0),"P",""))</f>
        <v/>
      </c>
      <c r="AK29" s="25" t="str">
        <f aca="false">IF($A29="","",IF(AND(N(Actividades!$E15)&gt;0,AK$4&gt;=Actividades!$E15,MOD(AK$4-Actividades!$E15,IFERROR(VLOOKUP(Actividades!$D15,Listas!$A$2:$B$8,2,0),52))=0),"P",""))</f>
        <v/>
      </c>
      <c r="AL29" s="25" t="str">
        <f aca="false">IF($A29="","",IF(AND(N(Actividades!$E15)&gt;0,AL$4&gt;=Actividades!$E15,MOD(AL$4-Actividades!$E15,IFERROR(VLOOKUP(Actividades!$D15,Listas!$A$2:$B$8,2,0),52))=0),"P",""))</f>
        <v/>
      </c>
      <c r="AM29" s="25" t="str">
        <f aca="false">IF($A29="","",IF(AND(N(Actividades!$E15)&gt;0,AM$4&gt;=Actividades!$E15,MOD(AM$4-Actividades!$E15,IFERROR(VLOOKUP(Actividades!$D15,Listas!$A$2:$B$8,2,0),52))=0),"P",""))</f>
        <v/>
      </c>
      <c r="AN29" s="25" t="str">
        <f aca="false">IF($A29="","",IF(AND(N(Actividades!$E15)&gt;0,AN$4&gt;=Actividades!$E15,MOD(AN$4-Actividades!$E15,IFERROR(VLOOKUP(Actividades!$D15,Listas!$A$2:$B$8,2,0),52))=0),"P",""))</f>
        <v/>
      </c>
      <c r="AO29" s="25" t="str">
        <f aca="false">IF($A29="","",IF(AND(N(Actividades!$E15)&gt;0,AO$4&gt;=Actividades!$E15,MOD(AO$4-Actividades!$E15,IFERROR(VLOOKUP(Actividades!$D15,Listas!$A$2:$B$8,2,0),52))=0),"P",""))</f>
        <v/>
      </c>
      <c r="AP29" s="25" t="str">
        <f aca="false">IF($A29="","",IF(AND(N(Actividades!$E15)&gt;0,AP$4&gt;=Actividades!$E15,MOD(AP$4-Actividades!$E15,IFERROR(VLOOKUP(Actividades!$D15,Listas!$A$2:$B$8,2,0),52))=0),"P",""))</f>
        <v/>
      </c>
      <c r="AQ29" s="25" t="str">
        <f aca="false">IF($A29="","",IF(AND(N(Actividades!$E15)&gt;0,AQ$4&gt;=Actividades!$E15,MOD(AQ$4-Actividades!$E15,IFERROR(VLOOKUP(Actividades!$D15,Listas!$A$2:$B$8,2,0),52))=0),"P",""))</f>
        <v/>
      </c>
      <c r="AR29" s="25" t="str">
        <f aca="false">IF($A29="","",IF(AND(N(Actividades!$E15)&gt;0,AR$4&gt;=Actividades!$E15,MOD(AR$4-Actividades!$E15,IFERROR(VLOOKUP(Actividades!$D15,Listas!$A$2:$B$8,2,0),52))=0),"P",""))</f>
        <v/>
      </c>
      <c r="AS29" s="25" t="str">
        <f aca="false">IF($A29="","",IF(AND(N(Actividades!$E15)&gt;0,AS$4&gt;=Actividades!$E15,MOD(AS$4-Actividades!$E15,IFERROR(VLOOKUP(Actividades!$D15,Listas!$A$2:$B$8,2,0),52))=0),"P",""))</f>
        <v/>
      </c>
      <c r="AT29" s="25" t="str">
        <f aca="false">IF($A29="","",IF(AND(N(Actividades!$E15)&gt;0,AT$4&gt;=Actividades!$E15,MOD(AT$4-Actividades!$E15,IFERROR(VLOOKUP(Actividades!$D15,Listas!$A$2:$B$8,2,0),52))=0),"P",""))</f>
        <v/>
      </c>
      <c r="AU29" s="25" t="str">
        <f aca="false">IF($A29="","",IF(AND(N(Actividades!$E15)&gt;0,AU$4&gt;=Actividades!$E15,MOD(AU$4-Actividades!$E15,IFERROR(VLOOKUP(Actividades!$D15,Listas!$A$2:$B$8,2,0),52))=0),"P",""))</f>
        <v/>
      </c>
      <c r="AV29" s="25" t="str">
        <f aca="false">IF($A29="","",IF(AND(N(Actividades!$E15)&gt;0,AV$4&gt;=Actividades!$E15,MOD(AV$4-Actividades!$E15,IFERROR(VLOOKUP(Actividades!$D15,Listas!$A$2:$B$8,2,0),52))=0),"P",""))</f>
        <v/>
      </c>
      <c r="AW29" s="25" t="str">
        <f aca="false">IF($A29="","",IF(AND(N(Actividades!$E15)&gt;0,AW$4&gt;=Actividades!$E15,MOD(AW$4-Actividades!$E15,IFERROR(VLOOKUP(Actividades!$D15,Listas!$A$2:$B$8,2,0),52))=0),"P",""))</f>
        <v/>
      </c>
      <c r="AX29" s="25" t="str">
        <f aca="false">IF($A29="","",IF(AND(N(Actividades!$E15)&gt;0,AX$4&gt;=Actividades!$E15,MOD(AX$4-Actividades!$E15,IFERROR(VLOOKUP(Actividades!$D15,Listas!$A$2:$B$8,2,0),52))=0),"P",""))</f>
        <v/>
      </c>
      <c r="AY29" s="25" t="str">
        <f aca="false">IF($A29="","",IF(AND(N(Actividades!$E15)&gt;0,AY$4&gt;=Actividades!$E15,MOD(AY$4-Actividades!$E15,IFERROR(VLOOKUP(Actividades!$D15,Listas!$A$2:$B$8,2,0),52))=0),"P",""))</f>
        <v/>
      </c>
      <c r="AZ29" s="25" t="str">
        <f aca="false">IF($A29="","",IF(AND(N(Actividades!$E15)&gt;0,AZ$4&gt;=Actividades!$E15,MOD(AZ$4-Actividades!$E15,IFERROR(VLOOKUP(Actividades!$D15,Listas!$A$2:$B$8,2,0),52))=0),"P",""))</f>
        <v/>
      </c>
      <c r="BA29" s="25" t="str">
        <f aca="false">IF($A29="","",IF(AND(N(Actividades!$E15)&gt;0,BA$4&gt;=Actividades!$E15,MOD(BA$4-Actividades!$E15,IFERROR(VLOOKUP(Actividades!$D15,Listas!$A$2:$B$8,2,0),52))=0),"P",""))</f>
        <v/>
      </c>
      <c r="BB29" s="25" t="str">
        <f aca="false">IF($A29="","",IF(AND(N(Actividades!$E15)&gt;0,BB$4&gt;=Actividades!$E15,MOD(BB$4-Actividades!$E15,IFERROR(VLOOKUP(Actividades!$D15,Listas!$A$2:$B$8,2,0),52))=0),"P",""))</f>
        <v/>
      </c>
      <c r="BC29" s="25" t="str">
        <f aca="false">IF($A29="","",IF(AND(N(Actividades!$E15)&gt;0,BC$4&gt;=Actividades!$E15,MOD(BC$4-Actividades!$E15,IFERROR(VLOOKUP(Actividades!$D15,Listas!$A$2:$B$8,2,0),52))=0),"P",""))</f>
        <v/>
      </c>
      <c r="BD29" s="26" t="str">
        <f aca="false">IF($A29="","",COUNTIF(D29:BC29,"P"))</f>
        <v/>
      </c>
      <c r="BE29" s="26" t="str">
        <f aca="false">IF($A29="","",SUMPRODUCT((D29:BC29="P")*(D30:BC30="✓")))</f>
        <v/>
      </c>
      <c r="BF29" s="27" t="str">
        <f aca="false">IF($A29="","",IF(BD29=0,"",BE29/BD29))</f>
        <v/>
      </c>
    </row>
    <row r="30" customFormat="false" ht="15" hidden="false" customHeight="false" outlineLevel="0" collapsed="false">
      <c r="A30" s="28"/>
      <c r="B30" s="28"/>
      <c r="C30" s="28" t="str">
        <f aca="false">IF($A29="","","Real")</f>
        <v/>
      </c>
      <c r="D30" s="29" t="str">
        <f aca="false">IF($A29="","",IF(COUNTIFS(Historial!$B$3:$B$502,$A29,Historial!$C$3:$C$502,$B29,Historial!$G$3:$G$502,D$4,Historial!$H$3:$H$502,$B$2)&gt;0,"✓",""))</f>
        <v/>
      </c>
      <c r="E30" s="29" t="str">
        <f aca="false">IF($A29="","",IF(COUNTIFS(Historial!$B$3:$B$502,$A29,Historial!$C$3:$C$502,$B29,Historial!$G$3:$G$502,E$4,Historial!$H$3:$H$502,$B$2)&gt;0,"✓",""))</f>
        <v/>
      </c>
      <c r="F30" s="29" t="str">
        <f aca="false">IF($A29="","",IF(COUNTIFS(Historial!$B$3:$B$502,$A29,Historial!$C$3:$C$502,$B29,Historial!$G$3:$G$502,F$4,Historial!$H$3:$H$502,$B$2)&gt;0,"✓",""))</f>
        <v/>
      </c>
      <c r="G30" s="29" t="str">
        <f aca="false">IF($A29="","",IF(COUNTIFS(Historial!$B$3:$B$502,$A29,Historial!$C$3:$C$502,$B29,Historial!$G$3:$G$502,G$4,Historial!$H$3:$H$502,$B$2)&gt;0,"✓",""))</f>
        <v/>
      </c>
      <c r="H30" s="29" t="str">
        <f aca="false">IF($A29="","",IF(COUNTIFS(Historial!$B$3:$B$502,$A29,Historial!$C$3:$C$502,$B29,Historial!$G$3:$G$502,H$4,Historial!$H$3:$H$502,$B$2)&gt;0,"✓",""))</f>
        <v/>
      </c>
      <c r="I30" s="29" t="str">
        <f aca="false">IF($A29="","",IF(COUNTIFS(Historial!$B$3:$B$502,$A29,Historial!$C$3:$C$502,$B29,Historial!$G$3:$G$502,I$4,Historial!$H$3:$H$502,$B$2)&gt;0,"✓",""))</f>
        <v/>
      </c>
      <c r="J30" s="29" t="str">
        <f aca="false">IF($A29="","",IF(COUNTIFS(Historial!$B$3:$B$502,$A29,Historial!$C$3:$C$502,$B29,Historial!$G$3:$G$502,J$4,Historial!$H$3:$H$502,$B$2)&gt;0,"✓",""))</f>
        <v/>
      </c>
      <c r="K30" s="29" t="str">
        <f aca="false">IF($A29="","",IF(COUNTIFS(Historial!$B$3:$B$502,$A29,Historial!$C$3:$C$502,$B29,Historial!$G$3:$G$502,K$4,Historial!$H$3:$H$502,$B$2)&gt;0,"✓",""))</f>
        <v/>
      </c>
      <c r="L30" s="29" t="str">
        <f aca="false">IF($A29="","",IF(COUNTIFS(Historial!$B$3:$B$502,$A29,Historial!$C$3:$C$502,$B29,Historial!$G$3:$G$502,L$4,Historial!$H$3:$H$502,$B$2)&gt;0,"✓",""))</f>
        <v/>
      </c>
      <c r="M30" s="29" t="str">
        <f aca="false">IF($A29="","",IF(COUNTIFS(Historial!$B$3:$B$502,$A29,Historial!$C$3:$C$502,$B29,Historial!$G$3:$G$502,M$4,Historial!$H$3:$H$502,$B$2)&gt;0,"✓",""))</f>
        <v/>
      </c>
      <c r="N30" s="29" t="str">
        <f aca="false">IF($A29="","",IF(COUNTIFS(Historial!$B$3:$B$502,$A29,Historial!$C$3:$C$502,$B29,Historial!$G$3:$G$502,N$4,Historial!$H$3:$H$502,$B$2)&gt;0,"✓",""))</f>
        <v/>
      </c>
      <c r="O30" s="29" t="str">
        <f aca="false">IF($A29="","",IF(COUNTIFS(Historial!$B$3:$B$502,$A29,Historial!$C$3:$C$502,$B29,Historial!$G$3:$G$502,O$4,Historial!$H$3:$H$502,$B$2)&gt;0,"✓",""))</f>
        <v/>
      </c>
      <c r="P30" s="29" t="str">
        <f aca="false">IF($A29="","",IF(COUNTIFS(Historial!$B$3:$B$502,$A29,Historial!$C$3:$C$502,$B29,Historial!$G$3:$G$502,P$4,Historial!$H$3:$H$502,$B$2)&gt;0,"✓",""))</f>
        <v/>
      </c>
      <c r="Q30" s="29" t="str">
        <f aca="false">IF($A29="","",IF(COUNTIFS(Historial!$B$3:$B$502,$A29,Historial!$C$3:$C$502,$B29,Historial!$G$3:$G$502,Q$4,Historial!$H$3:$H$502,$B$2)&gt;0,"✓",""))</f>
        <v/>
      </c>
      <c r="R30" s="29" t="str">
        <f aca="false">IF($A29="","",IF(COUNTIFS(Historial!$B$3:$B$502,$A29,Historial!$C$3:$C$502,$B29,Historial!$G$3:$G$502,R$4,Historial!$H$3:$H$502,$B$2)&gt;0,"✓",""))</f>
        <v/>
      </c>
      <c r="S30" s="29" t="str">
        <f aca="false">IF($A29="","",IF(COUNTIFS(Historial!$B$3:$B$502,$A29,Historial!$C$3:$C$502,$B29,Historial!$G$3:$G$502,S$4,Historial!$H$3:$H$502,$B$2)&gt;0,"✓",""))</f>
        <v/>
      </c>
      <c r="T30" s="29" t="str">
        <f aca="false">IF($A29="","",IF(COUNTIFS(Historial!$B$3:$B$502,$A29,Historial!$C$3:$C$502,$B29,Historial!$G$3:$G$502,T$4,Historial!$H$3:$H$502,$B$2)&gt;0,"✓",""))</f>
        <v/>
      </c>
      <c r="U30" s="29" t="str">
        <f aca="false">IF($A29="","",IF(COUNTIFS(Historial!$B$3:$B$502,$A29,Historial!$C$3:$C$502,$B29,Historial!$G$3:$G$502,U$4,Historial!$H$3:$H$502,$B$2)&gt;0,"✓",""))</f>
        <v/>
      </c>
      <c r="V30" s="29" t="str">
        <f aca="false">IF($A29="","",IF(COUNTIFS(Historial!$B$3:$B$502,$A29,Historial!$C$3:$C$502,$B29,Historial!$G$3:$G$502,V$4,Historial!$H$3:$H$502,$B$2)&gt;0,"✓",""))</f>
        <v/>
      </c>
      <c r="W30" s="29" t="str">
        <f aca="false">IF($A29="","",IF(COUNTIFS(Historial!$B$3:$B$502,$A29,Historial!$C$3:$C$502,$B29,Historial!$G$3:$G$502,W$4,Historial!$H$3:$H$502,$B$2)&gt;0,"✓",""))</f>
        <v/>
      </c>
      <c r="X30" s="29" t="str">
        <f aca="false">IF($A29="","",IF(COUNTIFS(Historial!$B$3:$B$502,$A29,Historial!$C$3:$C$502,$B29,Historial!$G$3:$G$502,X$4,Historial!$H$3:$H$502,$B$2)&gt;0,"✓",""))</f>
        <v/>
      </c>
      <c r="Y30" s="29" t="str">
        <f aca="false">IF($A29="","",IF(COUNTIFS(Historial!$B$3:$B$502,$A29,Historial!$C$3:$C$502,$B29,Historial!$G$3:$G$502,Y$4,Historial!$H$3:$H$502,$B$2)&gt;0,"✓",""))</f>
        <v/>
      </c>
      <c r="Z30" s="29" t="str">
        <f aca="false">IF($A29="","",IF(COUNTIFS(Historial!$B$3:$B$502,$A29,Historial!$C$3:$C$502,$B29,Historial!$G$3:$G$502,Z$4,Historial!$H$3:$H$502,$B$2)&gt;0,"✓",""))</f>
        <v/>
      </c>
      <c r="AA30" s="29" t="str">
        <f aca="false">IF($A29="","",IF(COUNTIFS(Historial!$B$3:$B$502,$A29,Historial!$C$3:$C$502,$B29,Historial!$G$3:$G$502,AA$4,Historial!$H$3:$H$502,$B$2)&gt;0,"✓",""))</f>
        <v/>
      </c>
      <c r="AB30" s="29" t="str">
        <f aca="false">IF($A29="","",IF(COUNTIFS(Historial!$B$3:$B$502,$A29,Historial!$C$3:$C$502,$B29,Historial!$G$3:$G$502,AB$4,Historial!$H$3:$H$502,$B$2)&gt;0,"✓",""))</f>
        <v/>
      </c>
      <c r="AC30" s="29" t="str">
        <f aca="false">IF($A29="","",IF(COUNTIFS(Historial!$B$3:$B$502,$A29,Historial!$C$3:$C$502,$B29,Historial!$G$3:$G$502,AC$4,Historial!$H$3:$H$502,$B$2)&gt;0,"✓",""))</f>
        <v/>
      </c>
      <c r="AD30" s="29" t="str">
        <f aca="false">IF($A29="","",IF(COUNTIFS(Historial!$B$3:$B$502,$A29,Historial!$C$3:$C$502,$B29,Historial!$G$3:$G$502,AD$4,Historial!$H$3:$H$502,$B$2)&gt;0,"✓",""))</f>
        <v/>
      </c>
      <c r="AE30" s="29" t="str">
        <f aca="false">IF($A29="","",IF(COUNTIFS(Historial!$B$3:$B$502,$A29,Historial!$C$3:$C$502,$B29,Historial!$G$3:$G$502,AE$4,Historial!$H$3:$H$502,$B$2)&gt;0,"✓",""))</f>
        <v/>
      </c>
      <c r="AF30" s="29" t="str">
        <f aca="false">IF($A29="","",IF(COUNTIFS(Historial!$B$3:$B$502,$A29,Historial!$C$3:$C$502,$B29,Historial!$G$3:$G$502,AF$4,Historial!$H$3:$H$502,$B$2)&gt;0,"✓",""))</f>
        <v/>
      </c>
      <c r="AG30" s="29" t="str">
        <f aca="false">IF($A29="","",IF(COUNTIFS(Historial!$B$3:$B$502,$A29,Historial!$C$3:$C$502,$B29,Historial!$G$3:$G$502,AG$4,Historial!$H$3:$H$502,$B$2)&gt;0,"✓",""))</f>
        <v/>
      </c>
      <c r="AH30" s="29" t="str">
        <f aca="false">IF($A29="","",IF(COUNTIFS(Historial!$B$3:$B$502,$A29,Historial!$C$3:$C$502,$B29,Historial!$G$3:$G$502,AH$4,Historial!$H$3:$H$502,$B$2)&gt;0,"✓",""))</f>
        <v/>
      </c>
      <c r="AI30" s="29" t="str">
        <f aca="false">IF($A29="","",IF(COUNTIFS(Historial!$B$3:$B$502,$A29,Historial!$C$3:$C$502,$B29,Historial!$G$3:$G$502,AI$4,Historial!$H$3:$H$502,$B$2)&gt;0,"✓",""))</f>
        <v/>
      </c>
      <c r="AJ30" s="29" t="str">
        <f aca="false">IF($A29="","",IF(COUNTIFS(Historial!$B$3:$B$502,$A29,Historial!$C$3:$C$502,$B29,Historial!$G$3:$G$502,AJ$4,Historial!$H$3:$H$502,$B$2)&gt;0,"✓",""))</f>
        <v/>
      </c>
      <c r="AK30" s="29" t="str">
        <f aca="false">IF($A29="","",IF(COUNTIFS(Historial!$B$3:$B$502,$A29,Historial!$C$3:$C$502,$B29,Historial!$G$3:$G$502,AK$4,Historial!$H$3:$H$502,$B$2)&gt;0,"✓",""))</f>
        <v/>
      </c>
      <c r="AL30" s="29" t="str">
        <f aca="false">IF($A29="","",IF(COUNTIFS(Historial!$B$3:$B$502,$A29,Historial!$C$3:$C$502,$B29,Historial!$G$3:$G$502,AL$4,Historial!$H$3:$H$502,$B$2)&gt;0,"✓",""))</f>
        <v/>
      </c>
      <c r="AM30" s="29" t="str">
        <f aca="false">IF($A29="","",IF(COUNTIFS(Historial!$B$3:$B$502,$A29,Historial!$C$3:$C$502,$B29,Historial!$G$3:$G$502,AM$4,Historial!$H$3:$H$502,$B$2)&gt;0,"✓",""))</f>
        <v/>
      </c>
      <c r="AN30" s="29" t="str">
        <f aca="false">IF($A29="","",IF(COUNTIFS(Historial!$B$3:$B$502,$A29,Historial!$C$3:$C$502,$B29,Historial!$G$3:$G$502,AN$4,Historial!$H$3:$H$502,$B$2)&gt;0,"✓",""))</f>
        <v/>
      </c>
      <c r="AO30" s="29" t="str">
        <f aca="false">IF($A29="","",IF(COUNTIFS(Historial!$B$3:$B$502,$A29,Historial!$C$3:$C$502,$B29,Historial!$G$3:$G$502,AO$4,Historial!$H$3:$H$502,$B$2)&gt;0,"✓",""))</f>
        <v/>
      </c>
      <c r="AP30" s="29" t="str">
        <f aca="false">IF($A29="","",IF(COUNTIFS(Historial!$B$3:$B$502,$A29,Historial!$C$3:$C$502,$B29,Historial!$G$3:$G$502,AP$4,Historial!$H$3:$H$502,$B$2)&gt;0,"✓",""))</f>
        <v/>
      </c>
      <c r="AQ30" s="29" t="str">
        <f aca="false">IF($A29="","",IF(COUNTIFS(Historial!$B$3:$B$502,$A29,Historial!$C$3:$C$502,$B29,Historial!$G$3:$G$502,AQ$4,Historial!$H$3:$H$502,$B$2)&gt;0,"✓",""))</f>
        <v/>
      </c>
      <c r="AR30" s="29" t="str">
        <f aca="false">IF($A29="","",IF(COUNTIFS(Historial!$B$3:$B$502,$A29,Historial!$C$3:$C$502,$B29,Historial!$G$3:$G$502,AR$4,Historial!$H$3:$H$502,$B$2)&gt;0,"✓",""))</f>
        <v/>
      </c>
      <c r="AS30" s="29" t="str">
        <f aca="false">IF($A29="","",IF(COUNTIFS(Historial!$B$3:$B$502,$A29,Historial!$C$3:$C$502,$B29,Historial!$G$3:$G$502,AS$4,Historial!$H$3:$H$502,$B$2)&gt;0,"✓",""))</f>
        <v/>
      </c>
      <c r="AT30" s="29" t="str">
        <f aca="false">IF($A29="","",IF(COUNTIFS(Historial!$B$3:$B$502,$A29,Historial!$C$3:$C$502,$B29,Historial!$G$3:$G$502,AT$4,Historial!$H$3:$H$502,$B$2)&gt;0,"✓",""))</f>
        <v/>
      </c>
      <c r="AU30" s="29" t="str">
        <f aca="false">IF($A29="","",IF(COUNTIFS(Historial!$B$3:$B$502,$A29,Historial!$C$3:$C$502,$B29,Historial!$G$3:$G$502,AU$4,Historial!$H$3:$H$502,$B$2)&gt;0,"✓",""))</f>
        <v/>
      </c>
      <c r="AV30" s="29" t="str">
        <f aca="false">IF($A29="","",IF(COUNTIFS(Historial!$B$3:$B$502,$A29,Historial!$C$3:$C$502,$B29,Historial!$G$3:$G$502,AV$4,Historial!$H$3:$H$502,$B$2)&gt;0,"✓",""))</f>
        <v/>
      </c>
      <c r="AW30" s="29" t="str">
        <f aca="false">IF($A29="","",IF(COUNTIFS(Historial!$B$3:$B$502,$A29,Historial!$C$3:$C$502,$B29,Historial!$G$3:$G$502,AW$4,Historial!$H$3:$H$502,$B$2)&gt;0,"✓",""))</f>
        <v/>
      </c>
      <c r="AX30" s="29" t="str">
        <f aca="false">IF($A29="","",IF(COUNTIFS(Historial!$B$3:$B$502,$A29,Historial!$C$3:$C$502,$B29,Historial!$G$3:$G$502,AX$4,Historial!$H$3:$H$502,$B$2)&gt;0,"✓",""))</f>
        <v/>
      </c>
      <c r="AY30" s="29" t="str">
        <f aca="false">IF($A29="","",IF(COUNTIFS(Historial!$B$3:$B$502,$A29,Historial!$C$3:$C$502,$B29,Historial!$G$3:$G$502,AY$4,Historial!$H$3:$H$502,$B$2)&gt;0,"✓",""))</f>
        <v/>
      </c>
      <c r="AZ30" s="29" t="str">
        <f aca="false">IF($A29="","",IF(COUNTIFS(Historial!$B$3:$B$502,$A29,Historial!$C$3:$C$502,$B29,Historial!$G$3:$G$502,AZ$4,Historial!$H$3:$H$502,$B$2)&gt;0,"✓",""))</f>
        <v/>
      </c>
      <c r="BA30" s="29" t="str">
        <f aca="false">IF($A29="","",IF(COUNTIFS(Historial!$B$3:$B$502,$A29,Historial!$C$3:$C$502,$B29,Historial!$G$3:$G$502,BA$4,Historial!$H$3:$H$502,$B$2)&gt;0,"✓",""))</f>
        <v/>
      </c>
      <c r="BB30" s="29" t="str">
        <f aca="false">IF($A29="","",IF(COUNTIFS(Historial!$B$3:$B$502,$A29,Historial!$C$3:$C$502,$B29,Historial!$G$3:$G$502,BB$4,Historial!$H$3:$H$502,$B$2)&gt;0,"✓",""))</f>
        <v/>
      </c>
      <c r="BC30" s="29" t="str">
        <f aca="false">IF($A29="","",IF(COUNTIFS(Historial!$B$3:$B$502,$A29,Historial!$C$3:$C$502,$B29,Historial!$G$3:$G$502,BC$4,Historial!$H$3:$H$502,$B$2)&gt;0,"✓",""))</f>
        <v/>
      </c>
      <c r="BD30" s="29"/>
      <c r="BE30" s="29"/>
      <c r="BF30" s="29"/>
    </row>
    <row r="31" customFormat="false" ht="15" hidden="false" customHeight="false" outlineLevel="0" collapsed="false">
      <c r="A31" s="24" t="str">
        <f aca="false">IF(Actividades!$B16="","",Actividades!$B16)</f>
        <v/>
      </c>
      <c r="B31" s="24" t="str">
        <f aca="false">IF(Actividades!$C16="","",Actividades!$C16)</f>
        <v/>
      </c>
      <c r="C31" s="24" t="str">
        <f aca="false">IF($A31="","","Plan")</f>
        <v/>
      </c>
      <c r="D31" s="25" t="str">
        <f aca="false">IF($A31="","",IF(AND(N(Actividades!$E16)&gt;0,D$4&gt;=Actividades!$E16,MOD(D$4-Actividades!$E16,IFERROR(VLOOKUP(Actividades!$D16,Listas!$A$2:$B$8,2,0),52))=0),"P",""))</f>
        <v/>
      </c>
      <c r="E31" s="25" t="str">
        <f aca="false">IF($A31="","",IF(AND(N(Actividades!$E16)&gt;0,E$4&gt;=Actividades!$E16,MOD(E$4-Actividades!$E16,IFERROR(VLOOKUP(Actividades!$D16,Listas!$A$2:$B$8,2,0),52))=0),"P",""))</f>
        <v/>
      </c>
      <c r="F31" s="25" t="str">
        <f aca="false">IF($A31="","",IF(AND(N(Actividades!$E16)&gt;0,F$4&gt;=Actividades!$E16,MOD(F$4-Actividades!$E16,IFERROR(VLOOKUP(Actividades!$D16,Listas!$A$2:$B$8,2,0),52))=0),"P",""))</f>
        <v/>
      </c>
      <c r="G31" s="25" t="str">
        <f aca="false">IF($A31="","",IF(AND(N(Actividades!$E16)&gt;0,G$4&gt;=Actividades!$E16,MOD(G$4-Actividades!$E16,IFERROR(VLOOKUP(Actividades!$D16,Listas!$A$2:$B$8,2,0),52))=0),"P",""))</f>
        <v/>
      </c>
      <c r="H31" s="25" t="str">
        <f aca="false">IF($A31="","",IF(AND(N(Actividades!$E16)&gt;0,H$4&gt;=Actividades!$E16,MOD(H$4-Actividades!$E16,IFERROR(VLOOKUP(Actividades!$D16,Listas!$A$2:$B$8,2,0),52))=0),"P",""))</f>
        <v/>
      </c>
      <c r="I31" s="25" t="str">
        <f aca="false">IF($A31="","",IF(AND(N(Actividades!$E16)&gt;0,I$4&gt;=Actividades!$E16,MOD(I$4-Actividades!$E16,IFERROR(VLOOKUP(Actividades!$D16,Listas!$A$2:$B$8,2,0),52))=0),"P",""))</f>
        <v/>
      </c>
      <c r="J31" s="25" t="str">
        <f aca="false">IF($A31="","",IF(AND(N(Actividades!$E16)&gt;0,J$4&gt;=Actividades!$E16,MOD(J$4-Actividades!$E16,IFERROR(VLOOKUP(Actividades!$D16,Listas!$A$2:$B$8,2,0),52))=0),"P",""))</f>
        <v/>
      </c>
      <c r="K31" s="25" t="str">
        <f aca="false">IF($A31="","",IF(AND(N(Actividades!$E16)&gt;0,K$4&gt;=Actividades!$E16,MOD(K$4-Actividades!$E16,IFERROR(VLOOKUP(Actividades!$D16,Listas!$A$2:$B$8,2,0),52))=0),"P",""))</f>
        <v/>
      </c>
      <c r="L31" s="25" t="str">
        <f aca="false">IF($A31="","",IF(AND(N(Actividades!$E16)&gt;0,L$4&gt;=Actividades!$E16,MOD(L$4-Actividades!$E16,IFERROR(VLOOKUP(Actividades!$D16,Listas!$A$2:$B$8,2,0),52))=0),"P",""))</f>
        <v/>
      </c>
      <c r="M31" s="25" t="str">
        <f aca="false">IF($A31="","",IF(AND(N(Actividades!$E16)&gt;0,M$4&gt;=Actividades!$E16,MOD(M$4-Actividades!$E16,IFERROR(VLOOKUP(Actividades!$D16,Listas!$A$2:$B$8,2,0),52))=0),"P",""))</f>
        <v/>
      </c>
      <c r="N31" s="25" t="str">
        <f aca="false">IF($A31="","",IF(AND(N(Actividades!$E16)&gt;0,N$4&gt;=Actividades!$E16,MOD(N$4-Actividades!$E16,IFERROR(VLOOKUP(Actividades!$D16,Listas!$A$2:$B$8,2,0),52))=0),"P",""))</f>
        <v/>
      </c>
      <c r="O31" s="25" t="str">
        <f aca="false">IF($A31="","",IF(AND(N(Actividades!$E16)&gt;0,O$4&gt;=Actividades!$E16,MOD(O$4-Actividades!$E16,IFERROR(VLOOKUP(Actividades!$D16,Listas!$A$2:$B$8,2,0),52))=0),"P",""))</f>
        <v/>
      </c>
      <c r="P31" s="25" t="str">
        <f aca="false">IF($A31="","",IF(AND(N(Actividades!$E16)&gt;0,P$4&gt;=Actividades!$E16,MOD(P$4-Actividades!$E16,IFERROR(VLOOKUP(Actividades!$D16,Listas!$A$2:$B$8,2,0),52))=0),"P",""))</f>
        <v/>
      </c>
      <c r="Q31" s="25" t="str">
        <f aca="false">IF($A31="","",IF(AND(N(Actividades!$E16)&gt;0,Q$4&gt;=Actividades!$E16,MOD(Q$4-Actividades!$E16,IFERROR(VLOOKUP(Actividades!$D16,Listas!$A$2:$B$8,2,0),52))=0),"P",""))</f>
        <v/>
      </c>
      <c r="R31" s="25" t="str">
        <f aca="false">IF($A31="","",IF(AND(N(Actividades!$E16)&gt;0,R$4&gt;=Actividades!$E16,MOD(R$4-Actividades!$E16,IFERROR(VLOOKUP(Actividades!$D16,Listas!$A$2:$B$8,2,0),52))=0),"P",""))</f>
        <v/>
      </c>
      <c r="S31" s="25" t="str">
        <f aca="false">IF($A31="","",IF(AND(N(Actividades!$E16)&gt;0,S$4&gt;=Actividades!$E16,MOD(S$4-Actividades!$E16,IFERROR(VLOOKUP(Actividades!$D16,Listas!$A$2:$B$8,2,0),52))=0),"P",""))</f>
        <v/>
      </c>
      <c r="T31" s="25" t="str">
        <f aca="false">IF($A31="","",IF(AND(N(Actividades!$E16)&gt;0,T$4&gt;=Actividades!$E16,MOD(T$4-Actividades!$E16,IFERROR(VLOOKUP(Actividades!$D16,Listas!$A$2:$B$8,2,0),52))=0),"P",""))</f>
        <v/>
      </c>
      <c r="U31" s="25" t="str">
        <f aca="false">IF($A31="","",IF(AND(N(Actividades!$E16)&gt;0,U$4&gt;=Actividades!$E16,MOD(U$4-Actividades!$E16,IFERROR(VLOOKUP(Actividades!$D16,Listas!$A$2:$B$8,2,0),52))=0),"P",""))</f>
        <v/>
      </c>
      <c r="V31" s="25" t="str">
        <f aca="false">IF($A31="","",IF(AND(N(Actividades!$E16)&gt;0,V$4&gt;=Actividades!$E16,MOD(V$4-Actividades!$E16,IFERROR(VLOOKUP(Actividades!$D16,Listas!$A$2:$B$8,2,0),52))=0),"P",""))</f>
        <v/>
      </c>
      <c r="W31" s="25" t="str">
        <f aca="false">IF($A31="","",IF(AND(N(Actividades!$E16)&gt;0,W$4&gt;=Actividades!$E16,MOD(W$4-Actividades!$E16,IFERROR(VLOOKUP(Actividades!$D16,Listas!$A$2:$B$8,2,0),52))=0),"P",""))</f>
        <v/>
      </c>
      <c r="X31" s="25" t="str">
        <f aca="false">IF($A31="","",IF(AND(N(Actividades!$E16)&gt;0,X$4&gt;=Actividades!$E16,MOD(X$4-Actividades!$E16,IFERROR(VLOOKUP(Actividades!$D16,Listas!$A$2:$B$8,2,0),52))=0),"P",""))</f>
        <v/>
      </c>
      <c r="Y31" s="25" t="str">
        <f aca="false">IF($A31="","",IF(AND(N(Actividades!$E16)&gt;0,Y$4&gt;=Actividades!$E16,MOD(Y$4-Actividades!$E16,IFERROR(VLOOKUP(Actividades!$D16,Listas!$A$2:$B$8,2,0),52))=0),"P",""))</f>
        <v/>
      </c>
      <c r="Z31" s="25" t="str">
        <f aca="false">IF($A31="","",IF(AND(N(Actividades!$E16)&gt;0,Z$4&gt;=Actividades!$E16,MOD(Z$4-Actividades!$E16,IFERROR(VLOOKUP(Actividades!$D16,Listas!$A$2:$B$8,2,0),52))=0),"P",""))</f>
        <v/>
      </c>
      <c r="AA31" s="25" t="str">
        <f aca="false">IF($A31="","",IF(AND(N(Actividades!$E16)&gt;0,AA$4&gt;=Actividades!$E16,MOD(AA$4-Actividades!$E16,IFERROR(VLOOKUP(Actividades!$D16,Listas!$A$2:$B$8,2,0),52))=0),"P",""))</f>
        <v/>
      </c>
      <c r="AB31" s="25" t="str">
        <f aca="false">IF($A31="","",IF(AND(N(Actividades!$E16)&gt;0,AB$4&gt;=Actividades!$E16,MOD(AB$4-Actividades!$E16,IFERROR(VLOOKUP(Actividades!$D16,Listas!$A$2:$B$8,2,0),52))=0),"P",""))</f>
        <v/>
      </c>
      <c r="AC31" s="25" t="str">
        <f aca="false">IF($A31="","",IF(AND(N(Actividades!$E16)&gt;0,AC$4&gt;=Actividades!$E16,MOD(AC$4-Actividades!$E16,IFERROR(VLOOKUP(Actividades!$D16,Listas!$A$2:$B$8,2,0),52))=0),"P",""))</f>
        <v/>
      </c>
      <c r="AD31" s="25" t="str">
        <f aca="false">IF($A31="","",IF(AND(N(Actividades!$E16)&gt;0,AD$4&gt;=Actividades!$E16,MOD(AD$4-Actividades!$E16,IFERROR(VLOOKUP(Actividades!$D16,Listas!$A$2:$B$8,2,0),52))=0),"P",""))</f>
        <v/>
      </c>
      <c r="AE31" s="25" t="str">
        <f aca="false">IF($A31="","",IF(AND(N(Actividades!$E16)&gt;0,AE$4&gt;=Actividades!$E16,MOD(AE$4-Actividades!$E16,IFERROR(VLOOKUP(Actividades!$D16,Listas!$A$2:$B$8,2,0),52))=0),"P",""))</f>
        <v/>
      </c>
      <c r="AF31" s="25" t="str">
        <f aca="false">IF($A31="","",IF(AND(N(Actividades!$E16)&gt;0,AF$4&gt;=Actividades!$E16,MOD(AF$4-Actividades!$E16,IFERROR(VLOOKUP(Actividades!$D16,Listas!$A$2:$B$8,2,0),52))=0),"P",""))</f>
        <v/>
      </c>
      <c r="AG31" s="25" t="str">
        <f aca="false">IF($A31="","",IF(AND(N(Actividades!$E16)&gt;0,AG$4&gt;=Actividades!$E16,MOD(AG$4-Actividades!$E16,IFERROR(VLOOKUP(Actividades!$D16,Listas!$A$2:$B$8,2,0),52))=0),"P",""))</f>
        <v/>
      </c>
      <c r="AH31" s="25" t="str">
        <f aca="false">IF($A31="","",IF(AND(N(Actividades!$E16)&gt;0,AH$4&gt;=Actividades!$E16,MOD(AH$4-Actividades!$E16,IFERROR(VLOOKUP(Actividades!$D16,Listas!$A$2:$B$8,2,0),52))=0),"P",""))</f>
        <v/>
      </c>
      <c r="AI31" s="25" t="str">
        <f aca="false">IF($A31="","",IF(AND(N(Actividades!$E16)&gt;0,AI$4&gt;=Actividades!$E16,MOD(AI$4-Actividades!$E16,IFERROR(VLOOKUP(Actividades!$D16,Listas!$A$2:$B$8,2,0),52))=0),"P",""))</f>
        <v/>
      </c>
      <c r="AJ31" s="25" t="str">
        <f aca="false">IF($A31="","",IF(AND(N(Actividades!$E16)&gt;0,AJ$4&gt;=Actividades!$E16,MOD(AJ$4-Actividades!$E16,IFERROR(VLOOKUP(Actividades!$D16,Listas!$A$2:$B$8,2,0),52))=0),"P",""))</f>
        <v/>
      </c>
      <c r="AK31" s="25" t="str">
        <f aca="false">IF($A31="","",IF(AND(N(Actividades!$E16)&gt;0,AK$4&gt;=Actividades!$E16,MOD(AK$4-Actividades!$E16,IFERROR(VLOOKUP(Actividades!$D16,Listas!$A$2:$B$8,2,0),52))=0),"P",""))</f>
        <v/>
      </c>
      <c r="AL31" s="25" t="str">
        <f aca="false">IF($A31="","",IF(AND(N(Actividades!$E16)&gt;0,AL$4&gt;=Actividades!$E16,MOD(AL$4-Actividades!$E16,IFERROR(VLOOKUP(Actividades!$D16,Listas!$A$2:$B$8,2,0),52))=0),"P",""))</f>
        <v/>
      </c>
      <c r="AM31" s="25" t="str">
        <f aca="false">IF($A31="","",IF(AND(N(Actividades!$E16)&gt;0,AM$4&gt;=Actividades!$E16,MOD(AM$4-Actividades!$E16,IFERROR(VLOOKUP(Actividades!$D16,Listas!$A$2:$B$8,2,0),52))=0),"P",""))</f>
        <v/>
      </c>
      <c r="AN31" s="25" t="str">
        <f aca="false">IF($A31="","",IF(AND(N(Actividades!$E16)&gt;0,AN$4&gt;=Actividades!$E16,MOD(AN$4-Actividades!$E16,IFERROR(VLOOKUP(Actividades!$D16,Listas!$A$2:$B$8,2,0),52))=0),"P",""))</f>
        <v/>
      </c>
      <c r="AO31" s="25" t="str">
        <f aca="false">IF($A31="","",IF(AND(N(Actividades!$E16)&gt;0,AO$4&gt;=Actividades!$E16,MOD(AO$4-Actividades!$E16,IFERROR(VLOOKUP(Actividades!$D16,Listas!$A$2:$B$8,2,0),52))=0),"P",""))</f>
        <v/>
      </c>
      <c r="AP31" s="25" t="str">
        <f aca="false">IF($A31="","",IF(AND(N(Actividades!$E16)&gt;0,AP$4&gt;=Actividades!$E16,MOD(AP$4-Actividades!$E16,IFERROR(VLOOKUP(Actividades!$D16,Listas!$A$2:$B$8,2,0),52))=0),"P",""))</f>
        <v/>
      </c>
      <c r="AQ31" s="25" t="str">
        <f aca="false">IF($A31="","",IF(AND(N(Actividades!$E16)&gt;0,AQ$4&gt;=Actividades!$E16,MOD(AQ$4-Actividades!$E16,IFERROR(VLOOKUP(Actividades!$D16,Listas!$A$2:$B$8,2,0),52))=0),"P",""))</f>
        <v/>
      </c>
      <c r="AR31" s="25" t="str">
        <f aca="false">IF($A31="","",IF(AND(N(Actividades!$E16)&gt;0,AR$4&gt;=Actividades!$E16,MOD(AR$4-Actividades!$E16,IFERROR(VLOOKUP(Actividades!$D16,Listas!$A$2:$B$8,2,0),52))=0),"P",""))</f>
        <v/>
      </c>
      <c r="AS31" s="25" t="str">
        <f aca="false">IF($A31="","",IF(AND(N(Actividades!$E16)&gt;0,AS$4&gt;=Actividades!$E16,MOD(AS$4-Actividades!$E16,IFERROR(VLOOKUP(Actividades!$D16,Listas!$A$2:$B$8,2,0),52))=0),"P",""))</f>
        <v/>
      </c>
      <c r="AT31" s="25" t="str">
        <f aca="false">IF($A31="","",IF(AND(N(Actividades!$E16)&gt;0,AT$4&gt;=Actividades!$E16,MOD(AT$4-Actividades!$E16,IFERROR(VLOOKUP(Actividades!$D16,Listas!$A$2:$B$8,2,0),52))=0),"P",""))</f>
        <v/>
      </c>
      <c r="AU31" s="25" t="str">
        <f aca="false">IF($A31="","",IF(AND(N(Actividades!$E16)&gt;0,AU$4&gt;=Actividades!$E16,MOD(AU$4-Actividades!$E16,IFERROR(VLOOKUP(Actividades!$D16,Listas!$A$2:$B$8,2,0),52))=0),"P",""))</f>
        <v/>
      </c>
      <c r="AV31" s="25" t="str">
        <f aca="false">IF($A31="","",IF(AND(N(Actividades!$E16)&gt;0,AV$4&gt;=Actividades!$E16,MOD(AV$4-Actividades!$E16,IFERROR(VLOOKUP(Actividades!$D16,Listas!$A$2:$B$8,2,0),52))=0),"P",""))</f>
        <v/>
      </c>
      <c r="AW31" s="25" t="str">
        <f aca="false">IF($A31="","",IF(AND(N(Actividades!$E16)&gt;0,AW$4&gt;=Actividades!$E16,MOD(AW$4-Actividades!$E16,IFERROR(VLOOKUP(Actividades!$D16,Listas!$A$2:$B$8,2,0),52))=0),"P",""))</f>
        <v/>
      </c>
      <c r="AX31" s="25" t="str">
        <f aca="false">IF($A31="","",IF(AND(N(Actividades!$E16)&gt;0,AX$4&gt;=Actividades!$E16,MOD(AX$4-Actividades!$E16,IFERROR(VLOOKUP(Actividades!$D16,Listas!$A$2:$B$8,2,0),52))=0),"P",""))</f>
        <v/>
      </c>
      <c r="AY31" s="25" t="str">
        <f aca="false">IF($A31="","",IF(AND(N(Actividades!$E16)&gt;0,AY$4&gt;=Actividades!$E16,MOD(AY$4-Actividades!$E16,IFERROR(VLOOKUP(Actividades!$D16,Listas!$A$2:$B$8,2,0),52))=0),"P",""))</f>
        <v/>
      </c>
      <c r="AZ31" s="25" t="str">
        <f aca="false">IF($A31="","",IF(AND(N(Actividades!$E16)&gt;0,AZ$4&gt;=Actividades!$E16,MOD(AZ$4-Actividades!$E16,IFERROR(VLOOKUP(Actividades!$D16,Listas!$A$2:$B$8,2,0),52))=0),"P",""))</f>
        <v/>
      </c>
      <c r="BA31" s="25" t="str">
        <f aca="false">IF($A31="","",IF(AND(N(Actividades!$E16)&gt;0,BA$4&gt;=Actividades!$E16,MOD(BA$4-Actividades!$E16,IFERROR(VLOOKUP(Actividades!$D16,Listas!$A$2:$B$8,2,0),52))=0),"P",""))</f>
        <v/>
      </c>
      <c r="BB31" s="25" t="str">
        <f aca="false">IF($A31="","",IF(AND(N(Actividades!$E16)&gt;0,BB$4&gt;=Actividades!$E16,MOD(BB$4-Actividades!$E16,IFERROR(VLOOKUP(Actividades!$D16,Listas!$A$2:$B$8,2,0),52))=0),"P",""))</f>
        <v/>
      </c>
      <c r="BC31" s="25" t="str">
        <f aca="false">IF($A31="","",IF(AND(N(Actividades!$E16)&gt;0,BC$4&gt;=Actividades!$E16,MOD(BC$4-Actividades!$E16,IFERROR(VLOOKUP(Actividades!$D16,Listas!$A$2:$B$8,2,0),52))=0),"P",""))</f>
        <v/>
      </c>
      <c r="BD31" s="26" t="str">
        <f aca="false">IF($A31="","",COUNTIF(D31:BC31,"P"))</f>
        <v/>
      </c>
      <c r="BE31" s="26" t="str">
        <f aca="false">IF($A31="","",SUMPRODUCT((D31:BC31="P")*(D32:BC32="✓")))</f>
        <v/>
      </c>
      <c r="BF31" s="27" t="str">
        <f aca="false">IF($A31="","",IF(BD31=0,"",BE31/BD31))</f>
        <v/>
      </c>
    </row>
    <row r="32" customFormat="false" ht="15" hidden="false" customHeight="false" outlineLevel="0" collapsed="false">
      <c r="A32" s="28"/>
      <c r="B32" s="28"/>
      <c r="C32" s="28" t="str">
        <f aca="false">IF($A31="","","Real")</f>
        <v/>
      </c>
      <c r="D32" s="29" t="str">
        <f aca="false">IF($A31="","",IF(COUNTIFS(Historial!$B$3:$B$502,$A31,Historial!$C$3:$C$502,$B31,Historial!$G$3:$G$502,D$4,Historial!$H$3:$H$502,$B$2)&gt;0,"✓",""))</f>
        <v/>
      </c>
      <c r="E32" s="29" t="str">
        <f aca="false">IF($A31="","",IF(COUNTIFS(Historial!$B$3:$B$502,$A31,Historial!$C$3:$C$502,$B31,Historial!$G$3:$G$502,E$4,Historial!$H$3:$H$502,$B$2)&gt;0,"✓",""))</f>
        <v/>
      </c>
      <c r="F32" s="29" t="str">
        <f aca="false">IF($A31="","",IF(COUNTIFS(Historial!$B$3:$B$502,$A31,Historial!$C$3:$C$502,$B31,Historial!$G$3:$G$502,F$4,Historial!$H$3:$H$502,$B$2)&gt;0,"✓",""))</f>
        <v/>
      </c>
      <c r="G32" s="29" t="str">
        <f aca="false">IF($A31="","",IF(COUNTIFS(Historial!$B$3:$B$502,$A31,Historial!$C$3:$C$502,$B31,Historial!$G$3:$G$502,G$4,Historial!$H$3:$H$502,$B$2)&gt;0,"✓",""))</f>
        <v/>
      </c>
      <c r="H32" s="29" t="str">
        <f aca="false">IF($A31="","",IF(COUNTIFS(Historial!$B$3:$B$502,$A31,Historial!$C$3:$C$502,$B31,Historial!$G$3:$G$502,H$4,Historial!$H$3:$H$502,$B$2)&gt;0,"✓",""))</f>
        <v/>
      </c>
      <c r="I32" s="29" t="str">
        <f aca="false">IF($A31="","",IF(COUNTIFS(Historial!$B$3:$B$502,$A31,Historial!$C$3:$C$502,$B31,Historial!$G$3:$G$502,I$4,Historial!$H$3:$H$502,$B$2)&gt;0,"✓",""))</f>
        <v/>
      </c>
      <c r="J32" s="29" t="str">
        <f aca="false">IF($A31="","",IF(COUNTIFS(Historial!$B$3:$B$502,$A31,Historial!$C$3:$C$502,$B31,Historial!$G$3:$G$502,J$4,Historial!$H$3:$H$502,$B$2)&gt;0,"✓",""))</f>
        <v/>
      </c>
      <c r="K32" s="29" t="str">
        <f aca="false">IF($A31="","",IF(COUNTIFS(Historial!$B$3:$B$502,$A31,Historial!$C$3:$C$502,$B31,Historial!$G$3:$G$502,K$4,Historial!$H$3:$H$502,$B$2)&gt;0,"✓",""))</f>
        <v/>
      </c>
      <c r="L32" s="29" t="str">
        <f aca="false">IF($A31="","",IF(COUNTIFS(Historial!$B$3:$B$502,$A31,Historial!$C$3:$C$502,$B31,Historial!$G$3:$G$502,L$4,Historial!$H$3:$H$502,$B$2)&gt;0,"✓",""))</f>
        <v/>
      </c>
      <c r="M32" s="29" t="str">
        <f aca="false">IF($A31="","",IF(COUNTIFS(Historial!$B$3:$B$502,$A31,Historial!$C$3:$C$502,$B31,Historial!$G$3:$G$502,M$4,Historial!$H$3:$H$502,$B$2)&gt;0,"✓",""))</f>
        <v/>
      </c>
      <c r="N32" s="29" t="str">
        <f aca="false">IF($A31="","",IF(COUNTIFS(Historial!$B$3:$B$502,$A31,Historial!$C$3:$C$502,$B31,Historial!$G$3:$G$502,N$4,Historial!$H$3:$H$502,$B$2)&gt;0,"✓",""))</f>
        <v/>
      </c>
      <c r="O32" s="29" t="str">
        <f aca="false">IF($A31="","",IF(COUNTIFS(Historial!$B$3:$B$502,$A31,Historial!$C$3:$C$502,$B31,Historial!$G$3:$G$502,O$4,Historial!$H$3:$H$502,$B$2)&gt;0,"✓",""))</f>
        <v/>
      </c>
      <c r="P32" s="29" t="str">
        <f aca="false">IF($A31="","",IF(COUNTIFS(Historial!$B$3:$B$502,$A31,Historial!$C$3:$C$502,$B31,Historial!$G$3:$G$502,P$4,Historial!$H$3:$H$502,$B$2)&gt;0,"✓",""))</f>
        <v/>
      </c>
      <c r="Q32" s="29" t="str">
        <f aca="false">IF($A31="","",IF(COUNTIFS(Historial!$B$3:$B$502,$A31,Historial!$C$3:$C$502,$B31,Historial!$G$3:$G$502,Q$4,Historial!$H$3:$H$502,$B$2)&gt;0,"✓",""))</f>
        <v/>
      </c>
      <c r="R32" s="29" t="str">
        <f aca="false">IF($A31="","",IF(COUNTIFS(Historial!$B$3:$B$502,$A31,Historial!$C$3:$C$502,$B31,Historial!$G$3:$G$502,R$4,Historial!$H$3:$H$502,$B$2)&gt;0,"✓",""))</f>
        <v/>
      </c>
      <c r="S32" s="29" t="str">
        <f aca="false">IF($A31="","",IF(COUNTIFS(Historial!$B$3:$B$502,$A31,Historial!$C$3:$C$502,$B31,Historial!$G$3:$G$502,S$4,Historial!$H$3:$H$502,$B$2)&gt;0,"✓",""))</f>
        <v/>
      </c>
      <c r="T32" s="29" t="str">
        <f aca="false">IF($A31="","",IF(COUNTIFS(Historial!$B$3:$B$502,$A31,Historial!$C$3:$C$502,$B31,Historial!$G$3:$G$502,T$4,Historial!$H$3:$H$502,$B$2)&gt;0,"✓",""))</f>
        <v/>
      </c>
      <c r="U32" s="29" t="str">
        <f aca="false">IF($A31="","",IF(COUNTIFS(Historial!$B$3:$B$502,$A31,Historial!$C$3:$C$502,$B31,Historial!$G$3:$G$502,U$4,Historial!$H$3:$H$502,$B$2)&gt;0,"✓",""))</f>
        <v/>
      </c>
      <c r="V32" s="29" t="str">
        <f aca="false">IF($A31="","",IF(COUNTIFS(Historial!$B$3:$B$502,$A31,Historial!$C$3:$C$502,$B31,Historial!$G$3:$G$502,V$4,Historial!$H$3:$H$502,$B$2)&gt;0,"✓",""))</f>
        <v/>
      </c>
      <c r="W32" s="29" t="str">
        <f aca="false">IF($A31="","",IF(COUNTIFS(Historial!$B$3:$B$502,$A31,Historial!$C$3:$C$502,$B31,Historial!$G$3:$G$502,W$4,Historial!$H$3:$H$502,$B$2)&gt;0,"✓",""))</f>
        <v/>
      </c>
      <c r="X32" s="29" t="str">
        <f aca="false">IF($A31="","",IF(COUNTIFS(Historial!$B$3:$B$502,$A31,Historial!$C$3:$C$502,$B31,Historial!$G$3:$G$502,X$4,Historial!$H$3:$H$502,$B$2)&gt;0,"✓",""))</f>
        <v/>
      </c>
      <c r="Y32" s="29" t="str">
        <f aca="false">IF($A31="","",IF(COUNTIFS(Historial!$B$3:$B$502,$A31,Historial!$C$3:$C$502,$B31,Historial!$G$3:$G$502,Y$4,Historial!$H$3:$H$502,$B$2)&gt;0,"✓",""))</f>
        <v/>
      </c>
      <c r="Z32" s="29" t="str">
        <f aca="false">IF($A31="","",IF(COUNTIFS(Historial!$B$3:$B$502,$A31,Historial!$C$3:$C$502,$B31,Historial!$G$3:$G$502,Z$4,Historial!$H$3:$H$502,$B$2)&gt;0,"✓",""))</f>
        <v/>
      </c>
      <c r="AA32" s="29" t="str">
        <f aca="false">IF($A31="","",IF(COUNTIFS(Historial!$B$3:$B$502,$A31,Historial!$C$3:$C$502,$B31,Historial!$G$3:$G$502,AA$4,Historial!$H$3:$H$502,$B$2)&gt;0,"✓",""))</f>
        <v/>
      </c>
      <c r="AB32" s="29" t="str">
        <f aca="false">IF($A31="","",IF(COUNTIFS(Historial!$B$3:$B$502,$A31,Historial!$C$3:$C$502,$B31,Historial!$G$3:$G$502,AB$4,Historial!$H$3:$H$502,$B$2)&gt;0,"✓",""))</f>
        <v/>
      </c>
      <c r="AC32" s="29" t="str">
        <f aca="false">IF($A31="","",IF(COUNTIFS(Historial!$B$3:$B$502,$A31,Historial!$C$3:$C$502,$B31,Historial!$G$3:$G$502,AC$4,Historial!$H$3:$H$502,$B$2)&gt;0,"✓",""))</f>
        <v/>
      </c>
      <c r="AD32" s="29" t="str">
        <f aca="false">IF($A31="","",IF(COUNTIFS(Historial!$B$3:$B$502,$A31,Historial!$C$3:$C$502,$B31,Historial!$G$3:$G$502,AD$4,Historial!$H$3:$H$502,$B$2)&gt;0,"✓",""))</f>
        <v/>
      </c>
      <c r="AE32" s="29" t="str">
        <f aca="false">IF($A31="","",IF(COUNTIFS(Historial!$B$3:$B$502,$A31,Historial!$C$3:$C$502,$B31,Historial!$G$3:$G$502,AE$4,Historial!$H$3:$H$502,$B$2)&gt;0,"✓",""))</f>
        <v/>
      </c>
      <c r="AF32" s="29" t="str">
        <f aca="false">IF($A31="","",IF(COUNTIFS(Historial!$B$3:$B$502,$A31,Historial!$C$3:$C$502,$B31,Historial!$G$3:$G$502,AF$4,Historial!$H$3:$H$502,$B$2)&gt;0,"✓",""))</f>
        <v/>
      </c>
      <c r="AG32" s="29" t="str">
        <f aca="false">IF($A31="","",IF(COUNTIFS(Historial!$B$3:$B$502,$A31,Historial!$C$3:$C$502,$B31,Historial!$G$3:$G$502,AG$4,Historial!$H$3:$H$502,$B$2)&gt;0,"✓",""))</f>
        <v/>
      </c>
      <c r="AH32" s="29" t="str">
        <f aca="false">IF($A31="","",IF(COUNTIFS(Historial!$B$3:$B$502,$A31,Historial!$C$3:$C$502,$B31,Historial!$G$3:$G$502,AH$4,Historial!$H$3:$H$502,$B$2)&gt;0,"✓",""))</f>
        <v/>
      </c>
      <c r="AI32" s="29" t="str">
        <f aca="false">IF($A31="","",IF(COUNTIFS(Historial!$B$3:$B$502,$A31,Historial!$C$3:$C$502,$B31,Historial!$G$3:$G$502,AI$4,Historial!$H$3:$H$502,$B$2)&gt;0,"✓",""))</f>
        <v/>
      </c>
      <c r="AJ32" s="29" t="str">
        <f aca="false">IF($A31="","",IF(COUNTIFS(Historial!$B$3:$B$502,$A31,Historial!$C$3:$C$502,$B31,Historial!$G$3:$G$502,AJ$4,Historial!$H$3:$H$502,$B$2)&gt;0,"✓",""))</f>
        <v/>
      </c>
      <c r="AK32" s="29" t="str">
        <f aca="false">IF($A31="","",IF(COUNTIFS(Historial!$B$3:$B$502,$A31,Historial!$C$3:$C$502,$B31,Historial!$G$3:$G$502,AK$4,Historial!$H$3:$H$502,$B$2)&gt;0,"✓",""))</f>
        <v/>
      </c>
      <c r="AL32" s="29" t="str">
        <f aca="false">IF($A31="","",IF(COUNTIFS(Historial!$B$3:$B$502,$A31,Historial!$C$3:$C$502,$B31,Historial!$G$3:$G$502,AL$4,Historial!$H$3:$H$502,$B$2)&gt;0,"✓",""))</f>
        <v/>
      </c>
      <c r="AM32" s="29" t="str">
        <f aca="false">IF($A31="","",IF(COUNTIFS(Historial!$B$3:$B$502,$A31,Historial!$C$3:$C$502,$B31,Historial!$G$3:$G$502,AM$4,Historial!$H$3:$H$502,$B$2)&gt;0,"✓",""))</f>
        <v/>
      </c>
      <c r="AN32" s="29" t="str">
        <f aca="false">IF($A31="","",IF(COUNTIFS(Historial!$B$3:$B$502,$A31,Historial!$C$3:$C$502,$B31,Historial!$G$3:$G$502,AN$4,Historial!$H$3:$H$502,$B$2)&gt;0,"✓",""))</f>
        <v/>
      </c>
      <c r="AO32" s="29" t="str">
        <f aca="false">IF($A31="","",IF(COUNTIFS(Historial!$B$3:$B$502,$A31,Historial!$C$3:$C$502,$B31,Historial!$G$3:$G$502,AO$4,Historial!$H$3:$H$502,$B$2)&gt;0,"✓",""))</f>
        <v/>
      </c>
      <c r="AP32" s="29" t="str">
        <f aca="false">IF($A31="","",IF(COUNTIFS(Historial!$B$3:$B$502,$A31,Historial!$C$3:$C$502,$B31,Historial!$G$3:$G$502,AP$4,Historial!$H$3:$H$502,$B$2)&gt;0,"✓",""))</f>
        <v/>
      </c>
      <c r="AQ32" s="29" t="str">
        <f aca="false">IF($A31="","",IF(COUNTIFS(Historial!$B$3:$B$502,$A31,Historial!$C$3:$C$502,$B31,Historial!$G$3:$G$502,AQ$4,Historial!$H$3:$H$502,$B$2)&gt;0,"✓",""))</f>
        <v/>
      </c>
      <c r="AR32" s="29" t="str">
        <f aca="false">IF($A31="","",IF(COUNTIFS(Historial!$B$3:$B$502,$A31,Historial!$C$3:$C$502,$B31,Historial!$G$3:$G$502,AR$4,Historial!$H$3:$H$502,$B$2)&gt;0,"✓",""))</f>
        <v/>
      </c>
      <c r="AS32" s="29" t="str">
        <f aca="false">IF($A31="","",IF(COUNTIFS(Historial!$B$3:$B$502,$A31,Historial!$C$3:$C$502,$B31,Historial!$G$3:$G$502,AS$4,Historial!$H$3:$H$502,$B$2)&gt;0,"✓",""))</f>
        <v/>
      </c>
      <c r="AT32" s="29" t="str">
        <f aca="false">IF($A31="","",IF(COUNTIFS(Historial!$B$3:$B$502,$A31,Historial!$C$3:$C$502,$B31,Historial!$G$3:$G$502,AT$4,Historial!$H$3:$H$502,$B$2)&gt;0,"✓",""))</f>
        <v/>
      </c>
      <c r="AU32" s="29" t="str">
        <f aca="false">IF($A31="","",IF(COUNTIFS(Historial!$B$3:$B$502,$A31,Historial!$C$3:$C$502,$B31,Historial!$G$3:$G$502,AU$4,Historial!$H$3:$H$502,$B$2)&gt;0,"✓",""))</f>
        <v/>
      </c>
      <c r="AV32" s="29" t="str">
        <f aca="false">IF($A31="","",IF(COUNTIFS(Historial!$B$3:$B$502,$A31,Historial!$C$3:$C$502,$B31,Historial!$G$3:$G$502,AV$4,Historial!$H$3:$H$502,$B$2)&gt;0,"✓",""))</f>
        <v/>
      </c>
      <c r="AW32" s="29" t="str">
        <f aca="false">IF($A31="","",IF(COUNTIFS(Historial!$B$3:$B$502,$A31,Historial!$C$3:$C$502,$B31,Historial!$G$3:$G$502,AW$4,Historial!$H$3:$H$502,$B$2)&gt;0,"✓",""))</f>
        <v/>
      </c>
      <c r="AX32" s="29" t="str">
        <f aca="false">IF($A31="","",IF(COUNTIFS(Historial!$B$3:$B$502,$A31,Historial!$C$3:$C$502,$B31,Historial!$G$3:$G$502,AX$4,Historial!$H$3:$H$502,$B$2)&gt;0,"✓",""))</f>
        <v/>
      </c>
      <c r="AY32" s="29" t="str">
        <f aca="false">IF($A31="","",IF(COUNTIFS(Historial!$B$3:$B$502,$A31,Historial!$C$3:$C$502,$B31,Historial!$G$3:$G$502,AY$4,Historial!$H$3:$H$502,$B$2)&gt;0,"✓",""))</f>
        <v/>
      </c>
      <c r="AZ32" s="29" t="str">
        <f aca="false">IF($A31="","",IF(COUNTIFS(Historial!$B$3:$B$502,$A31,Historial!$C$3:$C$502,$B31,Historial!$G$3:$G$502,AZ$4,Historial!$H$3:$H$502,$B$2)&gt;0,"✓",""))</f>
        <v/>
      </c>
      <c r="BA32" s="29" t="str">
        <f aca="false">IF($A31="","",IF(COUNTIFS(Historial!$B$3:$B$502,$A31,Historial!$C$3:$C$502,$B31,Historial!$G$3:$G$502,BA$4,Historial!$H$3:$H$502,$B$2)&gt;0,"✓",""))</f>
        <v/>
      </c>
      <c r="BB32" s="29" t="str">
        <f aca="false">IF($A31="","",IF(COUNTIFS(Historial!$B$3:$B$502,$A31,Historial!$C$3:$C$502,$B31,Historial!$G$3:$G$502,BB$4,Historial!$H$3:$H$502,$B$2)&gt;0,"✓",""))</f>
        <v/>
      </c>
      <c r="BC32" s="29" t="str">
        <f aca="false">IF($A31="","",IF(COUNTIFS(Historial!$B$3:$B$502,$A31,Historial!$C$3:$C$502,$B31,Historial!$G$3:$G$502,BC$4,Historial!$H$3:$H$502,$B$2)&gt;0,"✓",""))</f>
        <v/>
      </c>
      <c r="BD32" s="29"/>
      <c r="BE32" s="29"/>
      <c r="BF32" s="29"/>
    </row>
    <row r="33" customFormat="false" ht="15" hidden="false" customHeight="false" outlineLevel="0" collapsed="false">
      <c r="A33" s="24" t="str">
        <f aca="false">IF(Actividades!$B17="","",Actividades!$B17)</f>
        <v/>
      </c>
      <c r="B33" s="24" t="str">
        <f aca="false">IF(Actividades!$C17="","",Actividades!$C17)</f>
        <v/>
      </c>
      <c r="C33" s="24" t="str">
        <f aca="false">IF($A33="","","Plan")</f>
        <v/>
      </c>
      <c r="D33" s="25" t="str">
        <f aca="false">IF($A33="","",IF(AND(N(Actividades!$E17)&gt;0,D$4&gt;=Actividades!$E17,MOD(D$4-Actividades!$E17,IFERROR(VLOOKUP(Actividades!$D17,Listas!$A$2:$B$8,2,0),52))=0),"P",""))</f>
        <v/>
      </c>
      <c r="E33" s="25" t="str">
        <f aca="false">IF($A33="","",IF(AND(N(Actividades!$E17)&gt;0,E$4&gt;=Actividades!$E17,MOD(E$4-Actividades!$E17,IFERROR(VLOOKUP(Actividades!$D17,Listas!$A$2:$B$8,2,0),52))=0),"P",""))</f>
        <v/>
      </c>
      <c r="F33" s="25" t="str">
        <f aca="false">IF($A33="","",IF(AND(N(Actividades!$E17)&gt;0,F$4&gt;=Actividades!$E17,MOD(F$4-Actividades!$E17,IFERROR(VLOOKUP(Actividades!$D17,Listas!$A$2:$B$8,2,0),52))=0),"P",""))</f>
        <v/>
      </c>
      <c r="G33" s="25" t="str">
        <f aca="false">IF($A33="","",IF(AND(N(Actividades!$E17)&gt;0,G$4&gt;=Actividades!$E17,MOD(G$4-Actividades!$E17,IFERROR(VLOOKUP(Actividades!$D17,Listas!$A$2:$B$8,2,0),52))=0),"P",""))</f>
        <v/>
      </c>
      <c r="H33" s="25" t="str">
        <f aca="false">IF($A33="","",IF(AND(N(Actividades!$E17)&gt;0,H$4&gt;=Actividades!$E17,MOD(H$4-Actividades!$E17,IFERROR(VLOOKUP(Actividades!$D17,Listas!$A$2:$B$8,2,0),52))=0),"P",""))</f>
        <v/>
      </c>
      <c r="I33" s="25" t="str">
        <f aca="false">IF($A33="","",IF(AND(N(Actividades!$E17)&gt;0,I$4&gt;=Actividades!$E17,MOD(I$4-Actividades!$E17,IFERROR(VLOOKUP(Actividades!$D17,Listas!$A$2:$B$8,2,0),52))=0),"P",""))</f>
        <v/>
      </c>
      <c r="J33" s="25" t="str">
        <f aca="false">IF($A33="","",IF(AND(N(Actividades!$E17)&gt;0,J$4&gt;=Actividades!$E17,MOD(J$4-Actividades!$E17,IFERROR(VLOOKUP(Actividades!$D17,Listas!$A$2:$B$8,2,0),52))=0),"P",""))</f>
        <v/>
      </c>
      <c r="K33" s="25" t="str">
        <f aca="false">IF($A33="","",IF(AND(N(Actividades!$E17)&gt;0,K$4&gt;=Actividades!$E17,MOD(K$4-Actividades!$E17,IFERROR(VLOOKUP(Actividades!$D17,Listas!$A$2:$B$8,2,0),52))=0),"P",""))</f>
        <v/>
      </c>
      <c r="L33" s="25" t="str">
        <f aca="false">IF($A33="","",IF(AND(N(Actividades!$E17)&gt;0,L$4&gt;=Actividades!$E17,MOD(L$4-Actividades!$E17,IFERROR(VLOOKUP(Actividades!$D17,Listas!$A$2:$B$8,2,0),52))=0),"P",""))</f>
        <v/>
      </c>
      <c r="M33" s="25" t="str">
        <f aca="false">IF($A33="","",IF(AND(N(Actividades!$E17)&gt;0,M$4&gt;=Actividades!$E17,MOD(M$4-Actividades!$E17,IFERROR(VLOOKUP(Actividades!$D17,Listas!$A$2:$B$8,2,0),52))=0),"P",""))</f>
        <v/>
      </c>
      <c r="N33" s="25" t="str">
        <f aca="false">IF($A33="","",IF(AND(N(Actividades!$E17)&gt;0,N$4&gt;=Actividades!$E17,MOD(N$4-Actividades!$E17,IFERROR(VLOOKUP(Actividades!$D17,Listas!$A$2:$B$8,2,0),52))=0),"P",""))</f>
        <v/>
      </c>
      <c r="O33" s="25" t="str">
        <f aca="false">IF($A33="","",IF(AND(N(Actividades!$E17)&gt;0,O$4&gt;=Actividades!$E17,MOD(O$4-Actividades!$E17,IFERROR(VLOOKUP(Actividades!$D17,Listas!$A$2:$B$8,2,0),52))=0),"P",""))</f>
        <v/>
      </c>
      <c r="P33" s="25" t="str">
        <f aca="false">IF($A33="","",IF(AND(N(Actividades!$E17)&gt;0,P$4&gt;=Actividades!$E17,MOD(P$4-Actividades!$E17,IFERROR(VLOOKUP(Actividades!$D17,Listas!$A$2:$B$8,2,0),52))=0),"P",""))</f>
        <v/>
      </c>
      <c r="Q33" s="25" t="str">
        <f aca="false">IF($A33="","",IF(AND(N(Actividades!$E17)&gt;0,Q$4&gt;=Actividades!$E17,MOD(Q$4-Actividades!$E17,IFERROR(VLOOKUP(Actividades!$D17,Listas!$A$2:$B$8,2,0),52))=0),"P",""))</f>
        <v/>
      </c>
      <c r="R33" s="25" t="str">
        <f aca="false">IF($A33="","",IF(AND(N(Actividades!$E17)&gt;0,R$4&gt;=Actividades!$E17,MOD(R$4-Actividades!$E17,IFERROR(VLOOKUP(Actividades!$D17,Listas!$A$2:$B$8,2,0),52))=0),"P",""))</f>
        <v/>
      </c>
      <c r="S33" s="25" t="str">
        <f aca="false">IF($A33="","",IF(AND(N(Actividades!$E17)&gt;0,S$4&gt;=Actividades!$E17,MOD(S$4-Actividades!$E17,IFERROR(VLOOKUP(Actividades!$D17,Listas!$A$2:$B$8,2,0),52))=0),"P",""))</f>
        <v/>
      </c>
      <c r="T33" s="25" t="str">
        <f aca="false">IF($A33="","",IF(AND(N(Actividades!$E17)&gt;0,T$4&gt;=Actividades!$E17,MOD(T$4-Actividades!$E17,IFERROR(VLOOKUP(Actividades!$D17,Listas!$A$2:$B$8,2,0),52))=0),"P",""))</f>
        <v/>
      </c>
      <c r="U33" s="25" t="str">
        <f aca="false">IF($A33="","",IF(AND(N(Actividades!$E17)&gt;0,U$4&gt;=Actividades!$E17,MOD(U$4-Actividades!$E17,IFERROR(VLOOKUP(Actividades!$D17,Listas!$A$2:$B$8,2,0),52))=0),"P",""))</f>
        <v/>
      </c>
      <c r="V33" s="25" t="str">
        <f aca="false">IF($A33="","",IF(AND(N(Actividades!$E17)&gt;0,V$4&gt;=Actividades!$E17,MOD(V$4-Actividades!$E17,IFERROR(VLOOKUP(Actividades!$D17,Listas!$A$2:$B$8,2,0),52))=0),"P",""))</f>
        <v/>
      </c>
      <c r="W33" s="25" t="str">
        <f aca="false">IF($A33="","",IF(AND(N(Actividades!$E17)&gt;0,W$4&gt;=Actividades!$E17,MOD(W$4-Actividades!$E17,IFERROR(VLOOKUP(Actividades!$D17,Listas!$A$2:$B$8,2,0),52))=0),"P",""))</f>
        <v/>
      </c>
      <c r="X33" s="25" t="str">
        <f aca="false">IF($A33="","",IF(AND(N(Actividades!$E17)&gt;0,X$4&gt;=Actividades!$E17,MOD(X$4-Actividades!$E17,IFERROR(VLOOKUP(Actividades!$D17,Listas!$A$2:$B$8,2,0),52))=0),"P",""))</f>
        <v/>
      </c>
      <c r="Y33" s="25" t="str">
        <f aca="false">IF($A33="","",IF(AND(N(Actividades!$E17)&gt;0,Y$4&gt;=Actividades!$E17,MOD(Y$4-Actividades!$E17,IFERROR(VLOOKUP(Actividades!$D17,Listas!$A$2:$B$8,2,0),52))=0),"P",""))</f>
        <v/>
      </c>
      <c r="Z33" s="25" t="str">
        <f aca="false">IF($A33="","",IF(AND(N(Actividades!$E17)&gt;0,Z$4&gt;=Actividades!$E17,MOD(Z$4-Actividades!$E17,IFERROR(VLOOKUP(Actividades!$D17,Listas!$A$2:$B$8,2,0),52))=0),"P",""))</f>
        <v/>
      </c>
      <c r="AA33" s="25" t="str">
        <f aca="false">IF($A33="","",IF(AND(N(Actividades!$E17)&gt;0,AA$4&gt;=Actividades!$E17,MOD(AA$4-Actividades!$E17,IFERROR(VLOOKUP(Actividades!$D17,Listas!$A$2:$B$8,2,0),52))=0),"P",""))</f>
        <v/>
      </c>
      <c r="AB33" s="25" t="str">
        <f aca="false">IF($A33="","",IF(AND(N(Actividades!$E17)&gt;0,AB$4&gt;=Actividades!$E17,MOD(AB$4-Actividades!$E17,IFERROR(VLOOKUP(Actividades!$D17,Listas!$A$2:$B$8,2,0),52))=0),"P",""))</f>
        <v/>
      </c>
      <c r="AC33" s="25" t="str">
        <f aca="false">IF($A33="","",IF(AND(N(Actividades!$E17)&gt;0,AC$4&gt;=Actividades!$E17,MOD(AC$4-Actividades!$E17,IFERROR(VLOOKUP(Actividades!$D17,Listas!$A$2:$B$8,2,0),52))=0),"P",""))</f>
        <v/>
      </c>
      <c r="AD33" s="25" t="str">
        <f aca="false">IF($A33="","",IF(AND(N(Actividades!$E17)&gt;0,AD$4&gt;=Actividades!$E17,MOD(AD$4-Actividades!$E17,IFERROR(VLOOKUP(Actividades!$D17,Listas!$A$2:$B$8,2,0),52))=0),"P",""))</f>
        <v/>
      </c>
      <c r="AE33" s="25" t="str">
        <f aca="false">IF($A33="","",IF(AND(N(Actividades!$E17)&gt;0,AE$4&gt;=Actividades!$E17,MOD(AE$4-Actividades!$E17,IFERROR(VLOOKUP(Actividades!$D17,Listas!$A$2:$B$8,2,0),52))=0),"P",""))</f>
        <v/>
      </c>
      <c r="AF33" s="25" t="str">
        <f aca="false">IF($A33="","",IF(AND(N(Actividades!$E17)&gt;0,AF$4&gt;=Actividades!$E17,MOD(AF$4-Actividades!$E17,IFERROR(VLOOKUP(Actividades!$D17,Listas!$A$2:$B$8,2,0),52))=0),"P",""))</f>
        <v/>
      </c>
      <c r="AG33" s="25" t="str">
        <f aca="false">IF($A33="","",IF(AND(N(Actividades!$E17)&gt;0,AG$4&gt;=Actividades!$E17,MOD(AG$4-Actividades!$E17,IFERROR(VLOOKUP(Actividades!$D17,Listas!$A$2:$B$8,2,0),52))=0),"P",""))</f>
        <v/>
      </c>
      <c r="AH33" s="25" t="str">
        <f aca="false">IF($A33="","",IF(AND(N(Actividades!$E17)&gt;0,AH$4&gt;=Actividades!$E17,MOD(AH$4-Actividades!$E17,IFERROR(VLOOKUP(Actividades!$D17,Listas!$A$2:$B$8,2,0),52))=0),"P",""))</f>
        <v/>
      </c>
      <c r="AI33" s="25" t="str">
        <f aca="false">IF($A33="","",IF(AND(N(Actividades!$E17)&gt;0,AI$4&gt;=Actividades!$E17,MOD(AI$4-Actividades!$E17,IFERROR(VLOOKUP(Actividades!$D17,Listas!$A$2:$B$8,2,0),52))=0),"P",""))</f>
        <v/>
      </c>
      <c r="AJ33" s="25" t="str">
        <f aca="false">IF($A33="","",IF(AND(N(Actividades!$E17)&gt;0,AJ$4&gt;=Actividades!$E17,MOD(AJ$4-Actividades!$E17,IFERROR(VLOOKUP(Actividades!$D17,Listas!$A$2:$B$8,2,0),52))=0),"P",""))</f>
        <v/>
      </c>
      <c r="AK33" s="25" t="str">
        <f aca="false">IF($A33="","",IF(AND(N(Actividades!$E17)&gt;0,AK$4&gt;=Actividades!$E17,MOD(AK$4-Actividades!$E17,IFERROR(VLOOKUP(Actividades!$D17,Listas!$A$2:$B$8,2,0),52))=0),"P",""))</f>
        <v/>
      </c>
      <c r="AL33" s="25" t="str">
        <f aca="false">IF($A33="","",IF(AND(N(Actividades!$E17)&gt;0,AL$4&gt;=Actividades!$E17,MOD(AL$4-Actividades!$E17,IFERROR(VLOOKUP(Actividades!$D17,Listas!$A$2:$B$8,2,0),52))=0),"P",""))</f>
        <v/>
      </c>
      <c r="AM33" s="25" t="str">
        <f aca="false">IF($A33="","",IF(AND(N(Actividades!$E17)&gt;0,AM$4&gt;=Actividades!$E17,MOD(AM$4-Actividades!$E17,IFERROR(VLOOKUP(Actividades!$D17,Listas!$A$2:$B$8,2,0),52))=0),"P",""))</f>
        <v/>
      </c>
      <c r="AN33" s="25" t="str">
        <f aca="false">IF($A33="","",IF(AND(N(Actividades!$E17)&gt;0,AN$4&gt;=Actividades!$E17,MOD(AN$4-Actividades!$E17,IFERROR(VLOOKUP(Actividades!$D17,Listas!$A$2:$B$8,2,0),52))=0),"P",""))</f>
        <v/>
      </c>
      <c r="AO33" s="25" t="str">
        <f aca="false">IF($A33="","",IF(AND(N(Actividades!$E17)&gt;0,AO$4&gt;=Actividades!$E17,MOD(AO$4-Actividades!$E17,IFERROR(VLOOKUP(Actividades!$D17,Listas!$A$2:$B$8,2,0),52))=0),"P",""))</f>
        <v/>
      </c>
      <c r="AP33" s="25" t="str">
        <f aca="false">IF($A33="","",IF(AND(N(Actividades!$E17)&gt;0,AP$4&gt;=Actividades!$E17,MOD(AP$4-Actividades!$E17,IFERROR(VLOOKUP(Actividades!$D17,Listas!$A$2:$B$8,2,0),52))=0),"P",""))</f>
        <v/>
      </c>
      <c r="AQ33" s="25" t="str">
        <f aca="false">IF($A33="","",IF(AND(N(Actividades!$E17)&gt;0,AQ$4&gt;=Actividades!$E17,MOD(AQ$4-Actividades!$E17,IFERROR(VLOOKUP(Actividades!$D17,Listas!$A$2:$B$8,2,0),52))=0),"P",""))</f>
        <v/>
      </c>
      <c r="AR33" s="25" t="str">
        <f aca="false">IF($A33="","",IF(AND(N(Actividades!$E17)&gt;0,AR$4&gt;=Actividades!$E17,MOD(AR$4-Actividades!$E17,IFERROR(VLOOKUP(Actividades!$D17,Listas!$A$2:$B$8,2,0),52))=0),"P",""))</f>
        <v/>
      </c>
      <c r="AS33" s="25" t="str">
        <f aca="false">IF($A33="","",IF(AND(N(Actividades!$E17)&gt;0,AS$4&gt;=Actividades!$E17,MOD(AS$4-Actividades!$E17,IFERROR(VLOOKUP(Actividades!$D17,Listas!$A$2:$B$8,2,0),52))=0),"P",""))</f>
        <v/>
      </c>
      <c r="AT33" s="25" t="str">
        <f aca="false">IF($A33="","",IF(AND(N(Actividades!$E17)&gt;0,AT$4&gt;=Actividades!$E17,MOD(AT$4-Actividades!$E17,IFERROR(VLOOKUP(Actividades!$D17,Listas!$A$2:$B$8,2,0),52))=0),"P",""))</f>
        <v/>
      </c>
      <c r="AU33" s="25" t="str">
        <f aca="false">IF($A33="","",IF(AND(N(Actividades!$E17)&gt;0,AU$4&gt;=Actividades!$E17,MOD(AU$4-Actividades!$E17,IFERROR(VLOOKUP(Actividades!$D17,Listas!$A$2:$B$8,2,0),52))=0),"P",""))</f>
        <v/>
      </c>
      <c r="AV33" s="25" t="str">
        <f aca="false">IF($A33="","",IF(AND(N(Actividades!$E17)&gt;0,AV$4&gt;=Actividades!$E17,MOD(AV$4-Actividades!$E17,IFERROR(VLOOKUP(Actividades!$D17,Listas!$A$2:$B$8,2,0),52))=0),"P",""))</f>
        <v/>
      </c>
      <c r="AW33" s="25" t="str">
        <f aca="false">IF($A33="","",IF(AND(N(Actividades!$E17)&gt;0,AW$4&gt;=Actividades!$E17,MOD(AW$4-Actividades!$E17,IFERROR(VLOOKUP(Actividades!$D17,Listas!$A$2:$B$8,2,0),52))=0),"P",""))</f>
        <v/>
      </c>
      <c r="AX33" s="25" t="str">
        <f aca="false">IF($A33="","",IF(AND(N(Actividades!$E17)&gt;0,AX$4&gt;=Actividades!$E17,MOD(AX$4-Actividades!$E17,IFERROR(VLOOKUP(Actividades!$D17,Listas!$A$2:$B$8,2,0),52))=0),"P",""))</f>
        <v/>
      </c>
      <c r="AY33" s="25" t="str">
        <f aca="false">IF($A33="","",IF(AND(N(Actividades!$E17)&gt;0,AY$4&gt;=Actividades!$E17,MOD(AY$4-Actividades!$E17,IFERROR(VLOOKUP(Actividades!$D17,Listas!$A$2:$B$8,2,0),52))=0),"P",""))</f>
        <v/>
      </c>
      <c r="AZ33" s="25" t="str">
        <f aca="false">IF($A33="","",IF(AND(N(Actividades!$E17)&gt;0,AZ$4&gt;=Actividades!$E17,MOD(AZ$4-Actividades!$E17,IFERROR(VLOOKUP(Actividades!$D17,Listas!$A$2:$B$8,2,0),52))=0),"P",""))</f>
        <v/>
      </c>
      <c r="BA33" s="25" t="str">
        <f aca="false">IF($A33="","",IF(AND(N(Actividades!$E17)&gt;0,BA$4&gt;=Actividades!$E17,MOD(BA$4-Actividades!$E17,IFERROR(VLOOKUP(Actividades!$D17,Listas!$A$2:$B$8,2,0),52))=0),"P",""))</f>
        <v/>
      </c>
      <c r="BB33" s="25" t="str">
        <f aca="false">IF($A33="","",IF(AND(N(Actividades!$E17)&gt;0,BB$4&gt;=Actividades!$E17,MOD(BB$4-Actividades!$E17,IFERROR(VLOOKUP(Actividades!$D17,Listas!$A$2:$B$8,2,0),52))=0),"P",""))</f>
        <v/>
      </c>
      <c r="BC33" s="25" t="str">
        <f aca="false">IF($A33="","",IF(AND(N(Actividades!$E17)&gt;0,BC$4&gt;=Actividades!$E17,MOD(BC$4-Actividades!$E17,IFERROR(VLOOKUP(Actividades!$D17,Listas!$A$2:$B$8,2,0),52))=0),"P",""))</f>
        <v/>
      </c>
      <c r="BD33" s="26" t="str">
        <f aca="false">IF($A33="","",COUNTIF(D33:BC33,"P"))</f>
        <v/>
      </c>
      <c r="BE33" s="26" t="str">
        <f aca="false">IF($A33="","",SUMPRODUCT((D33:BC33="P")*(D34:BC34="✓")))</f>
        <v/>
      </c>
      <c r="BF33" s="27" t="str">
        <f aca="false">IF($A33="","",IF(BD33=0,"",BE33/BD33))</f>
        <v/>
      </c>
    </row>
    <row r="34" customFormat="false" ht="15" hidden="false" customHeight="false" outlineLevel="0" collapsed="false">
      <c r="A34" s="28"/>
      <c r="B34" s="28"/>
      <c r="C34" s="28" t="str">
        <f aca="false">IF($A33="","","Real")</f>
        <v/>
      </c>
      <c r="D34" s="29" t="str">
        <f aca="false">IF($A33="","",IF(COUNTIFS(Historial!$B$3:$B$502,$A33,Historial!$C$3:$C$502,$B33,Historial!$G$3:$G$502,D$4,Historial!$H$3:$H$502,$B$2)&gt;0,"✓",""))</f>
        <v/>
      </c>
      <c r="E34" s="29" t="str">
        <f aca="false">IF($A33="","",IF(COUNTIFS(Historial!$B$3:$B$502,$A33,Historial!$C$3:$C$502,$B33,Historial!$G$3:$G$502,E$4,Historial!$H$3:$H$502,$B$2)&gt;0,"✓",""))</f>
        <v/>
      </c>
      <c r="F34" s="29" t="str">
        <f aca="false">IF($A33="","",IF(COUNTIFS(Historial!$B$3:$B$502,$A33,Historial!$C$3:$C$502,$B33,Historial!$G$3:$G$502,F$4,Historial!$H$3:$H$502,$B$2)&gt;0,"✓",""))</f>
        <v/>
      </c>
      <c r="G34" s="29" t="str">
        <f aca="false">IF($A33="","",IF(COUNTIFS(Historial!$B$3:$B$502,$A33,Historial!$C$3:$C$502,$B33,Historial!$G$3:$G$502,G$4,Historial!$H$3:$H$502,$B$2)&gt;0,"✓",""))</f>
        <v/>
      </c>
      <c r="H34" s="29" t="str">
        <f aca="false">IF($A33="","",IF(COUNTIFS(Historial!$B$3:$B$502,$A33,Historial!$C$3:$C$502,$B33,Historial!$G$3:$G$502,H$4,Historial!$H$3:$H$502,$B$2)&gt;0,"✓",""))</f>
        <v/>
      </c>
      <c r="I34" s="29" t="str">
        <f aca="false">IF($A33="","",IF(COUNTIFS(Historial!$B$3:$B$502,$A33,Historial!$C$3:$C$502,$B33,Historial!$G$3:$G$502,I$4,Historial!$H$3:$H$502,$B$2)&gt;0,"✓",""))</f>
        <v/>
      </c>
      <c r="J34" s="29" t="str">
        <f aca="false">IF($A33="","",IF(COUNTIFS(Historial!$B$3:$B$502,$A33,Historial!$C$3:$C$502,$B33,Historial!$G$3:$G$502,J$4,Historial!$H$3:$H$502,$B$2)&gt;0,"✓",""))</f>
        <v/>
      </c>
      <c r="K34" s="29" t="str">
        <f aca="false">IF($A33="","",IF(COUNTIFS(Historial!$B$3:$B$502,$A33,Historial!$C$3:$C$502,$B33,Historial!$G$3:$G$502,K$4,Historial!$H$3:$H$502,$B$2)&gt;0,"✓",""))</f>
        <v/>
      </c>
      <c r="L34" s="29" t="str">
        <f aca="false">IF($A33="","",IF(COUNTIFS(Historial!$B$3:$B$502,$A33,Historial!$C$3:$C$502,$B33,Historial!$G$3:$G$502,L$4,Historial!$H$3:$H$502,$B$2)&gt;0,"✓",""))</f>
        <v/>
      </c>
      <c r="M34" s="29" t="str">
        <f aca="false">IF($A33="","",IF(COUNTIFS(Historial!$B$3:$B$502,$A33,Historial!$C$3:$C$502,$B33,Historial!$G$3:$G$502,M$4,Historial!$H$3:$H$502,$B$2)&gt;0,"✓",""))</f>
        <v/>
      </c>
      <c r="N34" s="29" t="str">
        <f aca="false">IF($A33="","",IF(COUNTIFS(Historial!$B$3:$B$502,$A33,Historial!$C$3:$C$502,$B33,Historial!$G$3:$G$502,N$4,Historial!$H$3:$H$502,$B$2)&gt;0,"✓",""))</f>
        <v/>
      </c>
      <c r="O34" s="29" t="str">
        <f aca="false">IF($A33="","",IF(COUNTIFS(Historial!$B$3:$B$502,$A33,Historial!$C$3:$C$502,$B33,Historial!$G$3:$G$502,O$4,Historial!$H$3:$H$502,$B$2)&gt;0,"✓",""))</f>
        <v/>
      </c>
      <c r="P34" s="29" t="str">
        <f aca="false">IF($A33="","",IF(COUNTIFS(Historial!$B$3:$B$502,$A33,Historial!$C$3:$C$502,$B33,Historial!$G$3:$G$502,P$4,Historial!$H$3:$H$502,$B$2)&gt;0,"✓",""))</f>
        <v/>
      </c>
      <c r="Q34" s="29" t="str">
        <f aca="false">IF($A33="","",IF(COUNTIFS(Historial!$B$3:$B$502,$A33,Historial!$C$3:$C$502,$B33,Historial!$G$3:$G$502,Q$4,Historial!$H$3:$H$502,$B$2)&gt;0,"✓",""))</f>
        <v/>
      </c>
      <c r="R34" s="29" t="str">
        <f aca="false">IF($A33="","",IF(COUNTIFS(Historial!$B$3:$B$502,$A33,Historial!$C$3:$C$502,$B33,Historial!$G$3:$G$502,R$4,Historial!$H$3:$H$502,$B$2)&gt;0,"✓",""))</f>
        <v/>
      </c>
      <c r="S34" s="29" t="str">
        <f aca="false">IF($A33="","",IF(COUNTIFS(Historial!$B$3:$B$502,$A33,Historial!$C$3:$C$502,$B33,Historial!$G$3:$G$502,S$4,Historial!$H$3:$H$502,$B$2)&gt;0,"✓",""))</f>
        <v/>
      </c>
      <c r="T34" s="29" t="str">
        <f aca="false">IF($A33="","",IF(COUNTIFS(Historial!$B$3:$B$502,$A33,Historial!$C$3:$C$502,$B33,Historial!$G$3:$G$502,T$4,Historial!$H$3:$H$502,$B$2)&gt;0,"✓",""))</f>
        <v/>
      </c>
      <c r="U34" s="29" t="str">
        <f aca="false">IF($A33="","",IF(COUNTIFS(Historial!$B$3:$B$502,$A33,Historial!$C$3:$C$502,$B33,Historial!$G$3:$G$502,U$4,Historial!$H$3:$H$502,$B$2)&gt;0,"✓",""))</f>
        <v/>
      </c>
      <c r="V34" s="29" t="str">
        <f aca="false">IF($A33="","",IF(COUNTIFS(Historial!$B$3:$B$502,$A33,Historial!$C$3:$C$502,$B33,Historial!$G$3:$G$502,V$4,Historial!$H$3:$H$502,$B$2)&gt;0,"✓",""))</f>
        <v/>
      </c>
      <c r="W34" s="29" t="str">
        <f aca="false">IF($A33="","",IF(COUNTIFS(Historial!$B$3:$B$502,$A33,Historial!$C$3:$C$502,$B33,Historial!$G$3:$G$502,W$4,Historial!$H$3:$H$502,$B$2)&gt;0,"✓",""))</f>
        <v/>
      </c>
      <c r="X34" s="29" t="str">
        <f aca="false">IF($A33="","",IF(COUNTIFS(Historial!$B$3:$B$502,$A33,Historial!$C$3:$C$502,$B33,Historial!$G$3:$G$502,X$4,Historial!$H$3:$H$502,$B$2)&gt;0,"✓",""))</f>
        <v/>
      </c>
      <c r="Y34" s="29" t="str">
        <f aca="false">IF($A33="","",IF(COUNTIFS(Historial!$B$3:$B$502,$A33,Historial!$C$3:$C$502,$B33,Historial!$G$3:$G$502,Y$4,Historial!$H$3:$H$502,$B$2)&gt;0,"✓",""))</f>
        <v/>
      </c>
      <c r="Z34" s="29" t="str">
        <f aca="false">IF($A33="","",IF(COUNTIFS(Historial!$B$3:$B$502,$A33,Historial!$C$3:$C$502,$B33,Historial!$G$3:$G$502,Z$4,Historial!$H$3:$H$502,$B$2)&gt;0,"✓",""))</f>
        <v/>
      </c>
      <c r="AA34" s="29" t="str">
        <f aca="false">IF($A33="","",IF(COUNTIFS(Historial!$B$3:$B$502,$A33,Historial!$C$3:$C$502,$B33,Historial!$G$3:$G$502,AA$4,Historial!$H$3:$H$502,$B$2)&gt;0,"✓",""))</f>
        <v/>
      </c>
      <c r="AB34" s="29" t="str">
        <f aca="false">IF($A33="","",IF(COUNTIFS(Historial!$B$3:$B$502,$A33,Historial!$C$3:$C$502,$B33,Historial!$G$3:$G$502,AB$4,Historial!$H$3:$H$502,$B$2)&gt;0,"✓",""))</f>
        <v/>
      </c>
      <c r="AC34" s="29" t="str">
        <f aca="false">IF($A33="","",IF(COUNTIFS(Historial!$B$3:$B$502,$A33,Historial!$C$3:$C$502,$B33,Historial!$G$3:$G$502,AC$4,Historial!$H$3:$H$502,$B$2)&gt;0,"✓",""))</f>
        <v/>
      </c>
      <c r="AD34" s="29" t="str">
        <f aca="false">IF($A33="","",IF(COUNTIFS(Historial!$B$3:$B$502,$A33,Historial!$C$3:$C$502,$B33,Historial!$G$3:$G$502,AD$4,Historial!$H$3:$H$502,$B$2)&gt;0,"✓",""))</f>
        <v/>
      </c>
      <c r="AE34" s="29" t="str">
        <f aca="false">IF($A33="","",IF(COUNTIFS(Historial!$B$3:$B$502,$A33,Historial!$C$3:$C$502,$B33,Historial!$G$3:$G$502,AE$4,Historial!$H$3:$H$502,$B$2)&gt;0,"✓",""))</f>
        <v/>
      </c>
      <c r="AF34" s="29" t="str">
        <f aca="false">IF($A33="","",IF(COUNTIFS(Historial!$B$3:$B$502,$A33,Historial!$C$3:$C$502,$B33,Historial!$G$3:$G$502,AF$4,Historial!$H$3:$H$502,$B$2)&gt;0,"✓",""))</f>
        <v/>
      </c>
      <c r="AG34" s="29" t="str">
        <f aca="false">IF($A33="","",IF(COUNTIFS(Historial!$B$3:$B$502,$A33,Historial!$C$3:$C$502,$B33,Historial!$G$3:$G$502,AG$4,Historial!$H$3:$H$502,$B$2)&gt;0,"✓",""))</f>
        <v/>
      </c>
      <c r="AH34" s="29" t="str">
        <f aca="false">IF($A33="","",IF(COUNTIFS(Historial!$B$3:$B$502,$A33,Historial!$C$3:$C$502,$B33,Historial!$G$3:$G$502,AH$4,Historial!$H$3:$H$502,$B$2)&gt;0,"✓",""))</f>
        <v/>
      </c>
      <c r="AI34" s="29" t="str">
        <f aca="false">IF($A33="","",IF(COUNTIFS(Historial!$B$3:$B$502,$A33,Historial!$C$3:$C$502,$B33,Historial!$G$3:$G$502,AI$4,Historial!$H$3:$H$502,$B$2)&gt;0,"✓",""))</f>
        <v/>
      </c>
      <c r="AJ34" s="29" t="str">
        <f aca="false">IF($A33="","",IF(COUNTIFS(Historial!$B$3:$B$502,$A33,Historial!$C$3:$C$502,$B33,Historial!$G$3:$G$502,AJ$4,Historial!$H$3:$H$502,$B$2)&gt;0,"✓",""))</f>
        <v/>
      </c>
      <c r="AK34" s="29" t="str">
        <f aca="false">IF($A33="","",IF(COUNTIFS(Historial!$B$3:$B$502,$A33,Historial!$C$3:$C$502,$B33,Historial!$G$3:$G$502,AK$4,Historial!$H$3:$H$502,$B$2)&gt;0,"✓",""))</f>
        <v/>
      </c>
      <c r="AL34" s="29" t="str">
        <f aca="false">IF($A33="","",IF(COUNTIFS(Historial!$B$3:$B$502,$A33,Historial!$C$3:$C$502,$B33,Historial!$G$3:$G$502,AL$4,Historial!$H$3:$H$502,$B$2)&gt;0,"✓",""))</f>
        <v/>
      </c>
      <c r="AM34" s="29" t="str">
        <f aca="false">IF($A33="","",IF(COUNTIFS(Historial!$B$3:$B$502,$A33,Historial!$C$3:$C$502,$B33,Historial!$G$3:$G$502,AM$4,Historial!$H$3:$H$502,$B$2)&gt;0,"✓",""))</f>
        <v/>
      </c>
      <c r="AN34" s="29" t="str">
        <f aca="false">IF($A33="","",IF(COUNTIFS(Historial!$B$3:$B$502,$A33,Historial!$C$3:$C$502,$B33,Historial!$G$3:$G$502,AN$4,Historial!$H$3:$H$502,$B$2)&gt;0,"✓",""))</f>
        <v/>
      </c>
      <c r="AO34" s="29" t="str">
        <f aca="false">IF($A33="","",IF(COUNTIFS(Historial!$B$3:$B$502,$A33,Historial!$C$3:$C$502,$B33,Historial!$G$3:$G$502,AO$4,Historial!$H$3:$H$502,$B$2)&gt;0,"✓",""))</f>
        <v/>
      </c>
      <c r="AP34" s="29" t="str">
        <f aca="false">IF($A33="","",IF(COUNTIFS(Historial!$B$3:$B$502,$A33,Historial!$C$3:$C$502,$B33,Historial!$G$3:$G$502,AP$4,Historial!$H$3:$H$502,$B$2)&gt;0,"✓",""))</f>
        <v/>
      </c>
      <c r="AQ34" s="29" t="str">
        <f aca="false">IF($A33="","",IF(COUNTIFS(Historial!$B$3:$B$502,$A33,Historial!$C$3:$C$502,$B33,Historial!$G$3:$G$502,AQ$4,Historial!$H$3:$H$502,$B$2)&gt;0,"✓",""))</f>
        <v/>
      </c>
      <c r="AR34" s="29" t="str">
        <f aca="false">IF($A33="","",IF(COUNTIFS(Historial!$B$3:$B$502,$A33,Historial!$C$3:$C$502,$B33,Historial!$G$3:$G$502,AR$4,Historial!$H$3:$H$502,$B$2)&gt;0,"✓",""))</f>
        <v/>
      </c>
      <c r="AS34" s="29" t="str">
        <f aca="false">IF($A33="","",IF(COUNTIFS(Historial!$B$3:$B$502,$A33,Historial!$C$3:$C$502,$B33,Historial!$G$3:$G$502,AS$4,Historial!$H$3:$H$502,$B$2)&gt;0,"✓",""))</f>
        <v/>
      </c>
      <c r="AT34" s="29" t="str">
        <f aca="false">IF($A33="","",IF(COUNTIFS(Historial!$B$3:$B$502,$A33,Historial!$C$3:$C$502,$B33,Historial!$G$3:$G$502,AT$4,Historial!$H$3:$H$502,$B$2)&gt;0,"✓",""))</f>
        <v/>
      </c>
      <c r="AU34" s="29" t="str">
        <f aca="false">IF($A33="","",IF(COUNTIFS(Historial!$B$3:$B$502,$A33,Historial!$C$3:$C$502,$B33,Historial!$G$3:$G$502,AU$4,Historial!$H$3:$H$502,$B$2)&gt;0,"✓",""))</f>
        <v/>
      </c>
      <c r="AV34" s="29" t="str">
        <f aca="false">IF($A33="","",IF(COUNTIFS(Historial!$B$3:$B$502,$A33,Historial!$C$3:$C$502,$B33,Historial!$G$3:$G$502,AV$4,Historial!$H$3:$H$502,$B$2)&gt;0,"✓",""))</f>
        <v/>
      </c>
      <c r="AW34" s="29" t="str">
        <f aca="false">IF($A33="","",IF(COUNTIFS(Historial!$B$3:$B$502,$A33,Historial!$C$3:$C$502,$B33,Historial!$G$3:$G$502,AW$4,Historial!$H$3:$H$502,$B$2)&gt;0,"✓",""))</f>
        <v/>
      </c>
      <c r="AX34" s="29" t="str">
        <f aca="false">IF($A33="","",IF(COUNTIFS(Historial!$B$3:$B$502,$A33,Historial!$C$3:$C$502,$B33,Historial!$G$3:$G$502,AX$4,Historial!$H$3:$H$502,$B$2)&gt;0,"✓",""))</f>
        <v/>
      </c>
      <c r="AY34" s="29" t="str">
        <f aca="false">IF($A33="","",IF(COUNTIFS(Historial!$B$3:$B$502,$A33,Historial!$C$3:$C$502,$B33,Historial!$G$3:$G$502,AY$4,Historial!$H$3:$H$502,$B$2)&gt;0,"✓",""))</f>
        <v/>
      </c>
      <c r="AZ34" s="29" t="str">
        <f aca="false">IF($A33="","",IF(COUNTIFS(Historial!$B$3:$B$502,$A33,Historial!$C$3:$C$502,$B33,Historial!$G$3:$G$502,AZ$4,Historial!$H$3:$H$502,$B$2)&gt;0,"✓",""))</f>
        <v/>
      </c>
      <c r="BA34" s="29" t="str">
        <f aca="false">IF($A33="","",IF(COUNTIFS(Historial!$B$3:$B$502,$A33,Historial!$C$3:$C$502,$B33,Historial!$G$3:$G$502,BA$4,Historial!$H$3:$H$502,$B$2)&gt;0,"✓",""))</f>
        <v/>
      </c>
      <c r="BB34" s="29" t="str">
        <f aca="false">IF($A33="","",IF(COUNTIFS(Historial!$B$3:$B$502,$A33,Historial!$C$3:$C$502,$B33,Historial!$G$3:$G$502,BB$4,Historial!$H$3:$H$502,$B$2)&gt;0,"✓",""))</f>
        <v/>
      </c>
      <c r="BC34" s="29" t="str">
        <f aca="false">IF($A33="","",IF(COUNTIFS(Historial!$B$3:$B$502,$A33,Historial!$C$3:$C$502,$B33,Historial!$G$3:$G$502,BC$4,Historial!$H$3:$H$502,$B$2)&gt;0,"✓",""))</f>
        <v/>
      </c>
      <c r="BD34" s="29"/>
      <c r="BE34" s="29"/>
      <c r="BF34" s="29"/>
    </row>
    <row r="35" customFormat="false" ht="15" hidden="false" customHeight="false" outlineLevel="0" collapsed="false">
      <c r="A35" s="24" t="str">
        <f aca="false">IF(Actividades!$B18="","",Actividades!$B18)</f>
        <v/>
      </c>
      <c r="B35" s="24" t="str">
        <f aca="false">IF(Actividades!$C18="","",Actividades!$C18)</f>
        <v/>
      </c>
      <c r="C35" s="24" t="str">
        <f aca="false">IF($A35="","","Plan")</f>
        <v/>
      </c>
      <c r="D35" s="25" t="str">
        <f aca="false">IF($A35="","",IF(AND(N(Actividades!$E18)&gt;0,D$4&gt;=Actividades!$E18,MOD(D$4-Actividades!$E18,IFERROR(VLOOKUP(Actividades!$D18,Listas!$A$2:$B$8,2,0),52))=0),"P",""))</f>
        <v/>
      </c>
      <c r="E35" s="25" t="str">
        <f aca="false">IF($A35="","",IF(AND(N(Actividades!$E18)&gt;0,E$4&gt;=Actividades!$E18,MOD(E$4-Actividades!$E18,IFERROR(VLOOKUP(Actividades!$D18,Listas!$A$2:$B$8,2,0),52))=0),"P",""))</f>
        <v/>
      </c>
      <c r="F35" s="25" t="str">
        <f aca="false">IF($A35="","",IF(AND(N(Actividades!$E18)&gt;0,F$4&gt;=Actividades!$E18,MOD(F$4-Actividades!$E18,IFERROR(VLOOKUP(Actividades!$D18,Listas!$A$2:$B$8,2,0),52))=0),"P",""))</f>
        <v/>
      </c>
      <c r="G35" s="25" t="str">
        <f aca="false">IF($A35="","",IF(AND(N(Actividades!$E18)&gt;0,G$4&gt;=Actividades!$E18,MOD(G$4-Actividades!$E18,IFERROR(VLOOKUP(Actividades!$D18,Listas!$A$2:$B$8,2,0),52))=0),"P",""))</f>
        <v/>
      </c>
      <c r="H35" s="25" t="str">
        <f aca="false">IF($A35="","",IF(AND(N(Actividades!$E18)&gt;0,H$4&gt;=Actividades!$E18,MOD(H$4-Actividades!$E18,IFERROR(VLOOKUP(Actividades!$D18,Listas!$A$2:$B$8,2,0),52))=0),"P",""))</f>
        <v/>
      </c>
      <c r="I35" s="25" t="str">
        <f aca="false">IF($A35="","",IF(AND(N(Actividades!$E18)&gt;0,I$4&gt;=Actividades!$E18,MOD(I$4-Actividades!$E18,IFERROR(VLOOKUP(Actividades!$D18,Listas!$A$2:$B$8,2,0),52))=0),"P",""))</f>
        <v/>
      </c>
      <c r="J35" s="25" t="str">
        <f aca="false">IF($A35="","",IF(AND(N(Actividades!$E18)&gt;0,J$4&gt;=Actividades!$E18,MOD(J$4-Actividades!$E18,IFERROR(VLOOKUP(Actividades!$D18,Listas!$A$2:$B$8,2,0),52))=0),"P",""))</f>
        <v/>
      </c>
      <c r="K35" s="25" t="str">
        <f aca="false">IF($A35="","",IF(AND(N(Actividades!$E18)&gt;0,K$4&gt;=Actividades!$E18,MOD(K$4-Actividades!$E18,IFERROR(VLOOKUP(Actividades!$D18,Listas!$A$2:$B$8,2,0),52))=0),"P",""))</f>
        <v/>
      </c>
      <c r="L35" s="25" t="str">
        <f aca="false">IF($A35="","",IF(AND(N(Actividades!$E18)&gt;0,L$4&gt;=Actividades!$E18,MOD(L$4-Actividades!$E18,IFERROR(VLOOKUP(Actividades!$D18,Listas!$A$2:$B$8,2,0),52))=0),"P",""))</f>
        <v/>
      </c>
      <c r="M35" s="25" t="str">
        <f aca="false">IF($A35="","",IF(AND(N(Actividades!$E18)&gt;0,M$4&gt;=Actividades!$E18,MOD(M$4-Actividades!$E18,IFERROR(VLOOKUP(Actividades!$D18,Listas!$A$2:$B$8,2,0),52))=0),"P",""))</f>
        <v/>
      </c>
      <c r="N35" s="25" t="str">
        <f aca="false">IF($A35="","",IF(AND(N(Actividades!$E18)&gt;0,N$4&gt;=Actividades!$E18,MOD(N$4-Actividades!$E18,IFERROR(VLOOKUP(Actividades!$D18,Listas!$A$2:$B$8,2,0),52))=0),"P",""))</f>
        <v/>
      </c>
      <c r="O35" s="25" t="str">
        <f aca="false">IF($A35="","",IF(AND(N(Actividades!$E18)&gt;0,O$4&gt;=Actividades!$E18,MOD(O$4-Actividades!$E18,IFERROR(VLOOKUP(Actividades!$D18,Listas!$A$2:$B$8,2,0),52))=0),"P",""))</f>
        <v/>
      </c>
      <c r="P35" s="25" t="str">
        <f aca="false">IF($A35="","",IF(AND(N(Actividades!$E18)&gt;0,P$4&gt;=Actividades!$E18,MOD(P$4-Actividades!$E18,IFERROR(VLOOKUP(Actividades!$D18,Listas!$A$2:$B$8,2,0),52))=0),"P",""))</f>
        <v/>
      </c>
      <c r="Q35" s="25" t="str">
        <f aca="false">IF($A35="","",IF(AND(N(Actividades!$E18)&gt;0,Q$4&gt;=Actividades!$E18,MOD(Q$4-Actividades!$E18,IFERROR(VLOOKUP(Actividades!$D18,Listas!$A$2:$B$8,2,0),52))=0),"P",""))</f>
        <v/>
      </c>
      <c r="R35" s="25" t="str">
        <f aca="false">IF($A35="","",IF(AND(N(Actividades!$E18)&gt;0,R$4&gt;=Actividades!$E18,MOD(R$4-Actividades!$E18,IFERROR(VLOOKUP(Actividades!$D18,Listas!$A$2:$B$8,2,0),52))=0),"P",""))</f>
        <v/>
      </c>
      <c r="S35" s="25" t="str">
        <f aca="false">IF($A35="","",IF(AND(N(Actividades!$E18)&gt;0,S$4&gt;=Actividades!$E18,MOD(S$4-Actividades!$E18,IFERROR(VLOOKUP(Actividades!$D18,Listas!$A$2:$B$8,2,0),52))=0),"P",""))</f>
        <v/>
      </c>
      <c r="T35" s="25" t="str">
        <f aca="false">IF($A35="","",IF(AND(N(Actividades!$E18)&gt;0,T$4&gt;=Actividades!$E18,MOD(T$4-Actividades!$E18,IFERROR(VLOOKUP(Actividades!$D18,Listas!$A$2:$B$8,2,0),52))=0),"P",""))</f>
        <v/>
      </c>
      <c r="U35" s="25" t="str">
        <f aca="false">IF($A35="","",IF(AND(N(Actividades!$E18)&gt;0,U$4&gt;=Actividades!$E18,MOD(U$4-Actividades!$E18,IFERROR(VLOOKUP(Actividades!$D18,Listas!$A$2:$B$8,2,0),52))=0),"P",""))</f>
        <v/>
      </c>
      <c r="V35" s="25" t="str">
        <f aca="false">IF($A35="","",IF(AND(N(Actividades!$E18)&gt;0,V$4&gt;=Actividades!$E18,MOD(V$4-Actividades!$E18,IFERROR(VLOOKUP(Actividades!$D18,Listas!$A$2:$B$8,2,0),52))=0),"P",""))</f>
        <v/>
      </c>
      <c r="W35" s="25" t="str">
        <f aca="false">IF($A35="","",IF(AND(N(Actividades!$E18)&gt;0,W$4&gt;=Actividades!$E18,MOD(W$4-Actividades!$E18,IFERROR(VLOOKUP(Actividades!$D18,Listas!$A$2:$B$8,2,0),52))=0),"P",""))</f>
        <v/>
      </c>
      <c r="X35" s="25" t="str">
        <f aca="false">IF($A35="","",IF(AND(N(Actividades!$E18)&gt;0,X$4&gt;=Actividades!$E18,MOD(X$4-Actividades!$E18,IFERROR(VLOOKUP(Actividades!$D18,Listas!$A$2:$B$8,2,0),52))=0),"P",""))</f>
        <v/>
      </c>
      <c r="Y35" s="25" t="str">
        <f aca="false">IF($A35="","",IF(AND(N(Actividades!$E18)&gt;0,Y$4&gt;=Actividades!$E18,MOD(Y$4-Actividades!$E18,IFERROR(VLOOKUP(Actividades!$D18,Listas!$A$2:$B$8,2,0),52))=0),"P",""))</f>
        <v/>
      </c>
      <c r="Z35" s="25" t="str">
        <f aca="false">IF($A35="","",IF(AND(N(Actividades!$E18)&gt;0,Z$4&gt;=Actividades!$E18,MOD(Z$4-Actividades!$E18,IFERROR(VLOOKUP(Actividades!$D18,Listas!$A$2:$B$8,2,0),52))=0),"P",""))</f>
        <v/>
      </c>
      <c r="AA35" s="25" t="str">
        <f aca="false">IF($A35="","",IF(AND(N(Actividades!$E18)&gt;0,AA$4&gt;=Actividades!$E18,MOD(AA$4-Actividades!$E18,IFERROR(VLOOKUP(Actividades!$D18,Listas!$A$2:$B$8,2,0),52))=0),"P",""))</f>
        <v/>
      </c>
      <c r="AB35" s="25" t="str">
        <f aca="false">IF($A35="","",IF(AND(N(Actividades!$E18)&gt;0,AB$4&gt;=Actividades!$E18,MOD(AB$4-Actividades!$E18,IFERROR(VLOOKUP(Actividades!$D18,Listas!$A$2:$B$8,2,0),52))=0),"P",""))</f>
        <v/>
      </c>
      <c r="AC35" s="25" t="str">
        <f aca="false">IF($A35="","",IF(AND(N(Actividades!$E18)&gt;0,AC$4&gt;=Actividades!$E18,MOD(AC$4-Actividades!$E18,IFERROR(VLOOKUP(Actividades!$D18,Listas!$A$2:$B$8,2,0),52))=0),"P",""))</f>
        <v/>
      </c>
      <c r="AD35" s="25" t="str">
        <f aca="false">IF($A35="","",IF(AND(N(Actividades!$E18)&gt;0,AD$4&gt;=Actividades!$E18,MOD(AD$4-Actividades!$E18,IFERROR(VLOOKUP(Actividades!$D18,Listas!$A$2:$B$8,2,0),52))=0),"P",""))</f>
        <v/>
      </c>
      <c r="AE35" s="25" t="str">
        <f aca="false">IF($A35="","",IF(AND(N(Actividades!$E18)&gt;0,AE$4&gt;=Actividades!$E18,MOD(AE$4-Actividades!$E18,IFERROR(VLOOKUP(Actividades!$D18,Listas!$A$2:$B$8,2,0),52))=0),"P",""))</f>
        <v/>
      </c>
      <c r="AF35" s="25" t="str">
        <f aca="false">IF($A35="","",IF(AND(N(Actividades!$E18)&gt;0,AF$4&gt;=Actividades!$E18,MOD(AF$4-Actividades!$E18,IFERROR(VLOOKUP(Actividades!$D18,Listas!$A$2:$B$8,2,0),52))=0),"P",""))</f>
        <v/>
      </c>
      <c r="AG35" s="25" t="str">
        <f aca="false">IF($A35="","",IF(AND(N(Actividades!$E18)&gt;0,AG$4&gt;=Actividades!$E18,MOD(AG$4-Actividades!$E18,IFERROR(VLOOKUP(Actividades!$D18,Listas!$A$2:$B$8,2,0),52))=0),"P",""))</f>
        <v/>
      </c>
      <c r="AH35" s="25" t="str">
        <f aca="false">IF($A35="","",IF(AND(N(Actividades!$E18)&gt;0,AH$4&gt;=Actividades!$E18,MOD(AH$4-Actividades!$E18,IFERROR(VLOOKUP(Actividades!$D18,Listas!$A$2:$B$8,2,0),52))=0),"P",""))</f>
        <v/>
      </c>
      <c r="AI35" s="25" t="str">
        <f aca="false">IF($A35="","",IF(AND(N(Actividades!$E18)&gt;0,AI$4&gt;=Actividades!$E18,MOD(AI$4-Actividades!$E18,IFERROR(VLOOKUP(Actividades!$D18,Listas!$A$2:$B$8,2,0),52))=0),"P",""))</f>
        <v/>
      </c>
      <c r="AJ35" s="25" t="str">
        <f aca="false">IF($A35="","",IF(AND(N(Actividades!$E18)&gt;0,AJ$4&gt;=Actividades!$E18,MOD(AJ$4-Actividades!$E18,IFERROR(VLOOKUP(Actividades!$D18,Listas!$A$2:$B$8,2,0),52))=0),"P",""))</f>
        <v/>
      </c>
      <c r="AK35" s="25" t="str">
        <f aca="false">IF($A35="","",IF(AND(N(Actividades!$E18)&gt;0,AK$4&gt;=Actividades!$E18,MOD(AK$4-Actividades!$E18,IFERROR(VLOOKUP(Actividades!$D18,Listas!$A$2:$B$8,2,0),52))=0),"P",""))</f>
        <v/>
      </c>
      <c r="AL35" s="25" t="str">
        <f aca="false">IF($A35="","",IF(AND(N(Actividades!$E18)&gt;0,AL$4&gt;=Actividades!$E18,MOD(AL$4-Actividades!$E18,IFERROR(VLOOKUP(Actividades!$D18,Listas!$A$2:$B$8,2,0),52))=0),"P",""))</f>
        <v/>
      </c>
      <c r="AM35" s="25" t="str">
        <f aca="false">IF($A35="","",IF(AND(N(Actividades!$E18)&gt;0,AM$4&gt;=Actividades!$E18,MOD(AM$4-Actividades!$E18,IFERROR(VLOOKUP(Actividades!$D18,Listas!$A$2:$B$8,2,0),52))=0),"P",""))</f>
        <v/>
      </c>
      <c r="AN35" s="25" t="str">
        <f aca="false">IF($A35="","",IF(AND(N(Actividades!$E18)&gt;0,AN$4&gt;=Actividades!$E18,MOD(AN$4-Actividades!$E18,IFERROR(VLOOKUP(Actividades!$D18,Listas!$A$2:$B$8,2,0),52))=0),"P",""))</f>
        <v/>
      </c>
      <c r="AO35" s="25" t="str">
        <f aca="false">IF($A35="","",IF(AND(N(Actividades!$E18)&gt;0,AO$4&gt;=Actividades!$E18,MOD(AO$4-Actividades!$E18,IFERROR(VLOOKUP(Actividades!$D18,Listas!$A$2:$B$8,2,0),52))=0),"P",""))</f>
        <v/>
      </c>
      <c r="AP35" s="25" t="str">
        <f aca="false">IF($A35="","",IF(AND(N(Actividades!$E18)&gt;0,AP$4&gt;=Actividades!$E18,MOD(AP$4-Actividades!$E18,IFERROR(VLOOKUP(Actividades!$D18,Listas!$A$2:$B$8,2,0),52))=0),"P",""))</f>
        <v/>
      </c>
      <c r="AQ35" s="25" t="str">
        <f aca="false">IF($A35="","",IF(AND(N(Actividades!$E18)&gt;0,AQ$4&gt;=Actividades!$E18,MOD(AQ$4-Actividades!$E18,IFERROR(VLOOKUP(Actividades!$D18,Listas!$A$2:$B$8,2,0),52))=0),"P",""))</f>
        <v/>
      </c>
      <c r="AR35" s="25" t="str">
        <f aca="false">IF($A35="","",IF(AND(N(Actividades!$E18)&gt;0,AR$4&gt;=Actividades!$E18,MOD(AR$4-Actividades!$E18,IFERROR(VLOOKUP(Actividades!$D18,Listas!$A$2:$B$8,2,0),52))=0),"P",""))</f>
        <v/>
      </c>
      <c r="AS35" s="25" t="str">
        <f aca="false">IF($A35="","",IF(AND(N(Actividades!$E18)&gt;0,AS$4&gt;=Actividades!$E18,MOD(AS$4-Actividades!$E18,IFERROR(VLOOKUP(Actividades!$D18,Listas!$A$2:$B$8,2,0),52))=0),"P",""))</f>
        <v/>
      </c>
      <c r="AT35" s="25" t="str">
        <f aca="false">IF($A35="","",IF(AND(N(Actividades!$E18)&gt;0,AT$4&gt;=Actividades!$E18,MOD(AT$4-Actividades!$E18,IFERROR(VLOOKUP(Actividades!$D18,Listas!$A$2:$B$8,2,0),52))=0),"P",""))</f>
        <v/>
      </c>
      <c r="AU35" s="25" t="str">
        <f aca="false">IF($A35="","",IF(AND(N(Actividades!$E18)&gt;0,AU$4&gt;=Actividades!$E18,MOD(AU$4-Actividades!$E18,IFERROR(VLOOKUP(Actividades!$D18,Listas!$A$2:$B$8,2,0),52))=0),"P",""))</f>
        <v/>
      </c>
      <c r="AV35" s="25" t="str">
        <f aca="false">IF($A35="","",IF(AND(N(Actividades!$E18)&gt;0,AV$4&gt;=Actividades!$E18,MOD(AV$4-Actividades!$E18,IFERROR(VLOOKUP(Actividades!$D18,Listas!$A$2:$B$8,2,0),52))=0),"P",""))</f>
        <v/>
      </c>
      <c r="AW35" s="25" t="str">
        <f aca="false">IF($A35="","",IF(AND(N(Actividades!$E18)&gt;0,AW$4&gt;=Actividades!$E18,MOD(AW$4-Actividades!$E18,IFERROR(VLOOKUP(Actividades!$D18,Listas!$A$2:$B$8,2,0),52))=0),"P",""))</f>
        <v/>
      </c>
      <c r="AX35" s="25" t="str">
        <f aca="false">IF($A35="","",IF(AND(N(Actividades!$E18)&gt;0,AX$4&gt;=Actividades!$E18,MOD(AX$4-Actividades!$E18,IFERROR(VLOOKUP(Actividades!$D18,Listas!$A$2:$B$8,2,0),52))=0),"P",""))</f>
        <v/>
      </c>
      <c r="AY35" s="25" t="str">
        <f aca="false">IF($A35="","",IF(AND(N(Actividades!$E18)&gt;0,AY$4&gt;=Actividades!$E18,MOD(AY$4-Actividades!$E18,IFERROR(VLOOKUP(Actividades!$D18,Listas!$A$2:$B$8,2,0),52))=0),"P",""))</f>
        <v/>
      </c>
      <c r="AZ35" s="25" t="str">
        <f aca="false">IF($A35="","",IF(AND(N(Actividades!$E18)&gt;0,AZ$4&gt;=Actividades!$E18,MOD(AZ$4-Actividades!$E18,IFERROR(VLOOKUP(Actividades!$D18,Listas!$A$2:$B$8,2,0),52))=0),"P",""))</f>
        <v/>
      </c>
      <c r="BA35" s="25" t="str">
        <f aca="false">IF($A35="","",IF(AND(N(Actividades!$E18)&gt;0,BA$4&gt;=Actividades!$E18,MOD(BA$4-Actividades!$E18,IFERROR(VLOOKUP(Actividades!$D18,Listas!$A$2:$B$8,2,0),52))=0),"P",""))</f>
        <v/>
      </c>
      <c r="BB35" s="25" t="str">
        <f aca="false">IF($A35="","",IF(AND(N(Actividades!$E18)&gt;0,BB$4&gt;=Actividades!$E18,MOD(BB$4-Actividades!$E18,IFERROR(VLOOKUP(Actividades!$D18,Listas!$A$2:$B$8,2,0),52))=0),"P",""))</f>
        <v/>
      </c>
      <c r="BC35" s="25" t="str">
        <f aca="false">IF($A35="","",IF(AND(N(Actividades!$E18)&gt;0,BC$4&gt;=Actividades!$E18,MOD(BC$4-Actividades!$E18,IFERROR(VLOOKUP(Actividades!$D18,Listas!$A$2:$B$8,2,0),52))=0),"P",""))</f>
        <v/>
      </c>
      <c r="BD35" s="26" t="str">
        <f aca="false">IF($A35="","",COUNTIF(D35:BC35,"P"))</f>
        <v/>
      </c>
      <c r="BE35" s="26" t="str">
        <f aca="false">IF($A35="","",SUMPRODUCT((D35:BC35="P")*(D36:BC36="✓")))</f>
        <v/>
      </c>
      <c r="BF35" s="27" t="str">
        <f aca="false">IF($A35="","",IF(BD35=0,"",BE35/BD35))</f>
        <v/>
      </c>
    </row>
    <row r="36" customFormat="false" ht="15" hidden="false" customHeight="false" outlineLevel="0" collapsed="false">
      <c r="A36" s="28"/>
      <c r="B36" s="28"/>
      <c r="C36" s="28" t="str">
        <f aca="false">IF($A35="","","Real")</f>
        <v/>
      </c>
      <c r="D36" s="29" t="str">
        <f aca="false">IF($A35="","",IF(COUNTIFS(Historial!$B$3:$B$502,$A35,Historial!$C$3:$C$502,$B35,Historial!$G$3:$G$502,D$4,Historial!$H$3:$H$502,$B$2)&gt;0,"✓",""))</f>
        <v/>
      </c>
      <c r="E36" s="29" t="str">
        <f aca="false">IF($A35="","",IF(COUNTIFS(Historial!$B$3:$B$502,$A35,Historial!$C$3:$C$502,$B35,Historial!$G$3:$G$502,E$4,Historial!$H$3:$H$502,$B$2)&gt;0,"✓",""))</f>
        <v/>
      </c>
      <c r="F36" s="29" t="str">
        <f aca="false">IF($A35="","",IF(COUNTIFS(Historial!$B$3:$B$502,$A35,Historial!$C$3:$C$502,$B35,Historial!$G$3:$G$502,F$4,Historial!$H$3:$H$502,$B$2)&gt;0,"✓",""))</f>
        <v/>
      </c>
      <c r="G36" s="29" t="str">
        <f aca="false">IF($A35="","",IF(COUNTIFS(Historial!$B$3:$B$502,$A35,Historial!$C$3:$C$502,$B35,Historial!$G$3:$G$502,G$4,Historial!$H$3:$H$502,$B$2)&gt;0,"✓",""))</f>
        <v/>
      </c>
      <c r="H36" s="29" t="str">
        <f aca="false">IF($A35="","",IF(COUNTIFS(Historial!$B$3:$B$502,$A35,Historial!$C$3:$C$502,$B35,Historial!$G$3:$G$502,H$4,Historial!$H$3:$H$502,$B$2)&gt;0,"✓",""))</f>
        <v/>
      </c>
      <c r="I36" s="29" t="str">
        <f aca="false">IF($A35="","",IF(COUNTIFS(Historial!$B$3:$B$502,$A35,Historial!$C$3:$C$502,$B35,Historial!$G$3:$G$502,I$4,Historial!$H$3:$H$502,$B$2)&gt;0,"✓",""))</f>
        <v/>
      </c>
      <c r="J36" s="29" t="str">
        <f aca="false">IF($A35="","",IF(COUNTIFS(Historial!$B$3:$B$502,$A35,Historial!$C$3:$C$502,$B35,Historial!$G$3:$G$502,J$4,Historial!$H$3:$H$502,$B$2)&gt;0,"✓",""))</f>
        <v/>
      </c>
      <c r="K36" s="29" t="str">
        <f aca="false">IF($A35="","",IF(COUNTIFS(Historial!$B$3:$B$502,$A35,Historial!$C$3:$C$502,$B35,Historial!$G$3:$G$502,K$4,Historial!$H$3:$H$502,$B$2)&gt;0,"✓",""))</f>
        <v/>
      </c>
      <c r="L36" s="29" t="str">
        <f aca="false">IF($A35="","",IF(COUNTIFS(Historial!$B$3:$B$502,$A35,Historial!$C$3:$C$502,$B35,Historial!$G$3:$G$502,L$4,Historial!$H$3:$H$502,$B$2)&gt;0,"✓",""))</f>
        <v/>
      </c>
      <c r="M36" s="29" t="str">
        <f aca="false">IF($A35="","",IF(COUNTIFS(Historial!$B$3:$B$502,$A35,Historial!$C$3:$C$502,$B35,Historial!$G$3:$G$502,M$4,Historial!$H$3:$H$502,$B$2)&gt;0,"✓",""))</f>
        <v/>
      </c>
      <c r="N36" s="29" t="str">
        <f aca="false">IF($A35="","",IF(COUNTIFS(Historial!$B$3:$B$502,$A35,Historial!$C$3:$C$502,$B35,Historial!$G$3:$G$502,N$4,Historial!$H$3:$H$502,$B$2)&gt;0,"✓",""))</f>
        <v/>
      </c>
      <c r="O36" s="29" t="str">
        <f aca="false">IF($A35="","",IF(COUNTIFS(Historial!$B$3:$B$502,$A35,Historial!$C$3:$C$502,$B35,Historial!$G$3:$G$502,O$4,Historial!$H$3:$H$502,$B$2)&gt;0,"✓",""))</f>
        <v/>
      </c>
      <c r="P36" s="29" t="str">
        <f aca="false">IF($A35="","",IF(COUNTIFS(Historial!$B$3:$B$502,$A35,Historial!$C$3:$C$502,$B35,Historial!$G$3:$G$502,P$4,Historial!$H$3:$H$502,$B$2)&gt;0,"✓",""))</f>
        <v/>
      </c>
      <c r="Q36" s="29" t="str">
        <f aca="false">IF($A35="","",IF(COUNTIFS(Historial!$B$3:$B$502,$A35,Historial!$C$3:$C$502,$B35,Historial!$G$3:$G$502,Q$4,Historial!$H$3:$H$502,$B$2)&gt;0,"✓",""))</f>
        <v/>
      </c>
      <c r="R36" s="29" t="str">
        <f aca="false">IF($A35="","",IF(COUNTIFS(Historial!$B$3:$B$502,$A35,Historial!$C$3:$C$502,$B35,Historial!$G$3:$G$502,R$4,Historial!$H$3:$H$502,$B$2)&gt;0,"✓",""))</f>
        <v/>
      </c>
      <c r="S36" s="29" t="str">
        <f aca="false">IF($A35="","",IF(COUNTIFS(Historial!$B$3:$B$502,$A35,Historial!$C$3:$C$502,$B35,Historial!$G$3:$G$502,S$4,Historial!$H$3:$H$502,$B$2)&gt;0,"✓",""))</f>
        <v/>
      </c>
      <c r="T36" s="29" t="str">
        <f aca="false">IF($A35="","",IF(COUNTIFS(Historial!$B$3:$B$502,$A35,Historial!$C$3:$C$502,$B35,Historial!$G$3:$G$502,T$4,Historial!$H$3:$H$502,$B$2)&gt;0,"✓",""))</f>
        <v/>
      </c>
      <c r="U36" s="29" t="str">
        <f aca="false">IF($A35="","",IF(COUNTIFS(Historial!$B$3:$B$502,$A35,Historial!$C$3:$C$502,$B35,Historial!$G$3:$G$502,U$4,Historial!$H$3:$H$502,$B$2)&gt;0,"✓",""))</f>
        <v/>
      </c>
      <c r="V36" s="29" t="str">
        <f aca="false">IF($A35="","",IF(COUNTIFS(Historial!$B$3:$B$502,$A35,Historial!$C$3:$C$502,$B35,Historial!$G$3:$G$502,V$4,Historial!$H$3:$H$502,$B$2)&gt;0,"✓",""))</f>
        <v/>
      </c>
      <c r="W36" s="29" t="str">
        <f aca="false">IF($A35="","",IF(COUNTIFS(Historial!$B$3:$B$502,$A35,Historial!$C$3:$C$502,$B35,Historial!$G$3:$G$502,W$4,Historial!$H$3:$H$502,$B$2)&gt;0,"✓",""))</f>
        <v/>
      </c>
      <c r="X36" s="29" t="str">
        <f aca="false">IF($A35="","",IF(COUNTIFS(Historial!$B$3:$B$502,$A35,Historial!$C$3:$C$502,$B35,Historial!$G$3:$G$502,X$4,Historial!$H$3:$H$502,$B$2)&gt;0,"✓",""))</f>
        <v/>
      </c>
      <c r="Y36" s="29" t="str">
        <f aca="false">IF($A35="","",IF(COUNTIFS(Historial!$B$3:$B$502,$A35,Historial!$C$3:$C$502,$B35,Historial!$G$3:$G$502,Y$4,Historial!$H$3:$H$502,$B$2)&gt;0,"✓",""))</f>
        <v/>
      </c>
      <c r="Z36" s="29" t="str">
        <f aca="false">IF($A35="","",IF(COUNTIFS(Historial!$B$3:$B$502,$A35,Historial!$C$3:$C$502,$B35,Historial!$G$3:$G$502,Z$4,Historial!$H$3:$H$502,$B$2)&gt;0,"✓",""))</f>
        <v/>
      </c>
      <c r="AA36" s="29" t="str">
        <f aca="false">IF($A35="","",IF(COUNTIFS(Historial!$B$3:$B$502,$A35,Historial!$C$3:$C$502,$B35,Historial!$G$3:$G$502,AA$4,Historial!$H$3:$H$502,$B$2)&gt;0,"✓",""))</f>
        <v/>
      </c>
      <c r="AB36" s="29" t="str">
        <f aca="false">IF($A35="","",IF(COUNTIFS(Historial!$B$3:$B$502,$A35,Historial!$C$3:$C$502,$B35,Historial!$G$3:$G$502,AB$4,Historial!$H$3:$H$502,$B$2)&gt;0,"✓",""))</f>
        <v/>
      </c>
      <c r="AC36" s="29" t="str">
        <f aca="false">IF($A35="","",IF(COUNTIFS(Historial!$B$3:$B$502,$A35,Historial!$C$3:$C$502,$B35,Historial!$G$3:$G$502,AC$4,Historial!$H$3:$H$502,$B$2)&gt;0,"✓",""))</f>
        <v/>
      </c>
      <c r="AD36" s="29" t="str">
        <f aca="false">IF($A35="","",IF(COUNTIFS(Historial!$B$3:$B$502,$A35,Historial!$C$3:$C$502,$B35,Historial!$G$3:$G$502,AD$4,Historial!$H$3:$H$502,$B$2)&gt;0,"✓",""))</f>
        <v/>
      </c>
      <c r="AE36" s="29" t="str">
        <f aca="false">IF($A35="","",IF(COUNTIFS(Historial!$B$3:$B$502,$A35,Historial!$C$3:$C$502,$B35,Historial!$G$3:$G$502,AE$4,Historial!$H$3:$H$502,$B$2)&gt;0,"✓",""))</f>
        <v/>
      </c>
      <c r="AF36" s="29" t="str">
        <f aca="false">IF($A35="","",IF(COUNTIFS(Historial!$B$3:$B$502,$A35,Historial!$C$3:$C$502,$B35,Historial!$G$3:$G$502,AF$4,Historial!$H$3:$H$502,$B$2)&gt;0,"✓",""))</f>
        <v/>
      </c>
      <c r="AG36" s="29" t="str">
        <f aca="false">IF($A35="","",IF(COUNTIFS(Historial!$B$3:$B$502,$A35,Historial!$C$3:$C$502,$B35,Historial!$G$3:$G$502,AG$4,Historial!$H$3:$H$502,$B$2)&gt;0,"✓",""))</f>
        <v/>
      </c>
      <c r="AH36" s="29" t="str">
        <f aca="false">IF($A35="","",IF(COUNTIFS(Historial!$B$3:$B$502,$A35,Historial!$C$3:$C$502,$B35,Historial!$G$3:$G$502,AH$4,Historial!$H$3:$H$502,$B$2)&gt;0,"✓",""))</f>
        <v/>
      </c>
      <c r="AI36" s="29" t="str">
        <f aca="false">IF($A35="","",IF(COUNTIFS(Historial!$B$3:$B$502,$A35,Historial!$C$3:$C$502,$B35,Historial!$G$3:$G$502,AI$4,Historial!$H$3:$H$502,$B$2)&gt;0,"✓",""))</f>
        <v/>
      </c>
      <c r="AJ36" s="29" t="str">
        <f aca="false">IF($A35="","",IF(COUNTIFS(Historial!$B$3:$B$502,$A35,Historial!$C$3:$C$502,$B35,Historial!$G$3:$G$502,AJ$4,Historial!$H$3:$H$502,$B$2)&gt;0,"✓",""))</f>
        <v/>
      </c>
      <c r="AK36" s="29" t="str">
        <f aca="false">IF($A35="","",IF(COUNTIFS(Historial!$B$3:$B$502,$A35,Historial!$C$3:$C$502,$B35,Historial!$G$3:$G$502,AK$4,Historial!$H$3:$H$502,$B$2)&gt;0,"✓",""))</f>
        <v/>
      </c>
      <c r="AL36" s="29" t="str">
        <f aca="false">IF($A35="","",IF(COUNTIFS(Historial!$B$3:$B$502,$A35,Historial!$C$3:$C$502,$B35,Historial!$G$3:$G$502,AL$4,Historial!$H$3:$H$502,$B$2)&gt;0,"✓",""))</f>
        <v/>
      </c>
      <c r="AM36" s="29" t="str">
        <f aca="false">IF($A35="","",IF(COUNTIFS(Historial!$B$3:$B$502,$A35,Historial!$C$3:$C$502,$B35,Historial!$G$3:$G$502,AM$4,Historial!$H$3:$H$502,$B$2)&gt;0,"✓",""))</f>
        <v/>
      </c>
      <c r="AN36" s="29" t="str">
        <f aca="false">IF($A35="","",IF(COUNTIFS(Historial!$B$3:$B$502,$A35,Historial!$C$3:$C$502,$B35,Historial!$G$3:$G$502,AN$4,Historial!$H$3:$H$502,$B$2)&gt;0,"✓",""))</f>
        <v/>
      </c>
      <c r="AO36" s="29" t="str">
        <f aca="false">IF($A35="","",IF(COUNTIFS(Historial!$B$3:$B$502,$A35,Historial!$C$3:$C$502,$B35,Historial!$G$3:$G$502,AO$4,Historial!$H$3:$H$502,$B$2)&gt;0,"✓",""))</f>
        <v/>
      </c>
      <c r="AP36" s="29" t="str">
        <f aca="false">IF($A35="","",IF(COUNTIFS(Historial!$B$3:$B$502,$A35,Historial!$C$3:$C$502,$B35,Historial!$G$3:$G$502,AP$4,Historial!$H$3:$H$502,$B$2)&gt;0,"✓",""))</f>
        <v/>
      </c>
      <c r="AQ36" s="29" t="str">
        <f aca="false">IF($A35="","",IF(COUNTIFS(Historial!$B$3:$B$502,$A35,Historial!$C$3:$C$502,$B35,Historial!$G$3:$G$502,AQ$4,Historial!$H$3:$H$502,$B$2)&gt;0,"✓",""))</f>
        <v/>
      </c>
      <c r="AR36" s="29" t="str">
        <f aca="false">IF($A35="","",IF(COUNTIFS(Historial!$B$3:$B$502,$A35,Historial!$C$3:$C$502,$B35,Historial!$G$3:$G$502,AR$4,Historial!$H$3:$H$502,$B$2)&gt;0,"✓",""))</f>
        <v/>
      </c>
      <c r="AS36" s="29" t="str">
        <f aca="false">IF($A35="","",IF(COUNTIFS(Historial!$B$3:$B$502,$A35,Historial!$C$3:$C$502,$B35,Historial!$G$3:$G$502,AS$4,Historial!$H$3:$H$502,$B$2)&gt;0,"✓",""))</f>
        <v/>
      </c>
      <c r="AT36" s="29" t="str">
        <f aca="false">IF($A35="","",IF(COUNTIFS(Historial!$B$3:$B$502,$A35,Historial!$C$3:$C$502,$B35,Historial!$G$3:$G$502,AT$4,Historial!$H$3:$H$502,$B$2)&gt;0,"✓",""))</f>
        <v/>
      </c>
      <c r="AU36" s="29" t="str">
        <f aca="false">IF($A35="","",IF(COUNTIFS(Historial!$B$3:$B$502,$A35,Historial!$C$3:$C$502,$B35,Historial!$G$3:$G$502,AU$4,Historial!$H$3:$H$502,$B$2)&gt;0,"✓",""))</f>
        <v/>
      </c>
      <c r="AV36" s="29" t="str">
        <f aca="false">IF($A35="","",IF(COUNTIFS(Historial!$B$3:$B$502,$A35,Historial!$C$3:$C$502,$B35,Historial!$G$3:$G$502,AV$4,Historial!$H$3:$H$502,$B$2)&gt;0,"✓",""))</f>
        <v/>
      </c>
      <c r="AW36" s="29" t="str">
        <f aca="false">IF($A35="","",IF(COUNTIFS(Historial!$B$3:$B$502,$A35,Historial!$C$3:$C$502,$B35,Historial!$G$3:$G$502,AW$4,Historial!$H$3:$H$502,$B$2)&gt;0,"✓",""))</f>
        <v/>
      </c>
      <c r="AX36" s="29" t="str">
        <f aca="false">IF($A35="","",IF(COUNTIFS(Historial!$B$3:$B$502,$A35,Historial!$C$3:$C$502,$B35,Historial!$G$3:$G$502,AX$4,Historial!$H$3:$H$502,$B$2)&gt;0,"✓",""))</f>
        <v/>
      </c>
      <c r="AY36" s="29" t="str">
        <f aca="false">IF($A35="","",IF(COUNTIFS(Historial!$B$3:$B$502,$A35,Historial!$C$3:$C$502,$B35,Historial!$G$3:$G$502,AY$4,Historial!$H$3:$H$502,$B$2)&gt;0,"✓",""))</f>
        <v/>
      </c>
      <c r="AZ36" s="29" t="str">
        <f aca="false">IF($A35="","",IF(COUNTIFS(Historial!$B$3:$B$502,$A35,Historial!$C$3:$C$502,$B35,Historial!$G$3:$G$502,AZ$4,Historial!$H$3:$H$502,$B$2)&gt;0,"✓",""))</f>
        <v/>
      </c>
      <c r="BA36" s="29" t="str">
        <f aca="false">IF($A35="","",IF(COUNTIFS(Historial!$B$3:$B$502,$A35,Historial!$C$3:$C$502,$B35,Historial!$G$3:$G$502,BA$4,Historial!$H$3:$H$502,$B$2)&gt;0,"✓",""))</f>
        <v/>
      </c>
      <c r="BB36" s="29" t="str">
        <f aca="false">IF($A35="","",IF(COUNTIFS(Historial!$B$3:$B$502,$A35,Historial!$C$3:$C$502,$B35,Historial!$G$3:$G$502,BB$4,Historial!$H$3:$H$502,$B$2)&gt;0,"✓",""))</f>
        <v/>
      </c>
      <c r="BC36" s="29" t="str">
        <f aca="false">IF($A35="","",IF(COUNTIFS(Historial!$B$3:$B$502,$A35,Historial!$C$3:$C$502,$B35,Historial!$G$3:$G$502,BC$4,Historial!$H$3:$H$502,$B$2)&gt;0,"✓",""))</f>
        <v/>
      </c>
      <c r="BD36" s="29"/>
      <c r="BE36" s="29"/>
      <c r="BF36" s="29"/>
    </row>
    <row r="37" customFormat="false" ht="15" hidden="false" customHeight="false" outlineLevel="0" collapsed="false">
      <c r="A37" s="24" t="str">
        <f aca="false">IF(Actividades!$B19="","",Actividades!$B19)</f>
        <v/>
      </c>
      <c r="B37" s="24" t="str">
        <f aca="false">IF(Actividades!$C19="","",Actividades!$C19)</f>
        <v/>
      </c>
      <c r="C37" s="24" t="str">
        <f aca="false">IF($A37="","","Plan")</f>
        <v/>
      </c>
      <c r="D37" s="25" t="str">
        <f aca="false">IF($A37="","",IF(AND(N(Actividades!$E19)&gt;0,D$4&gt;=Actividades!$E19,MOD(D$4-Actividades!$E19,IFERROR(VLOOKUP(Actividades!$D19,Listas!$A$2:$B$8,2,0),52))=0),"P",""))</f>
        <v/>
      </c>
      <c r="E37" s="25" t="str">
        <f aca="false">IF($A37="","",IF(AND(N(Actividades!$E19)&gt;0,E$4&gt;=Actividades!$E19,MOD(E$4-Actividades!$E19,IFERROR(VLOOKUP(Actividades!$D19,Listas!$A$2:$B$8,2,0),52))=0),"P",""))</f>
        <v/>
      </c>
      <c r="F37" s="25" t="str">
        <f aca="false">IF($A37="","",IF(AND(N(Actividades!$E19)&gt;0,F$4&gt;=Actividades!$E19,MOD(F$4-Actividades!$E19,IFERROR(VLOOKUP(Actividades!$D19,Listas!$A$2:$B$8,2,0),52))=0),"P",""))</f>
        <v/>
      </c>
      <c r="G37" s="25" t="str">
        <f aca="false">IF($A37="","",IF(AND(N(Actividades!$E19)&gt;0,G$4&gt;=Actividades!$E19,MOD(G$4-Actividades!$E19,IFERROR(VLOOKUP(Actividades!$D19,Listas!$A$2:$B$8,2,0),52))=0),"P",""))</f>
        <v/>
      </c>
      <c r="H37" s="25" t="str">
        <f aca="false">IF($A37="","",IF(AND(N(Actividades!$E19)&gt;0,H$4&gt;=Actividades!$E19,MOD(H$4-Actividades!$E19,IFERROR(VLOOKUP(Actividades!$D19,Listas!$A$2:$B$8,2,0),52))=0),"P",""))</f>
        <v/>
      </c>
      <c r="I37" s="25" t="str">
        <f aca="false">IF($A37="","",IF(AND(N(Actividades!$E19)&gt;0,I$4&gt;=Actividades!$E19,MOD(I$4-Actividades!$E19,IFERROR(VLOOKUP(Actividades!$D19,Listas!$A$2:$B$8,2,0),52))=0),"P",""))</f>
        <v/>
      </c>
      <c r="J37" s="25" t="str">
        <f aca="false">IF($A37="","",IF(AND(N(Actividades!$E19)&gt;0,J$4&gt;=Actividades!$E19,MOD(J$4-Actividades!$E19,IFERROR(VLOOKUP(Actividades!$D19,Listas!$A$2:$B$8,2,0),52))=0),"P",""))</f>
        <v/>
      </c>
      <c r="K37" s="25" t="str">
        <f aca="false">IF($A37="","",IF(AND(N(Actividades!$E19)&gt;0,K$4&gt;=Actividades!$E19,MOD(K$4-Actividades!$E19,IFERROR(VLOOKUP(Actividades!$D19,Listas!$A$2:$B$8,2,0),52))=0),"P",""))</f>
        <v/>
      </c>
      <c r="L37" s="25" t="str">
        <f aca="false">IF($A37="","",IF(AND(N(Actividades!$E19)&gt;0,L$4&gt;=Actividades!$E19,MOD(L$4-Actividades!$E19,IFERROR(VLOOKUP(Actividades!$D19,Listas!$A$2:$B$8,2,0),52))=0),"P",""))</f>
        <v/>
      </c>
      <c r="M37" s="25" t="str">
        <f aca="false">IF($A37="","",IF(AND(N(Actividades!$E19)&gt;0,M$4&gt;=Actividades!$E19,MOD(M$4-Actividades!$E19,IFERROR(VLOOKUP(Actividades!$D19,Listas!$A$2:$B$8,2,0),52))=0),"P",""))</f>
        <v/>
      </c>
      <c r="N37" s="25" t="str">
        <f aca="false">IF($A37="","",IF(AND(N(Actividades!$E19)&gt;0,N$4&gt;=Actividades!$E19,MOD(N$4-Actividades!$E19,IFERROR(VLOOKUP(Actividades!$D19,Listas!$A$2:$B$8,2,0),52))=0),"P",""))</f>
        <v/>
      </c>
      <c r="O37" s="25" t="str">
        <f aca="false">IF($A37="","",IF(AND(N(Actividades!$E19)&gt;0,O$4&gt;=Actividades!$E19,MOD(O$4-Actividades!$E19,IFERROR(VLOOKUP(Actividades!$D19,Listas!$A$2:$B$8,2,0),52))=0),"P",""))</f>
        <v/>
      </c>
      <c r="P37" s="25" t="str">
        <f aca="false">IF($A37="","",IF(AND(N(Actividades!$E19)&gt;0,P$4&gt;=Actividades!$E19,MOD(P$4-Actividades!$E19,IFERROR(VLOOKUP(Actividades!$D19,Listas!$A$2:$B$8,2,0),52))=0),"P",""))</f>
        <v/>
      </c>
      <c r="Q37" s="25" t="str">
        <f aca="false">IF($A37="","",IF(AND(N(Actividades!$E19)&gt;0,Q$4&gt;=Actividades!$E19,MOD(Q$4-Actividades!$E19,IFERROR(VLOOKUP(Actividades!$D19,Listas!$A$2:$B$8,2,0),52))=0),"P",""))</f>
        <v/>
      </c>
      <c r="R37" s="25" t="str">
        <f aca="false">IF($A37="","",IF(AND(N(Actividades!$E19)&gt;0,R$4&gt;=Actividades!$E19,MOD(R$4-Actividades!$E19,IFERROR(VLOOKUP(Actividades!$D19,Listas!$A$2:$B$8,2,0),52))=0),"P",""))</f>
        <v/>
      </c>
      <c r="S37" s="25" t="str">
        <f aca="false">IF($A37="","",IF(AND(N(Actividades!$E19)&gt;0,S$4&gt;=Actividades!$E19,MOD(S$4-Actividades!$E19,IFERROR(VLOOKUP(Actividades!$D19,Listas!$A$2:$B$8,2,0),52))=0),"P",""))</f>
        <v/>
      </c>
      <c r="T37" s="25" t="str">
        <f aca="false">IF($A37="","",IF(AND(N(Actividades!$E19)&gt;0,T$4&gt;=Actividades!$E19,MOD(T$4-Actividades!$E19,IFERROR(VLOOKUP(Actividades!$D19,Listas!$A$2:$B$8,2,0),52))=0),"P",""))</f>
        <v/>
      </c>
      <c r="U37" s="25" t="str">
        <f aca="false">IF($A37="","",IF(AND(N(Actividades!$E19)&gt;0,U$4&gt;=Actividades!$E19,MOD(U$4-Actividades!$E19,IFERROR(VLOOKUP(Actividades!$D19,Listas!$A$2:$B$8,2,0),52))=0),"P",""))</f>
        <v/>
      </c>
      <c r="V37" s="25" t="str">
        <f aca="false">IF($A37="","",IF(AND(N(Actividades!$E19)&gt;0,V$4&gt;=Actividades!$E19,MOD(V$4-Actividades!$E19,IFERROR(VLOOKUP(Actividades!$D19,Listas!$A$2:$B$8,2,0),52))=0),"P",""))</f>
        <v/>
      </c>
      <c r="W37" s="25" t="str">
        <f aca="false">IF($A37="","",IF(AND(N(Actividades!$E19)&gt;0,W$4&gt;=Actividades!$E19,MOD(W$4-Actividades!$E19,IFERROR(VLOOKUP(Actividades!$D19,Listas!$A$2:$B$8,2,0),52))=0),"P",""))</f>
        <v/>
      </c>
      <c r="X37" s="25" t="str">
        <f aca="false">IF($A37="","",IF(AND(N(Actividades!$E19)&gt;0,X$4&gt;=Actividades!$E19,MOD(X$4-Actividades!$E19,IFERROR(VLOOKUP(Actividades!$D19,Listas!$A$2:$B$8,2,0),52))=0),"P",""))</f>
        <v/>
      </c>
      <c r="Y37" s="25" t="str">
        <f aca="false">IF($A37="","",IF(AND(N(Actividades!$E19)&gt;0,Y$4&gt;=Actividades!$E19,MOD(Y$4-Actividades!$E19,IFERROR(VLOOKUP(Actividades!$D19,Listas!$A$2:$B$8,2,0),52))=0),"P",""))</f>
        <v/>
      </c>
      <c r="Z37" s="25" t="str">
        <f aca="false">IF($A37="","",IF(AND(N(Actividades!$E19)&gt;0,Z$4&gt;=Actividades!$E19,MOD(Z$4-Actividades!$E19,IFERROR(VLOOKUP(Actividades!$D19,Listas!$A$2:$B$8,2,0),52))=0),"P",""))</f>
        <v/>
      </c>
      <c r="AA37" s="25" t="str">
        <f aca="false">IF($A37="","",IF(AND(N(Actividades!$E19)&gt;0,AA$4&gt;=Actividades!$E19,MOD(AA$4-Actividades!$E19,IFERROR(VLOOKUP(Actividades!$D19,Listas!$A$2:$B$8,2,0),52))=0),"P",""))</f>
        <v/>
      </c>
      <c r="AB37" s="25" t="str">
        <f aca="false">IF($A37="","",IF(AND(N(Actividades!$E19)&gt;0,AB$4&gt;=Actividades!$E19,MOD(AB$4-Actividades!$E19,IFERROR(VLOOKUP(Actividades!$D19,Listas!$A$2:$B$8,2,0),52))=0),"P",""))</f>
        <v/>
      </c>
      <c r="AC37" s="25" t="str">
        <f aca="false">IF($A37="","",IF(AND(N(Actividades!$E19)&gt;0,AC$4&gt;=Actividades!$E19,MOD(AC$4-Actividades!$E19,IFERROR(VLOOKUP(Actividades!$D19,Listas!$A$2:$B$8,2,0),52))=0),"P",""))</f>
        <v/>
      </c>
      <c r="AD37" s="25" t="str">
        <f aca="false">IF($A37="","",IF(AND(N(Actividades!$E19)&gt;0,AD$4&gt;=Actividades!$E19,MOD(AD$4-Actividades!$E19,IFERROR(VLOOKUP(Actividades!$D19,Listas!$A$2:$B$8,2,0),52))=0),"P",""))</f>
        <v/>
      </c>
      <c r="AE37" s="25" t="str">
        <f aca="false">IF($A37="","",IF(AND(N(Actividades!$E19)&gt;0,AE$4&gt;=Actividades!$E19,MOD(AE$4-Actividades!$E19,IFERROR(VLOOKUP(Actividades!$D19,Listas!$A$2:$B$8,2,0),52))=0),"P",""))</f>
        <v/>
      </c>
      <c r="AF37" s="25" t="str">
        <f aca="false">IF($A37="","",IF(AND(N(Actividades!$E19)&gt;0,AF$4&gt;=Actividades!$E19,MOD(AF$4-Actividades!$E19,IFERROR(VLOOKUP(Actividades!$D19,Listas!$A$2:$B$8,2,0),52))=0),"P",""))</f>
        <v/>
      </c>
      <c r="AG37" s="25" t="str">
        <f aca="false">IF($A37="","",IF(AND(N(Actividades!$E19)&gt;0,AG$4&gt;=Actividades!$E19,MOD(AG$4-Actividades!$E19,IFERROR(VLOOKUP(Actividades!$D19,Listas!$A$2:$B$8,2,0),52))=0),"P",""))</f>
        <v/>
      </c>
      <c r="AH37" s="25" t="str">
        <f aca="false">IF($A37="","",IF(AND(N(Actividades!$E19)&gt;0,AH$4&gt;=Actividades!$E19,MOD(AH$4-Actividades!$E19,IFERROR(VLOOKUP(Actividades!$D19,Listas!$A$2:$B$8,2,0),52))=0),"P",""))</f>
        <v/>
      </c>
      <c r="AI37" s="25" t="str">
        <f aca="false">IF($A37="","",IF(AND(N(Actividades!$E19)&gt;0,AI$4&gt;=Actividades!$E19,MOD(AI$4-Actividades!$E19,IFERROR(VLOOKUP(Actividades!$D19,Listas!$A$2:$B$8,2,0),52))=0),"P",""))</f>
        <v/>
      </c>
      <c r="AJ37" s="25" t="str">
        <f aca="false">IF($A37="","",IF(AND(N(Actividades!$E19)&gt;0,AJ$4&gt;=Actividades!$E19,MOD(AJ$4-Actividades!$E19,IFERROR(VLOOKUP(Actividades!$D19,Listas!$A$2:$B$8,2,0),52))=0),"P",""))</f>
        <v/>
      </c>
      <c r="AK37" s="25" t="str">
        <f aca="false">IF($A37="","",IF(AND(N(Actividades!$E19)&gt;0,AK$4&gt;=Actividades!$E19,MOD(AK$4-Actividades!$E19,IFERROR(VLOOKUP(Actividades!$D19,Listas!$A$2:$B$8,2,0),52))=0),"P",""))</f>
        <v/>
      </c>
      <c r="AL37" s="25" t="str">
        <f aca="false">IF($A37="","",IF(AND(N(Actividades!$E19)&gt;0,AL$4&gt;=Actividades!$E19,MOD(AL$4-Actividades!$E19,IFERROR(VLOOKUP(Actividades!$D19,Listas!$A$2:$B$8,2,0),52))=0),"P",""))</f>
        <v/>
      </c>
      <c r="AM37" s="25" t="str">
        <f aca="false">IF($A37="","",IF(AND(N(Actividades!$E19)&gt;0,AM$4&gt;=Actividades!$E19,MOD(AM$4-Actividades!$E19,IFERROR(VLOOKUP(Actividades!$D19,Listas!$A$2:$B$8,2,0),52))=0),"P",""))</f>
        <v/>
      </c>
      <c r="AN37" s="25" t="str">
        <f aca="false">IF($A37="","",IF(AND(N(Actividades!$E19)&gt;0,AN$4&gt;=Actividades!$E19,MOD(AN$4-Actividades!$E19,IFERROR(VLOOKUP(Actividades!$D19,Listas!$A$2:$B$8,2,0),52))=0),"P",""))</f>
        <v/>
      </c>
      <c r="AO37" s="25" t="str">
        <f aca="false">IF($A37="","",IF(AND(N(Actividades!$E19)&gt;0,AO$4&gt;=Actividades!$E19,MOD(AO$4-Actividades!$E19,IFERROR(VLOOKUP(Actividades!$D19,Listas!$A$2:$B$8,2,0),52))=0),"P",""))</f>
        <v/>
      </c>
      <c r="AP37" s="25" t="str">
        <f aca="false">IF($A37="","",IF(AND(N(Actividades!$E19)&gt;0,AP$4&gt;=Actividades!$E19,MOD(AP$4-Actividades!$E19,IFERROR(VLOOKUP(Actividades!$D19,Listas!$A$2:$B$8,2,0),52))=0),"P",""))</f>
        <v/>
      </c>
      <c r="AQ37" s="25" t="str">
        <f aca="false">IF($A37="","",IF(AND(N(Actividades!$E19)&gt;0,AQ$4&gt;=Actividades!$E19,MOD(AQ$4-Actividades!$E19,IFERROR(VLOOKUP(Actividades!$D19,Listas!$A$2:$B$8,2,0),52))=0),"P",""))</f>
        <v/>
      </c>
      <c r="AR37" s="25" t="str">
        <f aca="false">IF($A37="","",IF(AND(N(Actividades!$E19)&gt;0,AR$4&gt;=Actividades!$E19,MOD(AR$4-Actividades!$E19,IFERROR(VLOOKUP(Actividades!$D19,Listas!$A$2:$B$8,2,0),52))=0),"P",""))</f>
        <v/>
      </c>
      <c r="AS37" s="25" t="str">
        <f aca="false">IF($A37="","",IF(AND(N(Actividades!$E19)&gt;0,AS$4&gt;=Actividades!$E19,MOD(AS$4-Actividades!$E19,IFERROR(VLOOKUP(Actividades!$D19,Listas!$A$2:$B$8,2,0),52))=0),"P",""))</f>
        <v/>
      </c>
      <c r="AT37" s="25" t="str">
        <f aca="false">IF($A37="","",IF(AND(N(Actividades!$E19)&gt;0,AT$4&gt;=Actividades!$E19,MOD(AT$4-Actividades!$E19,IFERROR(VLOOKUP(Actividades!$D19,Listas!$A$2:$B$8,2,0),52))=0),"P",""))</f>
        <v/>
      </c>
      <c r="AU37" s="25" t="str">
        <f aca="false">IF($A37="","",IF(AND(N(Actividades!$E19)&gt;0,AU$4&gt;=Actividades!$E19,MOD(AU$4-Actividades!$E19,IFERROR(VLOOKUP(Actividades!$D19,Listas!$A$2:$B$8,2,0),52))=0),"P",""))</f>
        <v/>
      </c>
      <c r="AV37" s="25" t="str">
        <f aca="false">IF($A37="","",IF(AND(N(Actividades!$E19)&gt;0,AV$4&gt;=Actividades!$E19,MOD(AV$4-Actividades!$E19,IFERROR(VLOOKUP(Actividades!$D19,Listas!$A$2:$B$8,2,0),52))=0),"P",""))</f>
        <v/>
      </c>
      <c r="AW37" s="25" t="str">
        <f aca="false">IF($A37="","",IF(AND(N(Actividades!$E19)&gt;0,AW$4&gt;=Actividades!$E19,MOD(AW$4-Actividades!$E19,IFERROR(VLOOKUP(Actividades!$D19,Listas!$A$2:$B$8,2,0),52))=0),"P",""))</f>
        <v/>
      </c>
      <c r="AX37" s="25" t="str">
        <f aca="false">IF($A37="","",IF(AND(N(Actividades!$E19)&gt;0,AX$4&gt;=Actividades!$E19,MOD(AX$4-Actividades!$E19,IFERROR(VLOOKUP(Actividades!$D19,Listas!$A$2:$B$8,2,0),52))=0),"P",""))</f>
        <v/>
      </c>
      <c r="AY37" s="25" t="str">
        <f aca="false">IF($A37="","",IF(AND(N(Actividades!$E19)&gt;0,AY$4&gt;=Actividades!$E19,MOD(AY$4-Actividades!$E19,IFERROR(VLOOKUP(Actividades!$D19,Listas!$A$2:$B$8,2,0),52))=0),"P",""))</f>
        <v/>
      </c>
      <c r="AZ37" s="25" t="str">
        <f aca="false">IF($A37="","",IF(AND(N(Actividades!$E19)&gt;0,AZ$4&gt;=Actividades!$E19,MOD(AZ$4-Actividades!$E19,IFERROR(VLOOKUP(Actividades!$D19,Listas!$A$2:$B$8,2,0),52))=0),"P",""))</f>
        <v/>
      </c>
      <c r="BA37" s="25" t="str">
        <f aca="false">IF($A37="","",IF(AND(N(Actividades!$E19)&gt;0,BA$4&gt;=Actividades!$E19,MOD(BA$4-Actividades!$E19,IFERROR(VLOOKUP(Actividades!$D19,Listas!$A$2:$B$8,2,0),52))=0),"P",""))</f>
        <v/>
      </c>
      <c r="BB37" s="25" t="str">
        <f aca="false">IF($A37="","",IF(AND(N(Actividades!$E19)&gt;0,BB$4&gt;=Actividades!$E19,MOD(BB$4-Actividades!$E19,IFERROR(VLOOKUP(Actividades!$D19,Listas!$A$2:$B$8,2,0),52))=0),"P",""))</f>
        <v/>
      </c>
      <c r="BC37" s="25" t="str">
        <f aca="false">IF($A37="","",IF(AND(N(Actividades!$E19)&gt;0,BC$4&gt;=Actividades!$E19,MOD(BC$4-Actividades!$E19,IFERROR(VLOOKUP(Actividades!$D19,Listas!$A$2:$B$8,2,0),52))=0),"P",""))</f>
        <v/>
      </c>
      <c r="BD37" s="26" t="str">
        <f aca="false">IF($A37="","",COUNTIF(D37:BC37,"P"))</f>
        <v/>
      </c>
      <c r="BE37" s="26" t="str">
        <f aca="false">IF($A37="","",SUMPRODUCT((D37:BC37="P")*(D38:BC38="✓")))</f>
        <v/>
      </c>
      <c r="BF37" s="27" t="str">
        <f aca="false">IF($A37="","",IF(BD37=0,"",BE37/BD37))</f>
        <v/>
      </c>
    </row>
    <row r="38" customFormat="false" ht="15" hidden="false" customHeight="false" outlineLevel="0" collapsed="false">
      <c r="A38" s="28"/>
      <c r="B38" s="28"/>
      <c r="C38" s="28" t="str">
        <f aca="false">IF($A37="","","Real")</f>
        <v/>
      </c>
      <c r="D38" s="29" t="str">
        <f aca="false">IF($A37="","",IF(COUNTIFS(Historial!$B$3:$B$502,$A37,Historial!$C$3:$C$502,$B37,Historial!$G$3:$G$502,D$4,Historial!$H$3:$H$502,$B$2)&gt;0,"✓",""))</f>
        <v/>
      </c>
      <c r="E38" s="29" t="str">
        <f aca="false">IF($A37="","",IF(COUNTIFS(Historial!$B$3:$B$502,$A37,Historial!$C$3:$C$502,$B37,Historial!$G$3:$G$502,E$4,Historial!$H$3:$H$502,$B$2)&gt;0,"✓",""))</f>
        <v/>
      </c>
      <c r="F38" s="29" t="str">
        <f aca="false">IF($A37="","",IF(COUNTIFS(Historial!$B$3:$B$502,$A37,Historial!$C$3:$C$502,$B37,Historial!$G$3:$G$502,F$4,Historial!$H$3:$H$502,$B$2)&gt;0,"✓",""))</f>
        <v/>
      </c>
      <c r="G38" s="29" t="str">
        <f aca="false">IF($A37="","",IF(COUNTIFS(Historial!$B$3:$B$502,$A37,Historial!$C$3:$C$502,$B37,Historial!$G$3:$G$502,G$4,Historial!$H$3:$H$502,$B$2)&gt;0,"✓",""))</f>
        <v/>
      </c>
      <c r="H38" s="29" t="str">
        <f aca="false">IF($A37="","",IF(COUNTIFS(Historial!$B$3:$B$502,$A37,Historial!$C$3:$C$502,$B37,Historial!$G$3:$G$502,H$4,Historial!$H$3:$H$502,$B$2)&gt;0,"✓",""))</f>
        <v/>
      </c>
      <c r="I38" s="29" t="str">
        <f aca="false">IF($A37="","",IF(COUNTIFS(Historial!$B$3:$B$502,$A37,Historial!$C$3:$C$502,$B37,Historial!$G$3:$G$502,I$4,Historial!$H$3:$H$502,$B$2)&gt;0,"✓",""))</f>
        <v/>
      </c>
      <c r="J38" s="29" t="str">
        <f aca="false">IF($A37="","",IF(COUNTIFS(Historial!$B$3:$B$502,$A37,Historial!$C$3:$C$502,$B37,Historial!$G$3:$G$502,J$4,Historial!$H$3:$H$502,$B$2)&gt;0,"✓",""))</f>
        <v/>
      </c>
      <c r="K38" s="29" t="str">
        <f aca="false">IF($A37="","",IF(COUNTIFS(Historial!$B$3:$B$502,$A37,Historial!$C$3:$C$502,$B37,Historial!$G$3:$G$502,K$4,Historial!$H$3:$H$502,$B$2)&gt;0,"✓",""))</f>
        <v/>
      </c>
      <c r="L38" s="29" t="str">
        <f aca="false">IF($A37="","",IF(COUNTIFS(Historial!$B$3:$B$502,$A37,Historial!$C$3:$C$502,$B37,Historial!$G$3:$G$502,L$4,Historial!$H$3:$H$502,$B$2)&gt;0,"✓",""))</f>
        <v/>
      </c>
      <c r="M38" s="29" t="str">
        <f aca="false">IF($A37="","",IF(COUNTIFS(Historial!$B$3:$B$502,$A37,Historial!$C$3:$C$502,$B37,Historial!$G$3:$G$502,M$4,Historial!$H$3:$H$502,$B$2)&gt;0,"✓",""))</f>
        <v/>
      </c>
      <c r="N38" s="29" t="str">
        <f aca="false">IF($A37="","",IF(COUNTIFS(Historial!$B$3:$B$502,$A37,Historial!$C$3:$C$502,$B37,Historial!$G$3:$G$502,N$4,Historial!$H$3:$H$502,$B$2)&gt;0,"✓",""))</f>
        <v/>
      </c>
      <c r="O38" s="29" t="str">
        <f aca="false">IF($A37="","",IF(COUNTIFS(Historial!$B$3:$B$502,$A37,Historial!$C$3:$C$502,$B37,Historial!$G$3:$G$502,O$4,Historial!$H$3:$H$502,$B$2)&gt;0,"✓",""))</f>
        <v/>
      </c>
      <c r="P38" s="29" t="str">
        <f aca="false">IF($A37="","",IF(COUNTIFS(Historial!$B$3:$B$502,$A37,Historial!$C$3:$C$502,$B37,Historial!$G$3:$G$502,P$4,Historial!$H$3:$H$502,$B$2)&gt;0,"✓",""))</f>
        <v/>
      </c>
      <c r="Q38" s="29" t="str">
        <f aca="false">IF($A37="","",IF(COUNTIFS(Historial!$B$3:$B$502,$A37,Historial!$C$3:$C$502,$B37,Historial!$G$3:$G$502,Q$4,Historial!$H$3:$H$502,$B$2)&gt;0,"✓",""))</f>
        <v/>
      </c>
      <c r="R38" s="29" t="str">
        <f aca="false">IF($A37="","",IF(COUNTIFS(Historial!$B$3:$B$502,$A37,Historial!$C$3:$C$502,$B37,Historial!$G$3:$G$502,R$4,Historial!$H$3:$H$502,$B$2)&gt;0,"✓",""))</f>
        <v/>
      </c>
      <c r="S38" s="29" t="str">
        <f aca="false">IF($A37="","",IF(COUNTIFS(Historial!$B$3:$B$502,$A37,Historial!$C$3:$C$502,$B37,Historial!$G$3:$G$502,S$4,Historial!$H$3:$H$502,$B$2)&gt;0,"✓",""))</f>
        <v/>
      </c>
      <c r="T38" s="29" t="str">
        <f aca="false">IF($A37="","",IF(COUNTIFS(Historial!$B$3:$B$502,$A37,Historial!$C$3:$C$502,$B37,Historial!$G$3:$G$502,T$4,Historial!$H$3:$H$502,$B$2)&gt;0,"✓",""))</f>
        <v/>
      </c>
      <c r="U38" s="29" t="str">
        <f aca="false">IF($A37="","",IF(COUNTIFS(Historial!$B$3:$B$502,$A37,Historial!$C$3:$C$502,$B37,Historial!$G$3:$G$502,U$4,Historial!$H$3:$H$502,$B$2)&gt;0,"✓",""))</f>
        <v/>
      </c>
      <c r="V38" s="29" t="str">
        <f aca="false">IF($A37="","",IF(COUNTIFS(Historial!$B$3:$B$502,$A37,Historial!$C$3:$C$502,$B37,Historial!$G$3:$G$502,V$4,Historial!$H$3:$H$502,$B$2)&gt;0,"✓",""))</f>
        <v/>
      </c>
      <c r="W38" s="29" t="str">
        <f aca="false">IF($A37="","",IF(COUNTIFS(Historial!$B$3:$B$502,$A37,Historial!$C$3:$C$502,$B37,Historial!$G$3:$G$502,W$4,Historial!$H$3:$H$502,$B$2)&gt;0,"✓",""))</f>
        <v/>
      </c>
      <c r="X38" s="29" t="str">
        <f aca="false">IF($A37="","",IF(COUNTIFS(Historial!$B$3:$B$502,$A37,Historial!$C$3:$C$502,$B37,Historial!$G$3:$G$502,X$4,Historial!$H$3:$H$502,$B$2)&gt;0,"✓",""))</f>
        <v/>
      </c>
      <c r="Y38" s="29" t="str">
        <f aca="false">IF($A37="","",IF(COUNTIFS(Historial!$B$3:$B$502,$A37,Historial!$C$3:$C$502,$B37,Historial!$G$3:$G$502,Y$4,Historial!$H$3:$H$502,$B$2)&gt;0,"✓",""))</f>
        <v/>
      </c>
      <c r="Z38" s="29" t="str">
        <f aca="false">IF($A37="","",IF(COUNTIFS(Historial!$B$3:$B$502,$A37,Historial!$C$3:$C$502,$B37,Historial!$G$3:$G$502,Z$4,Historial!$H$3:$H$502,$B$2)&gt;0,"✓",""))</f>
        <v/>
      </c>
      <c r="AA38" s="29" t="str">
        <f aca="false">IF($A37="","",IF(COUNTIFS(Historial!$B$3:$B$502,$A37,Historial!$C$3:$C$502,$B37,Historial!$G$3:$G$502,AA$4,Historial!$H$3:$H$502,$B$2)&gt;0,"✓",""))</f>
        <v/>
      </c>
      <c r="AB38" s="29" t="str">
        <f aca="false">IF($A37="","",IF(COUNTIFS(Historial!$B$3:$B$502,$A37,Historial!$C$3:$C$502,$B37,Historial!$G$3:$G$502,AB$4,Historial!$H$3:$H$502,$B$2)&gt;0,"✓",""))</f>
        <v/>
      </c>
      <c r="AC38" s="29" t="str">
        <f aca="false">IF($A37="","",IF(COUNTIFS(Historial!$B$3:$B$502,$A37,Historial!$C$3:$C$502,$B37,Historial!$G$3:$G$502,AC$4,Historial!$H$3:$H$502,$B$2)&gt;0,"✓",""))</f>
        <v/>
      </c>
      <c r="AD38" s="29" t="str">
        <f aca="false">IF($A37="","",IF(COUNTIFS(Historial!$B$3:$B$502,$A37,Historial!$C$3:$C$502,$B37,Historial!$G$3:$G$502,AD$4,Historial!$H$3:$H$502,$B$2)&gt;0,"✓",""))</f>
        <v/>
      </c>
      <c r="AE38" s="29" t="str">
        <f aca="false">IF($A37="","",IF(COUNTIFS(Historial!$B$3:$B$502,$A37,Historial!$C$3:$C$502,$B37,Historial!$G$3:$G$502,AE$4,Historial!$H$3:$H$502,$B$2)&gt;0,"✓",""))</f>
        <v/>
      </c>
      <c r="AF38" s="29" t="str">
        <f aca="false">IF($A37="","",IF(COUNTIFS(Historial!$B$3:$B$502,$A37,Historial!$C$3:$C$502,$B37,Historial!$G$3:$G$502,AF$4,Historial!$H$3:$H$502,$B$2)&gt;0,"✓",""))</f>
        <v/>
      </c>
      <c r="AG38" s="29" t="str">
        <f aca="false">IF($A37="","",IF(COUNTIFS(Historial!$B$3:$B$502,$A37,Historial!$C$3:$C$502,$B37,Historial!$G$3:$G$502,AG$4,Historial!$H$3:$H$502,$B$2)&gt;0,"✓",""))</f>
        <v/>
      </c>
      <c r="AH38" s="29" t="str">
        <f aca="false">IF($A37="","",IF(COUNTIFS(Historial!$B$3:$B$502,$A37,Historial!$C$3:$C$502,$B37,Historial!$G$3:$G$502,AH$4,Historial!$H$3:$H$502,$B$2)&gt;0,"✓",""))</f>
        <v/>
      </c>
      <c r="AI38" s="29" t="str">
        <f aca="false">IF($A37="","",IF(COUNTIFS(Historial!$B$3:$B$502,$A37,Historial!$C$3:$C$502,$B37,Historial!$G$3:$G$502,AI$4,Historial!$H$3:$H$502,$B$2)&gt;0,"✓",""))</f>
        <v/>
      </c>
      <c r="AJ38" s="29" t="str">
        <f aca="false">IF($A37="","",IF(COUNTIFS(Historial!$B$3:$B$502,$A37,Historial!$C$3:$C$502,$B37,Historial!$G$3:$G$502,AJ$4,Historial!$H$3:$H$502,$B$2)&gt;0,"✓",""))</f>
        <v/>
      </c>
      <c r="AK38" s="29" t="str">
        <f aca="false">IF($A37="","",IF(COUNTIFS(Historial!$B$3:$B$502,$A37,Historial!$C$3:$C$502,$B37,Historial!$G$3:$G$502,AK$4,Historial!$H$3:$H$502,$B$2)&gt;0,"✓",""))</f>
        <v/>
      </c>
      <c r="AL38" s="29" t="str">
        <f aca="false">IF($A37="","",IF(COUNTIFS(Historial!$B$3:$B$502,$A37,Historial!$C$3:$C$502,$B37,Historial!$G$3:$G$502,AL$4,Historial!$H$3:$H$502,$B$2)&gt;0,"✓",""))</f>
        <v/>
      </c>
      <c r="AM38" s="29" t="str">
        <f aca="false">IF($A37="","",IF(COUNTIFS(Historial!$B$3:$B$502,$A37,Historial!$C$3:$C$502,$B37,Historial!$G$3:$G$502,AM$4,Historial!$H$3:$H$502,$B$2)&gt;0,"✓",""))</f>
        <v/>
      </c>
      <c r="AN38" s="29" t="str">
        <f aca="false">IF($A37="","",IF(COUNTIFS(Historial!$B$3:$B$502,$A37,Historial!$C$3:$C$502,$B37,Historial!$G$3:$G$502,AN$4,Historial!$H$3:$H$502,$B$2)&gt;0,"✓",""))</f>
        <v/>
      </c>
      <c r="AO38" s="29" t="str">
        <f aca="false">IF($A37="","",IF(COUNTIFS(Historial!$B$3:$B$502,$A37,Historial!$C$3:$C$502,$B37,Historial!$G$3:$G$502,AO$4,Historial!$H$3:$H$502,$B$2)&gt;0,"✓",""))</f>
        <v/>
      </c>
      <c r="AP38" s="29" t="str">
        <f aca="false">IF($A37="","",IF(COUNTIFS(Historial!$B$3:$B$502,$A37,Historial!$C$3:$C$502,$B37,Historial!$G$3:$G$502,AP$4,Historial!$H$3:$H$502,$B$2)&gt;0,"✓",""))</f>
        <v/>
      </c>
      <c r="AQ38" s="29" t="str">
        <f aca="false">IF($A37="","",IF(COUNTIFS(Historial!$B$3:$B$502,$A37,Historial!$C$3:$C$502,$B37,Historial!$G$3:$G$502,AQ$4,Historial!$H$3:$H$502,$B$2)&gt;0,"✓",""))</f>
        <v/>
      </c>
      <c r="AR38" s="29" t="str">
        <f aca="false">IF($A37="","",IF(COUNTIFS(Historial!$B$3:$B$502,$A37,Historial!$C$3:$C$502,$B37,Historial!$G$3:$G$502,AR$4,Historial!$H$3:$H$502,$B$2)&gt;0,"✓",""))</f>
        <v/>
      </c>
      <c r="AS38" s="29" t="str">
        <f aca="false">IF($A37="","",IF(COUNTIFS(Historial!$B$3:$B$502,$A37,Historial!$C$3:$C$502,$B37,Historial!$G$3:$G$502,AS$4,Historial!$H$3:$H$502,$B$2)&gt;0,"✓",""))</f>
        <v/>
      </c>
      <c r="AT38" s="29" t="str">
        <f aca="false">IF($A37="","",IF(COUNTIFS(Historial!$B$3:$B$502,$A37,Historial!$C$3:$C$502,$B37,Historial!$G$3:$G$502,AT$4,Historial!$H$3:$H$502,$B$2)&gt;0,"✓",""))</f>
        <v/>
      </c>
      <c r="AU38" s="29" t="str">
        <f aca="false">IF($A37="","",IF(COUNTIFS(Historial!$B$3:$B$502,$A37,Historial!$C$3:$C$502,$B37,Historial!$G$3:$G$502,AU$4,Historial!$H$3:$H$502,$B$2)&gt;0,"✓",""))</f>
        <v/>
      </c>
      <c r="AV38" s="29" t="str">
        <f aca="false">IF($A37="","",IF(COUNTIFS(Historial!$B$3:$B$502,$A37,Historial!$C$3:$C$502,$B37,Historial!$G$3:$G$502,AV$4,Historial!$H$3:$H$502,$B$2)&gt;0,"✓",""))</f>
        <v/>
      </c>
      <c r="AW38" s="29" t="str">
        <f aca="false">IF($A37="","",IF(COUNTIFS(Historial!$B$3:$B$502,$A37,Historial!$C$3:$C$502,$B37,Historial!$G$3:$G$502,AW$4,Historial!$H$3:$H$502,$B$2)&gt;0,"✓",""))</f>
        <v/>
      </c>
      <c r="AX38" s="29" t="str">
        <f aca="false">IF($A37="","",IF(COUNTIFS(Historial!$B$3:$B$502,$A37,Historial!$C$3:$C$502,$B37,Historial!$G$3:$G$502,AX$4,Historial!$H$3:$H$502,$B$2)&gt;0,"✓",""))</f>
        <v/>
      </c>
      <c r="AY38" s="29" t="str">
        <f aca="false">IF($A37="","",IF(COUNTIFS(Historial!$B$3:$B$502,$A37,Historial!$C$3:$C$502,$B37,Historial!$G$3:$G$502,AY$4,Historial!$H$3:$H$502,$B$2)&gt;0,"✓",""))</f>
        <v/>
      </c>
      <c r="AZ38" s="29" t="str">
        <f aca="false">IF($A37="","",IF(COUNTIFS(Historial!$B$3:$B$502,$A37,Historial!$C$3:$C$502,$B37,Historial!$G$3:$G$502,AZ$4,Historial!$H$3:$H$502,$B$2)&gt;0,"✓",""))</f>
        <v/>
      </c>
      <c r="BA38" s="29" t="str">
        <f aca="false">IF($A37="","",IF(COUNTIFS(Historial!$B$3:$B$502,$A37,Historial!$C$3:$C$502,$B37,Historial!$G$3:$G$502,BA$4,Historial!$H$3:$H$502,$B$2)&gt;0,"✓",""))</f>
        <v/>
      </c>
      <c r="BB38" s="29" t="str">
        <f aca="false">IF($A37="","",IF(COUNTIFS(Historial!$B$3:$B$502,$A37,Historial!$C$3:$C$502,$B37,Historial!$G$3:$G$502,BB$4,Historial!$H$3:$H$502,$B$2)&gt;0,"✓",""))</f>
        <v/>
      </c>
      <c r="BC38" s="29" t="str">
        <f aca="false">IF($A37="","",IF(COUNTIFS(Historial!$B$3:$B$502,$A37,Historial!$C$3:$C$502,$B37,Historial!$G$3:$G$502,BC$4,Historial!$H$3:$H$502,$B$2)&gt;0,"✓",""))</f>
        <v/>
      </c>
      <c r="BD38" s="29"/>
      <c r="BE38" s="29"/>
      <c r="BF38" s="29"/>
    </row>
    <row r="39" customFormat="false" ht="15" hidden="false" customHeight="false" outlineLevel="0" collapsed="false">
      <c r="A39" s="24" t="str">
        <f aca="false">IF(Actividades!$B20="","",Actividades!$B20)</f>
        <v/>
      </c>
      <c r="B39" s="24" t="str">
        <f aca="false">IF(Actividades!$C20="","",Actividades!$C20)</f>
        <v/>
      </c>
      <c r="C39" s="24" t="str">
        <f aca="false">IF($A39="","","Plan")</f>
        <v/>
      </c>
      <c r="D39" s="25" t="str">
        <f aca="false">IF($A39="","",IF(AND(N(Actividades!$E20)&gt;0,D$4&gt;=Actividades!$E20,MOD(D$4-Actividades!$E20,IFERROR(VLOOKUP(Actividades!$D20,Listas!$A$2:$B$8,2,0),52))=0),"P",""))</f>
        <v/>
      </c>
      <c r="E39" s="25" t="str">
        <f aca="false">IF($A39="","",IF(AND(N(Actividades!$E20)&gt;0,E$4&gt;=Actividades!$E20,MOD(E$4-Actividades!$E20,IFERROR(VLOOKUP(Actividades!$D20,Listas!$A$2:$B$8,2,0),52))=0),"P",""))</f>
        <v/>
      </c>
      <c r="F39" s="25" t="str">
        <f aca="false">IF($A39="","",IF(AND(N(Actividades!$E20)&gt;0,F$4&gt;=Actividades!$E20,MOD(F$4-Actividades!$E20,IFERROR(VLOOKUP(Actividades!$D20,Listas!$A$2:$B$8,2,0),52))=0),"P",""))</f>
        <v/>
      </c>
      <c r="G39" s="25" t="str">
        <f aca="false">IF($A39="","",IF(AND(N(Actividades!$E20)&gt;0,G$4&gt;=Actividades!$E20,MOD(G$4-Actividades!$E20,IFERROR(VLOOKUP(Actividades!$D20,Listas!$A$2:$B$8,2,0),52))=0),"P",""))</f>
        <v/>
      </c>
      <c r="H39" s="25" t="str">
        <f aca="false">IF($A39="","",IF(AND(N(Actividades!$E20)&gt;0,H$4&gt;=Actividades!$E20,MOD(H$4-Actividades!$E20,IFERROR(VLOOKUP(Actividades!$D20,Listas!$A$2:$B$8,2,0),52))=0),"P",""))</f>
        <v/>
      </c>
      <c r="I39" s="25" t="str">
        <f aca="false">IF($A39="","",IF(AND(N(Actividades!$E20)&gt;0,I$4&gt;=Actividades!$E20,MOD(I$4-Actividades!$E20,IFERROR(VLOOKUP(Actividades!$D20,Listas!$A$2:$B$8,2,0),52))=0),"P",""))</f>
        <v/>
      </c>
      <c r="J39" s="25" t="str">
        <f aca="false">IF($A39="","",IF(AND(N(Actividades!$E20)&gt;0,J$4&gt;=Actividades!$E20,MOD(J$4-Actividades!$E20,IFERROR(VLOOKUP(Actividades!$D20,Listas!$A$2:$B$8,2,0),52))=0),"P",""))</f>
        <v/>
      </c>
      <c r="K39" s="25" t="str">
        <f aca="false">IF($A39="","",IF(AND(N(Actividades!$E20)&gt;0,K$4&gt;=Actividades!$E20,MOD(K$4-Actividades!$E20,IFERROR(VLOOKUP(Actividades!$D20,Listas!$A$2:$B$8,2,0),52))=0),"P",""))</f>
        <v/>
      </c>
      <c r="L39" s="25" t="str">
        <f aca="false">IF($A39="","",IF(AND(N(Actividades!$E20)&gt;0,L$4&gt;=Actividades!$E20,MOD(L$4-Actividades!$E20,IFERROR(VLOOKUP(Actividades!$D20,Listas!$A$2:$B$8,2,0),52))=0),"P",""))</f>
        <v/>
      </c>
      <c r="M39" s="25" t="str">
        <f aca="false">IF($A39="","",IF(AND(N(Actividades!$E20)&gt;0,M$4&gt;=Actividades!$E20,MOD(M$4-Actividades!$E20,IFERROR(VLOOKUP(Actividades!$D20,Listas!$A$2:$B$8,2,0),52))=0),"P",""))</f>
        <v/>
      </c>
      <c r="N39" s="25" t="str">
        <f aca="false">IF($A39="","",IF(AND(N(Actividades!$E20)&gt;0,N$4&gt;=Actividades!$E20,MOD(N$4-Actividades!$E20,IFERROR(VLOOKUP(Actividades!$D20,Listas!$A$2:$B$8,2,0),52))=0),"P",""))</f>
        <v/>
      </c>
      <c r="O39" s="25" t="str">
        <f aca="false">IF($A39="","",IF(AND(N(Actividades!$E20)&gt;0,O$4&gt;=Actividades!$E20,MOD(O$4-Actividades!$E20,IFERROR(VLOOKUP(Actividades!$D20,Listas!$A$2:$B$8,2,0),52))=0),"P",""))</f>
        <v/>
      </c>
      <c r="P39" s="25" t="str">
        <f aca="false">IF($A39="","",IF(AND(N(Actividades!$E20)&gt;0,P$4&gt;=Actividades!$E20,MOD(P$4-Actividades!$E20,IFERROR(VLOOKUP(Actividades!$D20,Listas!$A$2:$B$8,2,0),52))=0),"P",""))</f>
        <v/>
      </c>
      <c r="Q39" s="25" t="str">
        <f aca="false">IF($A39="","",IF(AND(N(Actividades!$E20)&gt;0,Q$4&gt;=Actividades!$E20,MOD(Q$4-Actividades!$E20,IFERROR(VLOOKUP(Actividades!$D20,Listas!$A$2:$B$8,2,0),52))=0),"P",""))</f>
        <v/>
      </c>
      <c r="R39" s="25" t="str">
        <f aca="false">IF($A39="","",IF(AND(N(Actividades!$E20)&gt;0,R$4&gt;=Actividades!$E20,MOD(R$4-Actividades!$E20,IFERROR(VLOOKUP(Actividades!$D20,Listas!$A$2:$B$8,2,0),52))=0),"P",""))</f>
        <v/>
      </c>
      <c r="S39" s="25" t="str">
        <f aca="false">IF($A39="","",IF(AND(N(Actividades!$E20)&gt;0,S$4&gt;=Actividades!$E20,MOD(S$4-Actividades!$E20,IFERROR(VLOOKUP(Actividades!$D20,Listas!$A$2:$B$8,2,0),52))=0),"P",""))</f>
        <v/>
      </c>
      <c r="T39" s="25" t="str">
        <f aca="false">IF($A39="","",IF(AND(N(Actividades!$E20)&gt;0,T$4&gt;=Actividades!$E20,MOD(T$4-Actividades!$E20,IFERROR(VLOOKUP(Actividades!$D20,Listas!$A$2:$B$8,2,0),52))=0),"P",""))</f>
        <v/>
      </c>
      <c r="U39" s="25" t="str">
        <f aca="false">IF($A39="","",IF(AND(N(Actividades!$E20)&gt;0,U$4&gt;=Actividades!$E20,MOD(U$4-Actividades!$E20,IFERROR(VLOOKUP(Actividades!$D20,Listas!$A$2:$B$8,2,0),52))=0),"P",""))</f>
        <v/>
      </c>
      <c r="V39" s="25" t="str">
        <f aca="false">IF($A39="","",IF(AND(N(Actividades!$E20)&gt;0,V$4&gt;=Actividades!$E20,MOD(V$4-Actividades!$E20,IFERROR(VLOOKUP(Actividades!$D20,Listas!$A$2:$B$8,2,0),52))=0),"P",""))</f>
        <v/>
      </c>
      <c r="W39" s="25" t="str">
        <f aca="false">IF($A39="","",IF(AND(N(Actividades!$E20)&gt;0,W$4&gt;=Actividades!$E20,MOD(W$4-Actividades!$E20,IFERROR(VLOOKUP(Actividades!$D20,Listas!$A$2:$B$8,2,0),52))=0),"P",""))</f>
        <v/>
      </c>
      <c r="X39" s="25" t="str">
        <f aca="false">IF($A39="","",IF(AND(N(Actividades!$E20)&gt;0,X$4&gt;=Actividades!$E20,MOD(X$4-Actividades!$E20,IFERROR(VLOOKUP(Actividades!$D20,Listas!$A$2:$B$8,2,0),52))=0),"P",""))</f>
        <v/>
      </c>
      <c r="Y39" s="25" t="str">
        <f aca="false">IF($A39="","",IF(AND(N(Actividades!$E20)&gt;0,Y$4&gt;=Actividades!$E20,MOD(Y$4-Actividades!$E20,IFERROR(VLOOKUP(Actividades!$D20,Listas!$A$2:$B$8,2,0),52))=0),"P",""))</f>
        <v/>
      </c>
      <c r="Z39" s="25" t="str">
        <f aca="false">IF($A39="","",IF(AND(N(Actividades!$E20)&gt;0,Z$4&gt;=Actividades!$E20,MOD(Z$4-Actividades!$E20,IFERROR(VLOOKUP(Actividades!$D20,Listas!$A$2:$B$8,2,0),52))=0),"P",""))</f>
        <v/>
      </c>
      <c r="AA39" s="25" t="str">
        <f aca="false">IF($A39="","",IF(AND(N(Actividades!$E20)&gt;0,AA$4&gt;=Actividades!$E20,MOD(AA$4-Actividades!$E20,IFERROR(VLOOKUP(Actividades!$D20,Listas!$A$2:$B$8,2,0),52))=0),"P",""))</f>
        <v/>
      </c>
      <c r="AB39" s="25" t="str">
        <f aca="false">IF($A39="","",IF(AND(N(Actividades!$E20)&gt;0,AB$4&gt;=Actividades!$E20,MOD(AB$4-Actividades!$E20,IFERROR(VLOOKUP(Actividades!$D20,Listas!$A$2:$B$8,2,0),52))=0),"P",""))</f>
        <v/>
      </c>
      <c r="AC39" s="25" t="str">
        <f aca="false">IF($A39="","",IF(AND(N(Actividades!$E20)&gt;0,AC$4&gt;=Actividades!$E20,MOD(AC$4-Actividades!$E20,IFERROR(VLOOKUP(Actividades!$D20,Listas!$A$2:$B$8,2,0),52))=0),"P",""))</f>
        <v/>
      </c>
      <c r="AD39" s="25" t="str">
        <f aca="false">IF($A39="","",IF(AND(N(Actividades!$E20)&gt;0,AD$4&gt;=Actividades!$E20,MOD(AD$4-Actividades!$E20,IFERROR(VLOOKUP(Actividades!$D20,Listas!$A$2:$B$8,2,0),52))=0),"P",""))</f>
        <v/>
      </c>
      <c r="AE39" s="25" t="str">
        <f aca="false">IF($A39="","",IF(AND(N(Actividades!$E20)&gt;0,AE$4&gt;=Actividades!$E20,MOD(AE$4-Actividades!$E20,IFERROR(VLOOKUP(Actividades!$D20,Listas!$A$2:$B$8,2,0),52))=0),"P",""))</f>
        <v/>
      </c>
      <c r="AF39" s="25" t="str">
        <f aca="false">IF($A39="","",IF(AND(N(Actividades!$E20)&gt;0,AF$4&gt;=Actividades!$E20,MOD(AF$4-Actividades!$E20,IFERROR(VLOOKUP(Actividades!$D20,Listas!$A$2:$B$8,2,0),52))=0),"P",""))</f>
        <v/>
      </c>
      <c r="AG39" s="25" t="str">
        <f aca="false">IF($A39="","",IF(AND(N(Actividades!$E20)&gt;0,AG$4&gt;=Actividades!$E20,MOD(AG$4-Actividades!$E20,IFERROR(VLOOKUP(Actividades!$D20,Listas!$A$2:$B$8,2,0),52))=0),"P",""))</f>
        <v/>
      </c>
      <c r="AH39" s="25" t="str">
        <f aca="false">IF($A39="","",IF(AND(N(Actividades!$E20)&gt;0,AH$4&gt;=Actividades!$E20,MOD(AH$4-Actividades!$E20,IFERROR(VLOOKUP(Actividades!$D20,Listas!$A$2:$B$8,2,0),52))=0),"P",""))</f>
        <v/>
      </c>
      <c r="AI39" s="25" t="str">
        <f aca="false">IF($A39="","",IF(AND(N(Actividades!$E20)&gt;0,AI$4&gt;=Actividades!$E20,MOD(AI$4-Actividades!$E20,IFERROR(VLOOKUP(Actividades!$D20,Listas!$A$2:$B$8,2,0),52))=0),"P",""))</f>
        <v/>
      </c>
      <c r="AJ39" s="25" t="str">
        <f aca="false">IF($A39="","",IF(AND(N(Actividades!$E20)&gt;0,AJ$4&gt;=Actividades!$E20,MOD(AJ$4-Actividades!$E20,IFERROR(VLOOKUP(Actividades!$D20,Listas!$A$2:$B$8,2,0),52))=0),"P",""))</f>
        <v/>
      </c>
      <c r="AK39" s="25" t="str">
        <f aca="false">IF($A39="","",IF(AND(N(Actividades!$E20)&gt;0,AK$4&gt;=Actividades!$E20,MOD(AK$4-Actividades!$E20,IFERROR(VLOOKUP(Actividades!$D20,Listas!$A$2:$B$8,2,0),52))=0),"P",""))</f>
        <v/>
      </c>
      <c r="AL39" s="25" t="str">
        <f aca="false">IF($A39="","",IF(AND(N(Actividades!$E20)&gt;0,AL$4&gt;=Actividades!$E20,MOD(AL$4-Actividades!$E20,IFERROR(VLOOKUP(Actividades!$D20,Listas!$A$2:$B$8,2,0),52))=0),"P",""))</f>
        <v/>
      </c>
      <c r="AM39" s="25" t="str">
        <f aca="false">IF($A39="","",IF(AND(N(Actividades!$E20)&gt;0,AM$4&gt;=Actividades!$E20,MOD(AM$4-Actividades!$E20,IFERROR(VLOOKUP(Actividades!$D20,Listas!$A$2:$B$8,2,0),52))=0),"P",""))</f>
        <v/>
      </c>
      <c r="AN39" s="25" t="str">
        <f aca="false">IF($A39="","",IF(AND(N(Actividades!$E20)&gt;0,AN$4&gt;=Actividades!$E20,MOD(AN$4-Actividades!$E20,IFERROR(VLOOKUP(Actividades!$D20,Listas!$A$2:$B$8,2,0),52))=0),"P",""))</f>
        <v/>
      </c>
      <c r="AO39" s="25" t="str">
        <f aca="false">IF($A39="","",IF(AND(N(Actividades!$E20)&gt;0,AO$4&gt;=Actividades!$E20,MOD(AO$4-Actividades!$E20,IFERROR(VLOOKUP(Actividades!$D20,Listas!$A$2:$B$8,2,0),52))=0),"P",""))</f>
        <v/>
      </c>
      <c r="AP39" s="25" t="str">
        <f aca="false">IF($A39="","",IF(AND(N(Actividades!$E20)&gt;0,AP$4&gt;=Actividades!$E20,MOD(AP$4-Actividades!$E20,IFERROR(VLOOKUP(Actividades!$D20,Listas!$A$2:$B$8,2,0),52))=0),"P",""))</f>
        <v/>
      </c>
      <c r="AQ39" s="25" t="str">
        <f aca="false">IF($A39="","",IF(AND(N(Actividades!$E20)&gt;0,AQ$4&gt;=Actividades!$E20,MOD(AQ$4-Actividades!$E20,IFERROR(VLOOKUP(Actividades!$D20,Listas!$A$2:$B$8,2,0),52))=0),"P",""))</f>
        <v/>
      </c>
      <c r="AR39" s="25" t="str">
        <f aca="false">IF($A39="","",IF(AND(N(Actividades!$E20)&gt;0,AR$4&gt;=Actividades!$E20,MOD(AR$4-Actividades!$E20,IFERROR(VLOOKUP(Actividades!$D20,Listas!$A$2:$B$8,2,0),52))=0),"P",""))</f>
        <v/>
      </c>
      <c r="AS39" s="25" t="str">
        <f aca="false">IF($A39="","",IF(AND(N(Actividades!$E20)&gt;0,AS$4&gt;=Actividades!$E20,MOD(AS$4-Actividades!$E20,IFERROR(VLOOKUP(Actividades!$D20,Listas!$A$2:$B$8,2,0),52))=0),"P",""))</f>
        <v/>
      </c>
      <c r="AT39" s="25" t="str">
        <f aca="false">IF($A39="","",IF(AND(N(Actividades!$E20)&gt;0,AT$4&gt;=Actividades!$E20,MOD(AT$4-Actividades!$E20,IFERROR(VLOOKUP(Actividades!$D20,Listas!$A$2:$B$8,2,0),52))=0),"P",""))</f>
        <v/>
      </c>
      <c r="AU39" s="25" t="str">
        <f aca="false">IF($A39="","",IF(AND(N(Actividades!$E20)&gt;0,AU$4&gt;=Actividades!$E20,MOD(AU$4-Actividades!$E20,IFERROR(VLOOKUP(Actividades!$D20,Listas!$A$2:$B$8,2,0),52))=0),"P",""))</f>
        <v/>
      </c>
      <c r="AV39" s="25" t="str">
        <f aca="false">IF($A39="","",IF(AND(N(Actividades!$E20)&gt;0,AV$4&gt;=Actividades!$E20,MOD(AV$4-Actividades!$E20,IFERROR(VLOOKUP(Actividades!$D20,Listas!$A$2:$B$8,2,0),52))=0),"P",""))</f>
        <v/>
      </c>
      <c r="AW39" s="25" t="str">
        <f aca="false">IF($A39="","",IF(AND(N(Actividades!$E20)&gt;0,AW$4&gt;=Actividades!$E20,MOD(AW$4-Actividades!$E20,IFERROR(VLOOKUP(Actividades!$D20,Listas!$A$2:$B$8,2,0),52))=0),"P",""))</f>
        <v/>
      </c>
      <c r="AX39" s="25" t="str">
        <f aca="false">IF($A39="","",IF(AND(N(Actividades!$E20)&gt;0,AX$4&gt;=Actividades!$E20,MOD(AX$4-Actividades!$E20,IFERROR(VLOOKUP(Actividades!$D20,Listas!$A$2:$B$8,2,0),52))=0),"P",""))</f>
        <v/>
      </c>
      <c r="AY39" s="25" t="str">
        <f aca="false">IF($A39="","",IF(AND(N(Actividades!$E20)&gt;0,AY$4&gt;=Actividades!$E20,MOD(AY$4-Actividades!$E20,IFERROR(VLOOKUP(Actividades!$D20,Listas!$A$2:$B$8,2,0),52))=0),"P",""))</f>
        <v/>
      </c>
      <c r="AZ39" s="25" t="str">
        <f aca="false">IF($A39="","",IF(AND(N(Actividades!$E20)&gt;0,AZ$4&gt;=Actividades!$E20,MOD(AZ$4-Actividades!$E20,IFERROR(VLOOKUP(Actividades!$D20,Listas!$A$2:$B$8,2,0),52))=0),"P",""))</f>
        <v/>
      </c>
      <c r="BA39" s="25" t="str">
        <f aca="false">IF($A39="","",IF(AND(N(Actividades!$E20)&gt;0,BA$4&gt;=Actividades!$E20,MOD(BA$4-Actividades!$E20,IFERROR(VLOOKUP(Actividades!$D20,Listas!$A$2:$B$8,2,0),52))=0),"P",""))</f>
        <v/>
      </c>
      <c r="BB39" s="25" t="str">
        <f aca="false">IF($A39="","",IF(AND(N(Actividades!$E20)&gt;0,BB$4&gt;=Actividades!$E20,MOD(BB$4-Actividades!$E20,IFERROR(VLOOKUP(Actividades!$D20,Listas!$A$2:$B$8,2,0),52))=0),"P",""))</f>
        <v/>
      </c>
      <c r="BC39" s="25" t="str">
        <f aca="false">IF($A39="","",IF(AND(N(Actividades!$E20)&gt;0,BC$4&gt;=Actividades!$E20,MOD(BC$4-Actividades!$E20,IFERROR(VLOOKUP(Actividades!$D20,Listas!$A$2:$B$8,2,0),52))=0),"P",""))</f>
        <v/>
      </c>
      <c r="BD39" s="26" t="str">
        <f aca="false">IF($A39="","",COUNTIF(D39:BC39,"P"))</f>
        <v/>
      </c>
      <c r="BE39" s="26" t="str">
        <f aca="false">IF($A39="","",SUMPRODUCT((D39:BC39="P")*(D40:BC40="✓")))</f>
        <v/>
      </c>
      <c r="BF39" s="27" t="str">
        <f aca="false">IF($A39="","",IF(BD39=0,"",BE39/BD39))</f>
        <v/>
      </c>
    </row>
    <row r="40" customFormat="false" ht="15" hidden="false" customHeight="false" outlineLevel="0" collapsed="false">
      <c r="A40" s="28"/>
      <c r="B40" s="28"/>
      <c r="C40" s="28" t="str">
        <f aca="false">IF($A39="","","Real")</f>
        <v/>
      </c>
      <c r="D40" s="29" t="str">
        <f aca="false">IF($A39="","",IF(COUNTIFS(Historial!$B$3:$B$502,$A39,Historial!$C$3:$C$502,$B39,Historial!$G$3:$G$502,D$4,Historial!$H$3:$H$502,$B$2)&gt;0,"✓",""))</f>
        <v/>
      </c>
      <c r="E40" s="29" t="str">
        <f aca="false">IF($A39="","",IF(COUNTIFS(Historial!$B$3:$B$502,$A39,Historial!$C$3:$C$502,$B39,Historial!$G$3:$G$502,E$4,Historial!$H$3:$H$502,$B$2)&gt;0,"✓",""))</f>
        <v/>
      </c>
      <c r="F40" s="29" t="str">
        <f aca="false">IF($A39="","",IF(COUNTIFS(Historial!$B$3:$B$502,$A39,Historial!$C$3:$C$502,$B39,Historial!$G$3:$G$502,F$4,Historial!$H$3:$H$502,$B$2)&gt;0,"✓",""))</f>
        <v/>
      </c>
      <c r="G40" s="29" t="str">
        <f aca="false">IF($A39="","",IF(COUNTIFS(Historial!$B$3:$B$502,$A39,Historial!$C$3:$C$502,$B39,Historial!$G$3:$G$502,G$4,Historial!$H$3:$H$502,$B$2)&gt;0,"✓",""))</f>
        <v/>
      </c>
      <c r="H40" s="29" t="str">
        <f aca="false">IF($A39="","",IF(COUNTIFS(Historial!$B$3:$B$502,$A39,Historial!$C$3:$C$502,$B39,Historial!$G$3:$G$502,H$4,Historial!$H$3:$H$502,$B$2)&gt;0,"✓",""))</f>
        <v/>
      </c>
      <c r="I40" s="29" t="str">
        <f aca="false">IF($A39="","",IF(COUNTIFS(Historial!$B$3:$B$502,$A39,Historial!$C$3:$C$502,$B39,Historial!$G$3:$G$502,I$4,Historial!$H$3:$H$502,$B$2)&gt;0,"✓",""))</f>
        <v/>
      </c>
      <c r="J40" s="29" t="str">
        <f aca="false">IF($A39="","",IF(COUNTIFS(Historial!$B$3:$B$502,$A39,Historial!$C$3:$C$502,$B39,Historial!$G$3:$G$502,J$4,Historial!$H$3:$H$502,$B$2)&gt;0,"✓",""))</f>
        <v/>
      </c>
      <c r="K40" s="29" t="str">
        <f aca="false">IF($A39="","",IF(COUNTIFS(Historial!$B$3:$B$502,$A39,Historial!$C$3:$C$502,$B39,Historial!$G$3:$G$502,K$4,Historial!$H$3:$H$502,$B$2)&gt;0,"✓",""))</f>
        <v/>
      </c>
      <c r="L40" s="29" t="str">
        <f aca="false">IF($A39="","",IF(COUNTIFS(Historial!$B$3:$B$502,$A39,Historial!$C$3:$C$502,$B39,Historial!$G$3:$G$502,L$4,Historial!$H$3:$H$502,$B$2)&gt;0,"✓",""))</f>
        <v/>
      </c>
      <c r="M40" s="29" t="str">
        <f aca="false">IF($A39="","",IF(COUNTIFS(Historial!$B$3:$B$502,$A39,Historial!$C$3:$C$502,$B39,Historial!$G$3:$G$502,M$4,Historial!$H$3:$H$502,$B$2)&gt;0,"✓",""))</f>
        <v/>
      </c>
      <c r="N40" s="29" t="str">
        <f aca="false">IF($A39="","",IF(COUNTIFS(Historial!$B$3:$B$502,$A39,Historial!$C$3:$C$502,$B39,Historial!$G$3:$G$502,N$4,Historial!$H$3:$H$502,$B$2)&gt;0,"✓",""))</f>
        <v/>
      </c>
      <c r="O40" s="29" t="str">
        <f aca="false">IF($A39="","",IF(COUNTIFS(Historial!$B$3:$B$502,$A39,Historial!$C$3:$C$502,$B39,Historial!$G$3:$G$502,O$4,Historial!$H$3:$H$502,$B$2)&gt;0,"✓",""))</f>
        <v/>
      </c>
      <c r="P40" s="29" t="str">
        <f aca="false">IF($A39="","",IF(COUNTIFS(Historial!$B$3:$B$502,$A39,Historial!$C$3:$C$502,$B39,Historial!$G$3:$G$502,P$4,Historial!$H$3:$H$502,$B$2)&gt;0,"✓",""))</f>
        <v/>
      </c>
      <c r="Q40" s="29" t="str">
        <f aca="false">IF($A39="","",IF(COUNTIFS(Historial!$B$3:$B$502,$A39,Historial!$C$3:$C$502,$B39,Historial!$G$3:$G$502,Q$4,Historial!$H$3:$H$502,$B$2)&gt;0,"✓",""))</f>
        <v/>
      </c>
      <c r="R40" s="29" t="str">
        <f aca="false">IF($A39="","",IF(COUNTIFS(Historial!$B$3:$B$502,$A39,Historial!$C$3:$C$502,$B39,Historial!$G$3:$G$502,R$4,Historial!$H$3:$H$502,$B$2)&gt;0,"✓",""))</f>
        <v/>
      </c>
      <c r="S40" s="29" t="str">
        <f aca="false">IF($A39="","",IF(COUNTIFS(Historial!$B$3:$B$502,$A39,Historial!$C$3:$C$502,$B39,Historial!$G$3:$G$502,S$4,Historial!$H$3:$H$502,$B$2)&gt;0,"✓",""))</f>
        <v/>
      </c>
      <c r="T40" s="29" t="str">
        <f aca="false">IF($A39="","",IF(COUNTIFS(Historial!$B$3:$B$502,$A39,Historial!$C$3:$C$502,$B39,Historial!$G$3:$G$502,T$4,Historial!$H$3:$H$502,$B$2)&gt;0,"✓",""))</f>
        <v/>
      </c>
      <c r="U40" s="29" t="str">
        <f aca="false">IF($A39="","",IF(COUNTIFS(Historial!$B$3:$B$502,$A39,Historial!$C$3:$C$502,$B39,Historial!$G$3:$G$502,U$4,Historial!$H$3:$H$502,$B$2)&gt;0,"✓",""))</f>
        <v/>
      </c>
      <c r="V40" s="29" t="str">
        <f aca="false">IF($A39="","",IF(COUNTIFS(Historial!$B$3:$B$502,$A39,Historial!$C$3:$C$502,$B39,Historial!$G$3:$G$502,V$4,Historial!$H$3:$H$502,$B$2)&gt;0,"✓",""))</f>
        <v/>
      </c>
      <c r="W40" s="29" t="str">
        <f aca="false">IF($A39="","",IF(COUNTIFS(Historial!$B$3:$B$502,$A39,Historial!$C$3:$C$502,$B39,Historial!$G$3:$G$502,W$4,Historial!$H$3:$H$502,$B$2)&gt;0,"✓",""))</f>
        <v/>
      </c>
      <c r="X40" s="29" t="str">
        <f aca="false">IF($A39="","",IF(COUNTIFS(Historial!$B$3:$B$502,$A39,Historial!$C$3:$C$502,$B39,Historial!$G$3:$G$502,X$4,Historial!$H$3:$H$502,$B$2)&gt;0,"✓",""))</f>
        <v/>
      </c>
      <c r="Y40" s="29" t="str">
        <f aca="false">IF($A39="","",IF(COUNTIFS(Historial!$B$3:$B$502,$A39,Historial!$C$3:$C$502,$B39,Historial!$G$3:$G$502,Y$4,Historial!$H$3:$H$502,$B$2)&gt;0,"✓",""))</f>
        <v/>
      </c>
      <c r="Z40" s="29" t="str">
        <f aca="false">IF($A39="","",IF(COUNTIFS(Historial!$B$3:$B$502,$A39,Historial!$C$3:$C$502,$B39,Historial!$G$3:$G$502,Z$4,Historial!$H$3:$H$502,$B$2)&gt;0,"✓",""))</f>
        <v/>
      </c>
      <c r="AA40" s="29" t="str">
        <f aca="false">IF($A39="","",IF(COUNTIFS(Historial!$B$3:$B$502,$A39,Historial!$C$3:$C$502,$B39,Historial!$G$3:$G$502,AA$4,Historial!$H$3:$H$502,$B$2)&gt;0,"✓",""))</f>
        <v/>
      </c>
      <c r="AB40" s="29" t="str">
        <f aca="false">IF($A39="","",IF(COUNTIFS(Historial!$B$3:$B$502,$A39,Historial!$C$3:$C$502,$B39,Historial!$G$3:$G$502,AB$4,Historial!$H$3:$H$502,$B$2)&gt;0,"✓",""))</f>
        <v/>
      </c>
      <c r="AC40" s="29" t="str">
        <f aca="false">IF($A39="","",IF(COUNTIFS(Historial!$B$3:$B$502,$A39,Historial!$C$3:$C$502,$B39,Historial!$G$3:$G$502,AC$4,Historial!$H$3:$H$502,$B$2)&gt;0,"✓",""))</f>
        <v/>
      </c>
      <c r="AD40" s="29" t="str">
        <f aca="false">IF($A39="","",IF(COUNTIFS(Historial!$B$3:$B$502,$A39,Historial!$C$3:$C$502,$B39,Historial!$G$3:$G$502,AD$4,Historial!$H$3:$H$502,$B$2)&gt;0,"✓",""))</f>
        <v/>
      </c>
      <c r="AE40" s="29" t="str">
        <f aca="false">IF($A39="","",IF(COUNTIFS(Historial!$B$3:$B$502,$A39,Historial!$C$3:$C$502,$B39,Historial!$G$3:$G$502,AE$4,Historial!$H$3:$H$502,$B$2)&gt;0,"✓",""))</f>
        <v/>
      </c>
      <c r="AF40" s="29" t="str">
        <f aca="false">IF($A39="","",IF(COUNTIFS(Historial!$B$3:$B$502,$A39,Historial!$C$3:$C$502,$B39,Historial!$G$3:$G$502,AF$4,Historial!$H$3:$H$502,$B$2)&gt;0,"✓",""))</f>
        <v/>
      </c>
      <c r="AG40" s="29" t="str">
        <f aca="false">IF($A39="","",IF(COUNTIFS(Historial!$B$3:$B$502,$A39,Historial!$C$3:$C$502,$B39,Historial!$G$3:$G$502,AG$4,Historial!$H$3:$H$502,$B$2)&gt;0,"✓",""))</f>
        <v/>
      </c>
      <c r="AH40" s="29" t="str">
        <f aca="false">IF($A39="","",IF(COUNTIFS(Historial!$B$3:$B$502,$A39,Historial!$C$3:$C$502,$B39,Historial!$G$3:$G$502,AH$4,Historial!$H$3:$H$502,$B$2)&gt;0,"✓",""))</f>
        <v/>
      </c>
      <c r="AI40" s="29" t="str">
        <f aca="false">IF($A39="","",IF(COUNTIFS(Historial!$B$3:$B$502,$A39,Historial!$C$3:$C$502,$B39,Historial!$G$3:$G$502,AI$4,Historial!$H$3:$H$502,$B$2)&gt;0,"✓",""))</f>
        <v/>
      </c>
      <c r="AJ40" s="29" t="str">
        <f aca="false">IF($A39="","",IF(COUNTIFS(Historial!$B$3:$B$502,$A39,Historial!$C$3:$C$502,$B39,Historial!$G$3:$G$502,AJ$4,Historial!$H$3:$H$502,$B$2)&gt;0,"✓",""))</f>
        <v/>
      </c>
      <c r="AK40" s="29" t="str">
        <f aca="false">IF($A39="","",IF(COUNTIFS(Historial!$B$3:$B$502,$A39,Historial!$C$3:$C$502,$B39,Historial!$G$3:$G$502,AK$4,Historial!$H$3:$H$502,$B$2)&gt;0,"✓",""))</f>
        <v/>
      </c>
      <c r="AL40" s="29" t="str">
        <f aca="false">IF($A39="","",IF(COUNTIFS(Historial!$B$3:$B$502,$A39,Historial!$C$3:$C$502,$B39,Historial!$G$3:$G$502,AL$4,Historial!$H$3:$H$502,$B$2)&gt;0,"✓",""))</f>
        <v/>
      </c>
      <c r="AM40" s="29" t="str">
        <f aca="false">IF($A39="","",IF(COUNTIFS(Historial!$B$3:$B$502,$A39,Historial!$C$3:$C$502,$B39,Historial!$G$3:$G$502,AM$4,Historial!$H$3:$H$502,$B$2)&gt;0,"✓",""))</f>
        <v/>
      </c>
      <c r="AN40" s="29" t="str">
        <f aca="false">IF($A39="","",IF(COUNTIFS(Historial!$B$3:$B$502,$A39,Historial!$C$3:$C$502,$B39,Historial!$G$3:$G$502,AN$4,Historial!$H$3:$H$502,$B$2)&gt;0,"✓",""))</f>
        <v/>
      </c>
      <c r="AO40" s="29" t="str">
        <f aca="false">IF($A39="","",IF(COUNTIFS(Historial!$B$3:$B$502,$A39,Historial!$C$3:$C$502,$B39,Historial!$G$3:$G$502,AO$4,Historial!$H$3:$H$502,$B$2)&gt;0,"✓",""))</f>
        <v/>
      </c>
      <c r="AP40" s="29" t="str">
        <f aca="false">IF($A39="","",IF(COUNTIFS(Historial!$B$3:$B$502,$A39,Historial!$C$3:$C$502,$B39,Historial!$G$3:$G$502,AP$4,Historial!$H$3:$H$502,$B$2)&gt;0,"✓",""))</f>
        <v/>
      </c>
      <c r="AQ40" s="29" t="str">
        <f aca="false">IF($A39="","",IF(COUNTIFS(Historial!$B$3:$B$502,$A39,Historial!$C$3:$C$502,$B39,Historial!$G$3:$G$502,AQ$4,Historial!$H$3:$H$502,$B$2)&gt;0,"✓",""))</f>
        <v/>
      </c>
      <c r="AR40" s="29" t="str">
        <f aca="false">IF($A39="","",IF(COUNTIFS(Historial!$B$3:$B$502,$A39,Historial!$C$3:$C$502,$B39,Historial!$G$3:$G$502,AR$4,Historial!$H$3:$H$502,$B$2)&gt;0,"✓",""))</f>
        <v/>
      </c>
      <c r="AS40" s="29" t="str">
        <f aca="false">IF($A39="","",IF(COUNTIFS(Historial!$B$3:$B$502,$A39,Historial!$C$3:$C$502,$B39,Historial!$G$3:$G$502,AS$4,Historial!$H$3:$H$502,$B$2)&gt;0,"✓",""))</f>
        <v/>
      </c>
      <c r="AT40" s="29" t="str">
        <f aca="false">IF($A39="","",IF(COUNTIFS(Historial!$B$3:$B$502,$A39,Historial!$C$3:$C$502,$B39,Historial!$G$3:$G$502,AT$4,Historial!$H$3:$H$502,$B$2)&gt;0,"✓",""))</f>
        <v/>
      </c>
      <c r="AU40" s="29" t="str">
        <f aca="false">IF($A39="","",IF(COUNTIFS(Historial!$B$3:$B$502,$A39,Historial!$C$3:$C$502,$B39,Historial!$G$3:$G$502,AU$4,Historial!$H$3:$H$502,$B$2)&gt;0,"✓",""))</f>
        <v/>
      </c>
      <c r="AV40" s="29" t="str">
        <f aca="false">IF($A39="","",IF(COUNTIFS(Historial!$B$3:$B$502,$A39,Historial!$C$3:$C$502,$B39,Historial!$G$3:$G$502,AV$4,Historial!$H$3:$H$502,$B$2)&gt;0,"✓",""))</f>
        <v/>
      </c>
      <c r="AW40" s="29" t="str">
        <f aca="false">IF($A39="","",IF(COUNTIFS(Historial!$B$3:$B$502,$A39,Historial!$C$3:$C$502,$B39,Historial!$G$3:$G$502,AW$4,Historial!$H$3:$H$502,$B$2)&gt;0,"✓",""))</f>
        <v/>
      </c>
      <c r="AX40" s="29" t="str">
        <f aca="false">IF($A39="","",IF(COUNTIFS(Historial!$B$3:$B$502,$A39,Historial!$C$3:$C$502,$B39,Historial!$G$3:$G$502,AX$4,Historial!$H$3:$H$502,$B$2)&gt;0,"✓",""))</f>
        <v/>
      </c>
      <c r="AY40" s="29" t="str">
        <f aca="false">IF($A39="","",IF(COUNTIFS(Historial!$B$3:$B$502,$A39,Historial!$C$3:$C$502,$B39,Historial!$G$3:$G$502,AY$4,Historial!$H$3:$H$502,$B$2)&gt;0,"✓",""))</f>
        <v/>
      </c>
      <c r="AZ40" s="29" t="str">
        <f aca="false">IF($A39="","",IF(COUNTIFS(Historial!$B$3:$B$502,$A39,Historial!$C$3:$C$502,$B39,Historial!$G$3:$G$502,AZ$4,Historial!$H$3:$H$502,$B$2)&gt;0,"✓",""))</f>
        <v/>
      </c>
      <c r="BA40" s="29" t="str">
        <f aca="false">IF($A39="","",IF(COUNTIFS(Historial!$B$3:$B$502,$A39,Historial!$C$3:$C$502,$B39,Historial!$G$3:$G$502,BA$4,Historial!$H$3:$H$502,$B$2)&gt;0,"✓",""))</f>
        <v/>
      </c>
      <c r="BB40" s="29" t="str">
        <f aca="false">IF($A39="","",IF(COUNTIFS(Historial!$B$3:$B$502,$A39,Historial!$C$3:$C$502,$B39,Historial!$G$3:$G$502,BB$4,Historial!$H$3:$H$502,$B$2)&gt;0,"✓",""))</f>
        <v/>
      </c>
      <c r="BC40" s="29" t="str">
        <f aca="false">IF($A39="","",IF(COUNTIFS(Historial!$B$3:$B$502,$A39,Historial!$C$3:$C$502,$B39,Historial!$G$3:$G$502,BC$4,Historial!$H$3:$H$502,$B$2)&gt;0,"✓",""))</f>
        <v/>
      </c>
      <c r="BD40" s="29"/>
      <c r="BE40" s="29"/>
      <c r="BF40" s="29"/>
    </row>
    <row r="41" customFormat="false" ht="15" hidden="false" customHeight="false" outlineLevel="0" collapsed="false">
      <c r="A41" s="24" t="str">
        <f aca="false">IF(Actividades!$B21="","",Actividades!$B21)</f>
        <v/>
      </c>
      <c r="B41" s="24" t="str">
        <f aca="false">IF(Actividades!$C21="","",Actividades!$C21)</f>
        <v/>
      </c>
      <c r="C41" s="24" t="str">
        <f aca="false">IF($A41="","","Plan")</f>
        <v/>
      </c>
      <c r="D41" s="25" t="str">
        <f aca="false">IF($A41="","",IF(AND(N(Actividades!$E21)&gt;0,D$4&gt;=Actividades!$E21,MOD(D$4-Actividades!$E21,IFERROR(VLOOKUP(Actividades!$D21,Listas!$A$2:$B$8,2,0),52))=0),"P",""))</f>
        <v/>
      </c>
      <c r="E41" s="25" t="str">
        <f aca="false">IF($A41="","",IF(AND(N(Actividades!$E21)&gt;0,E$4&gt;=Actividades!$E21,MOD(E$4-Actividades!$E21,IFERROR(VLOOKUP(Actividades!$D21,Listas!$A$2:$B$8,2,0),52))=0),"P",""))</f>
        <v/>
      </c>
      <c r="F41" s="25" t="str">
        <f aca="false">IF($A41="","",IF(AND(N(Actividades!$E21)&gt;0,F$4&gt;=Actividades!$E21,MOD(F$4-Actividades!$E21,IFERROR(VLOOKUP(Actividades!$D21,Listas!$A$2:$B$8,2,0),52))=0),"P",""))</f>
        <v/>
      </c>
      <c r="G41" s="25" t="str">
        <f aca="false">IF($A41="","",IF(AND(N(Actividades!$E21)&gt;0,G$4&gt;=Actividades!$E21,MOD(G$4-Actividades!$E21,IFERROR(VLOOKUP(Actividades!$D21,Listas!$A$2:$B$8,2,0),52))=0),"P",""))</f>
        <v/>
      </c>
      <c r="H41" s="25" t="str">
        <f aca="false">IF($A41="","",IF(AND(N(Actividades!$E21)&gt;0,H$4&gt;=Actividades!$E21,MOD(H$4-Actividades!$E21,IFERROR(VLOOKUP(Actividades!$D21,Listas!$A$2:$B$8,2,0),52))=0),"P",""))</f>
        <v/>
      </c>
      <c r="I41" s="25" t="str">
        <f aca="false">IF($A41="","",IF(AND(N(Actividades!$E21)&gt;0,I$4&gt;=Actividades!$E21,MOD(I$4-Actividades!$E21,IFERROR(VLOOKUP(Actividades!$D21,Listas!$A$2:$B$8,2,0),52))=0),"P",""))</f>
        <v/>
      </c>
      <c r="J41" s="25" t="str">
        <f aca="false">IF($A41="","",IF(AND(N(Actividades!$E21)&gt;0,J$4&gt;=Actividades!$E21,MOD(J$4-Actividades!$E21,IFERROR(VLOOKUP(Actividades!$D21,Listas!$A$2:$B$8,2,0),52))=0),"P",""))</f>
        <v/>
      </c>
      <c r="K41" s="25" t="str">
        <f aca="false">IF($A41="","",IF(AND(N(Actividades!$E21)&gt;0,K$4&gt;=Actividades!$E21,MOD(K$4-Actividades!$E21,IFERROR(VLOOKUP(Actividades!$D21,Listas!$A$2:$B$8,2,0),52))=0),"P",""))</f>
        <v/>
      </c>
      <c r="L41" s="25" t="str">
        <f aca="false">IF($A41="","",IF(AND(N(Actividades!$E21)&gt;0,L$4&gt;=Actividades!$E21,MOD(L$4-Actividades!$E21,IFERROR(VLOOKUP(Actividades!$D21,Listas!$A$2:$B$8,2,0),52))=0),"P",""))</f>
        <v/>
      </c>
      <c r="M41" s="25" t="str">
        <f aca="false">IF($A41="","",IF(AND(N(Actividades!$E21)&gt;0,M$4&gt;=Actividades!$E21,MOD(M$4-Actividades!$E21,IFERROR(VLOOKUP(Actividades!$D21,Listas!$A$2:$B$8,2,0),52))=0),"P",""))</f>
        <v/>
      </c>
      <c r="N41" s="25" t="str">
        <f aca="false">IF($A41="","",IF(AND(N(Actividades!$E21)&gt;0,N$4&gt;=Actividades!$E21,MOD(N$4-Actividades!$E21,IFERROR(VLOOKUP(Actividades!$D21,Listas!$A$2:$B$8,2,0),52))=0),"P",""))</f>
        <v/>
      </c>
      <c r="O41" s="25" t="str">
        <f aca="false">IF($A41="","",IF(AND(N(Actividades!$E21)&gt;0,O$4&gt;=Actividades!$E21,MOD(O$4-Actividades!$E21,IFERROR(VLOOKUP(Actividades!$D21,Listas!$A$2:$B$8,2,0),52))=0),"P",""))</f>
        <v/>
      </c>
      <c r="P41" s="25" t="str">
        <f aca="false">IF($A41="","",IF(AND(N(Actividades!$E21)&gt;0,P$4&gt;=Actividades!$E21,MOD(P$4-Actividades!$E21,IFERROR(VLOOKUP(Actividades!$D21,Listas!$A$2:$B$8,2,0),52))=0),"P",""))</f>
        <v/>
      </c>
      <c r="Q41" s="25" t="str">
        <f aca="false">IF($A41="","",IF(AND(N(Actividades!$E21)&gt;0,Q$4&gt;=Actividades!$E21,MOD(Q$4-Actividades!$E21,IFERROR(VLOOKUP(Actividades!$D21,Listas!$A$2:$B$8,2,0),52))=0),"P",""))</f>
        <v/>
      </c>
      <c r="R41" s="25" t="str">
        <f aca="false">IF($A41="","",IF(AND(N(Actividades!$E21)&gt;0,R$4&gt;=Actividades!$E21,MOD(R$4-Actividades!$E21,IFERROR(VLOOKUP(Actividades!$D21,Listas!$A$2:$B$8,2,0),52))=0),"P",""))</f>
        <v/>
      </c>
      <c r="S41" s="25" t="str">
        <f aca="false">IF($A41="","",IF(AND(N(Actividades!$E21)&gt;0,S$4&gt;=Actividades!$E21,MOD(S$4-Actividades!$E21,IFERROR(VLOOKUP(Actividades!$D21,Listas!$A$2:$B$8,2,0),52))=0),"P",""))</f>
        <v/>
      </c>
      <c r="T41" s="25" t="str">
        <f aca="false">IF($A41="","",IF(AND(N(Actividades!$E21)&gt;0,T$4&gt;=Actividades!$E21,MOD(T$4-Actividades!$E21,IFERROR(VLOOKUP(Actividades!$D21,Listas!$A$2:$B$8,2,0),52))=0),"P",""))</f>
        <v/>
      </c>
      <c r="U41" s="25" t="str">
        <f aca="false">IF($A41="","",IF(AND(N(Actividades!$E21)&gt;0,U$4&gt;=Actividades!$E21,MOD(U$4-Actividades!$E21,IFERROR(VLOOKUP(Actividades!$D21,Listas!$A$2:$B$8,2,0),52))=0),"P",""))</f>
        <v/>
      </c>
      <c r="V41" s="25" t="str">
        <f aca="false">IF($A41="","",IF(AND(N(Actividades!$E21)&gt;0,V$4&gt;=Actividades!$E21,MOD(V$4-Actividades!$E21,IFERROR(VLOOKUP(Actividades!$D21,Listas!$A$2:$B$8,2,0),52))=0),"P",""))</f>
        <v/>
      </c>
      <c r="W41" s="25" t="str">
        <f aca="false">IF($A41="","",IF(AND(N(Actividades!$E21)&gt;0,W$4&gt;=Actividades!$E21,MOD(W$4-Actividades!$E21,IFERROR(VLOOKUP(Actividades!$D21,Listas!$A$2:$B$8,2,0),52))=0),"P",""))</f>
        <v/>
      </c>
      <c r="X41" s="25" t="str">
        <f aca="false">IF($A41="","",IF(AND(N(Actividades!$E21)&gt;0,X$4&gt;=Actividades!$E21,MOD(X$4-Actividades!$E21,IFERROR(VLOOKUP(Actividades!$D21,Listas!$A$2:$B$8,2,0),52))=0),"P",""))</f>
        <v/>
      </c>
      <c r="Y41" s="25" t="str">
        <f aca="false">IF($A41="","",IF(AND(N(Actividades!$E21)&gt;0,Y$4&gt;=Actividades!$E21,MOD(Y$4-Actividades!$E21,IFERROR(VLOOKUP(Actividades!$D21,Listas!$A$2:$B$8,2,0),52))=0),"P",""))</f>
        <v/>
      </c>
      <c r="Z41" s="25" t="str">
        <f aca="false">IF($A41="","",IF(AND(N(Actividades!$E21)&gt;0,Z$4&gt;=Actividades!$E21,MOD(Z$4-Actividades!$E21,IFERROR(VLOOKUP(Actividades!$D21,Listas!$A$2:$B$8,2,0),52))=0),"P",""))</f>
        <v/>
      </c>
      <c r="AA41" s="25" t="str">
        <f aca="false">IF($A41="","",IF(AND(N(Actividades!$E21)&gt;0,AA$4&gt;=Actividades!$E21,MOD(AA$4-Actividades!$E21,IFERROR(VLOOKUP(Actividades!$D21,Listas!$A$2:$B$8,2,0),52))=0),"P",""))</f>
        <v/>
      </c>
      <c r="AB41" s="25" t="str">
        <f aca="false">IF($A41="","",IF(AND(N(Actividades!$E21)&gt;0,AB$4&gt;=Actividades!$E21,MOD(AB$4-Actividades!$E21,IFERROR(VLOOKUP(Actividades!$D21,Listas!$A$2:$B$8,2,0),52))=0),"P",""))</f>
        <v/>
      </c>
      <c r="AC41" s="25" t="str">
        <f aca="false">IF($A41="","",IF(AND(N(Actividades!$E21)&gt;0,AC$4&gt;=Actividades!$E21,MOD(AC$4-Actividades!$E21,IFERROR(VLOOKUP(Actividades!$D21,Listas!$A$2:$B$8,2,0),52))=0),"P",""))</f>
        <v/>
      </c>
      <c r="AD41" s="25" t="str">
        <f aca="false">IF($A41="","",IF(AND(N(Actividades!$E21)&gt;0,AD$4&gt;=Actividades!$E21,MOD(AD$4-Actividades!$E21,IFERROR(VLOOKUP(Actividades!$D21,Listas!$A$2:$B$8,2,0),52))=0),"P",""))</f>
        <v/>
      </c>
      <c r="AE41" s="25" t="str">
        <f aca="false">IF($A41="","",IF(AND(N(Actividades!$E21)&gt;0,AE$4&gt;=Actividades!$E21,MOD(AE$4-Actividades!$E21,IFERROR(VLOOKUP(Actividades!$D21,Listas!$A$2:$B$8,2,0),52))=0),"P",""))</f>
        <v/>
      </c>
      <c r="AF41" s="25" t="str">
        <f aca="false">IF($A41="","",IF(AND(N(Actividades!$E21)&gt;0,AF$4&gt;=Actividades!$E21,MOD(AF$4-Actividades!$E21,IFERROR(VLOOKUP(Actividades!$D21,Listas!$A$2:$B$8,2,0),52))=0),"P",""))</f>
        <v/>
      </c>
      <c r="AG41" s="25" t="str">
        <f aca="false">IF($A41="","",IF(AND(N(Actividades!$E21)&gt;0,AG$4&gt;=Actividades!$E21,MOD(AG$4-Actividades!$E21,IFERROR(VLOOKUP(Actividades!$D21,Listas!$A$2:$B$8,2,0),52))=0),"P",""))</f>
        <v/>
      </c>
      <c r="AH41" s="25" t="str">
        <f aca="false">IF($A41="","",IF(AND(N(Actividades!$E21)&gt;0,AH$4&gt;=Actividades!$E21,MOD(AH$4-Actividades!$E21,IFERROR(VLOOKUP(Actividades!$D21,Listas!$A$2:$B$8,2,0),52))=0),"P",""))</f>
        <v/>
      </c>
      <c r="AI41" s="25" t="str">
        <f aca="false">IF($A41="","",IF(AND(N(Actividades!$E21)&gt;0,AI$4&gt;=Actividades!$E21,MOD(AI$4-Actividades!$E21,IFERROR(VLOOKUP(Actividades!$D21,Listas!$A$2:$B$8,2,0),52))=0),"P",""))</f>
        <v/>
      </c>
      <c r="AJ41" s="25" t="str">
        <f aca="false">IF($A41="","",IF(AND(N(Actividades!$E21)&gt;0,AJ$4&gt;=Actividades!$E21,MOD(AJ$4-Actividades!$E21,IFERROR(VLOOKUP(Actividades!$D21,Listas!$A$2:$B$8,2,0),52))=0),"P",""))</f>
        <v/>
      </c>
      <c r="AK41" s="25" t="str">
        <f aca="false">IF($A41="","",IF(AND(N(Actividades!$E21)&gt;0,AK$4&gt;=Actividades!$E21,MOD(AK$4-Actividades!$E21,IFERROR(VLOOKUP(Actividades!$D21,Listas!$A$2:$B$8,2,0),52))=0),"P",""))</f>
        <v/>
      </c>
      <c r="AL41" s="25" t="str">
        <f aca="false">IF($A41="","",IF(AND(N(Actividades!$E21)&gt;0,AL$4&gt;=Actividades!$E21,MOD(AL$4-Actividades!$E21,IFERROR(VLOOKUP(Actividades!$D21,Listas!$A$2:$B$8,2,0),52))=0),"P",""))</f>
        <v/>
      </c>
      <c r="AM41" s="25" t="str">
        <f aca="false">IF($A41="","",IF(AND(N(Actividades!$E21)&gt;0,AM$4&gt;=Actividades!$E21,MOD(AM$4-Actividades!$E21,IFERROR(VLOOKUP(Actividades!$D21,Listas!$A$2:$B$8,2,0),52))=0),"P",""))</f>
        <v/>
      </c>
      <c r="AN41" s="25" t="str">
        <f aca="false">IF($A41="","",IF(AND(N(Actividades!$E21)&gt;0,AN$4&gt;=Actividades!$E21,MOD(AN$4-Actividades!$E21,IFERROR(VLOOKUP(Actividades!$D21,Listas!$A$2:$B$8,2,0),52))=0),"P",""))</f>
        <v/>
      </c>
      <c r="AO41" s="25" t="str">
        <f aca="false">IF($A41="","",IF(AND(N(Actividades!$E21)&gt;0,AO$4&gt;=Actividades!$E21,MOD(AO$4-Actividades!$E21,IFERROR(VLOOKUP(Actividades!$D21,Listas!$A$2:$B$8,2,0),52))=0),"P",""))</f>
        <v/>
      </c>
      <c r="AP41" s="25" t="str">
        <f aca="false">IF($A41="","",IF(AND(N(Actividades!$E21)&gt;0,AP$4&gt;=Actividades!$E21,MOD(AP$4-Actividades!$E21,IFERROR(VLOOKUP(Actividades!$D21,Listas!$A$2:$B$8,2,0),52))=0),"P",""))</f>
        <v/>
      </c>
      <c r="AQ41" s="25" t="str">
        <f aca="false">IF($A41="","",IF(AND(N(Actividades!$E21)&gt;0,AQ$4&gt;=Actividades!$E21,MOD(AQ$4-Actividades!$E21,IFERROR(VLOOKUP(Actividades!$D21,Listas!$A$2:$B$8,2,0),52))=0),"P",""))</f>
        <v/>
      </c>
      <c r="AR41" s="25" t="str">
        <f aca="false">IF($A41="","",IF(AND(N(Actividades!$E21)&gt;0,AR$4&gt;=Actividades!$E21,MOD(AR$4-Actividades!$E21,IFERROR(VLOOKUP(Actividades!$D21,Listas!$A$2:$B$8,2,0),52))=0),"P",""))</f>
        <v/>
      </c>
      <c r="AS41" s="25" t="str">
        <f aca="false">IF($A41="","",IF(AND(N(Actividades!$E21)&gt;0,AS$4&gt;=Actividades!$E21,MOD(AS$4-Actividades!$E21,IFERROR(VLOOKUP(Actividades!$D21,Listas!$A$2:$B$8,2,0),52))=0),"P",""))</f>
        <v/>
      </c>
      <c r="AT41" s="25" t="str">
        <f aca="false">IF($A41="","",IF(AND(N(Actividades!$E21)&gt;0,AT$4&gt;=Actividades!$E21,MOD(AT$4-Actividades!$E21,IFERROR(VLOOKUP(Actividades!$D21,Listas!$A$2:$B$8,2,0),52))=0),"P",""))</f>
        <v/>
      </c>
      <c r="AU41" s="25" t="str">
        <f aca="false">IF($A41="","",IF(AND(N(Actividades!$E21)&gt;0,AU$4&gt;=Actividades!$E21,MOD(AU$4-Actividades!$E21,IFERROR(VLOOKUP(Actividades!$D21,Listas!$A$2:$B$8,2,0),52))=0),"P",""))</f>
        <v/>
      </c>
      <c r="AV41" s="25" t="str">
        <f aca="false">IF($A41="","",IF(AND(N(Actividades!$E21)&gt;0,AV$4&gt;=Actividades!$E21,MOD(AV$4-Actividades!$E21,IFERROR(VLOOKUP(Actividades!$D21,Listas!$A$2:$B$8,2,0),52))=0),"P",""))</f>
        <v/>
      </c>
      <c r="AW41" s="25" t="str">
        <f aca="false">IF($A41="","",IF(AND(N(Actividades!$E21)&gt;0,AW$4&gt;=Actividades!$E21,MOD(AW$4-Actividades!$E21,IFERROR(VLOOKUP(Actividades!$D21,Listas!$A$2:$B$8,2,0),52))=0),"P",""))</f>
        <v/>
      </c>
      <c r="AX41" s="25" t="str">
        <f aca="false">IF($A41="","",IF(AND(N(Actividades!$E21)&gt;0,AX$4&gt;=Actividades!$E21,MOD(AX$4-Actividades!$E21,IFERROR(VLOOKUP(Actividades!$D21,Listas!$A$2:$B$8,2,0),52))=0),"P",""))</f>
        <v/>
      </c>
      <c r="AY41" s="25" t="str">
        <f aca="false">IF($A41="","",IF(AND(N(Actividades!$E21)&gt;0,AY$4&gt;=Actividades!$E21,MOD(AY$4-Actividades!$E21,IFERROR(VLOOKUP(Actividades!$D21,Listas!$A$2:$B$8,2,0),52))=0),"P",""))</f>
        <v/>
      </c>
      <c r="AZ41" s="25" t="str">
        <f aca="false">IF($A41="","",IF(AND(N(Actividades!$E21)&gt;0,AZ$4&gt;=Actividades!$E21,MOD(AZ$4-Actividades!$E21,IFERROR(VLOOKUP(Actividades!$D21,Listas!$A$2:$B$8,2,0),52))=0),"P",""))</f>
        <v/>
      </c>
      <c r="BA41" s="25" t="str">
        <f aca="false">IF($A41="","",IF(AND(N(Actividades!$E21)&gt;0,BA$4&gt;=Actividades!$E21,MOD(BA$4-Actividades!$E21,IFERROR(VLOOKUP(Actividades!$D21,Listas!$A$2:$B$8,2,0),52))=0),"P",""))</f>
        <v/>
      </c>
      <c r="BB41" s="25" t="str">
        <f aca="false">IF($A41="","",IF(AND(N(Actividades!$E21)&gt;0,BB$4&gt;=Actividades!$E21,MOD(BB$4-Actividades!$E21,IFERROR(VLOOKUP(Actividades!$D21,Listas!$A$2:$B$8,2,0),52))=0),"P",""))</f>
        <v/>
      </c>
      <c r="BC41" s="25" t="str">
        <f aca="false">IF($A41="","",IF(AND(N(Actividades!$E21)&gt;0,BC$4&gt;=Actividades!$E21,MOD(BC$4-Actividades!$E21,IFERROR(VLOOKUP(Actividades!$D21,Listas!$A$2:$B$8,2,0),52))=0),"P",""))</f>
        <v/>
      </c>
      <c r="BD41" s="26" t="str">
        <f aca="false">IF($A41="","",COUNTIF(D41:BC41,"P"))</f>
        <v/>
      </c>
      <c r="BE41" s="26" t="str">
        <f aca="false">IF($A41="","",SUMPRODUCT((D41:BC41="P")*(D42:BC42="✓")))</f>
        <v/>
      </c>
      <c r="BF41" s="27" t="str">
        <f aca="false">IF($A41="","",IF(BD41=0,"",BE41/BD41))</f>
        <v/>
      </c>
    </row>
    <row r="42" customFormat="false" ht="15" hidden="false" customHeight="false" outlineLevel="0" collapsed="false">
      <c r="A42" s="28"/>
      <c r="B42" s="28"/>
      <c r="C42" s="28" t="str">
        <f aca="false">IF($A41="","","Real")</f>
        <v/>
      </c>
      <c r="D42" s="29" t="str">
        <f aca="false">IF($A41="","",IF(COUNTIFS(Historial!$B$3:$B$502,$A41,Historial!$C$3:$C$502,$B41,Historial!$G$3:$G$502,D$4,Historial!$H$3:$H$502,$B$2)&gt;0,"✓",""))</f>
        <v/>
      </c>
      <c r="E42" s="29" t="str">
        <f aca="false">IF($A41="","",IF(COUNTIFS(Historial!$B$3:$B$502,$A41,Historial!$C$3:$C$502,$B41,Historial!$G$3:$G$502,E$4,Historial!$H$3:$H$502,$B$2)&gt;0,"✓",""))</f>
        <v/>
      </c>
      <c r="F42" s="29" t="str">
        <f aca="false">IF($A41="","",IF(COUNTIFS(Historial!$B$3:$B$502,$A41,Historial!$C$3:$C$502,$B41,Historial!$G$3:$G$502,F$4,Historial!$H$3:$H$502,$B$2)&gt;0,"✓",""))</f>
        <v/>
      </c>
      <c r="G42" s="29" t="str">
        <f aca="false">IF($A41="","",IF(COUNTIFS(Historial!$B$3:$B$502,$A41,Historial!$C$3:$C$502,$B41,Historial!$G$3:$G$502,G$4,Historial!$H$3:$H$502,$B$2)&gt;0,"✓",""))</f>
        <v/>
      </c>
      <c r="H42" s="29" t="str">
        <f aca="false">IF($A41="","",IF(COUNTIFS(Historial!$B$3:$B$502,$A41,Historial!$C$3:$C$502,$B41,Historial!$G$3:$G$502,H$4,Historial!$H$3:$H$502,$B$2)&gt;0,"✓",""))</f>
        <v/>
      </c>
      <c r="I42" s="29" t="str">
        <f aca="false">IF($A41="","",IF(COUNTIFS(Historial!$B$3:$B$502,$A41,Historial!$C$3:$C$502,$B41,Historial!$G$3:$G$502,I$4,Historial!$H$3:$H$502,$B$2)&gt;0,"✓",""))</f>
        <v/>
      </c>
      <c r="J42" s="29" t="str">
        <f aca="false">IF($A41="","",IF(COUNTIFS(Historial!$B$3:$B$502,$A41,Historial!$C$3:$C$502,$B41,Historial!$G$3:$G$502,J$4,Historial!$H$3:$H$502,$B$2)&gt;0,"✓",""))</f>
        <v/>
      </c>
      <c r="K42" s="29" t="str">
        <f aca="false">IF($A41="","",IF(COUNTIFS(Historial!$B$3:$B$502,$A41,Historial!$C$3:$C$502,$B41,Historial!$G$3:$G$502,K$4,Historial!$H$3:$H$502,$B$2)&gt;0,"✓",""))</f>
        <v/>
      </c>
      <c r="L42" s="29" t="str">
        <f aca="false">IF($A41="","",IF(COUNTIFS(Historial!$B$3:$B$502,$A41,Historial!$C$3:$C$502,$B41,Historial!$G$3:$G$502,L$4,Historial!$H$3:$H$502,$B$2)&gt;0,"✓",""))</f>
        <v/>
      </c>
      <c r="M42" s="29" t="str">
        <f aca="false">IF($A41="","",IF(COUNTIFS(Historial!$B$3:$B$502,$A41,Historial!$C$3:$C$502,$B41,Historial!$G$3:$G$502,M$4,Historial!$H$3:$H$502,$B$2)&gt;0,"✓",""))</f>
        <v/>
      </c>
      <c r="N42" s="29" t="str">
        <f aca="false">IF($A41="","",IF(COUNTIFS(Historial!$B$3:$B$502,$A41,Historial!$C$3:$C$502,$B41,Historial!$G$3:$G$502,N$4,Historial!$H$3:$H$502,$B$2)&gt;0,"✓",""))</f>
        <v/>
      </c>
      <c r="O42" s="29" t="str">
        <f aca="false">IF($A41="","",IF(COUNTIFS(Historial!$B$3:$B$502,$A41,Historial!$C$3:$C$502,$B41,Historial!$G$3:$G$502,O$4,Historial!$H$3:$H$502,$B$2)&gt;0,"✓",""))</f>
        <v/>
      </c>
      <c r="P42" s="29" t="str">
        <f aca="false">IF($A41="","",IF(COUNTIFS(Historial!$B$3:$B$502,$A41,Historial!$C$3:$C$502,$B41,Historial!$G$3:$G$502,P$4,Historial!$H$3:$H$502,$B$2)&gt;0,"✓",""))</f>
        <v/>
      </c>
      <c r="Q42" s="29" t="str">
        <f aca="false">IF($A41="","",IF(COUNTIFS(Historial!$B$3:$B$502,$A41,Historial!$C$3:$C$502,$B41,Historial!$G$3:$G$502,Q$4,Historial!$H$3:$H$502,$B$2)&gt;0,"✓",""))</f>
        <v/>
      </c>
      <c r="R42" s="29" t="str">
        <f aca="false">IF($A41="","",IF(COUNTIFS(Historial!$B$3:$B$502,$A41,Historial!$C$3:$C$502,$B41,Historial!$G$3:$G$502,R$4,Historial!$H$3:$H$502,$B$2)&gt;0,"✓",""))</f>
        <v/>
      </c>
      <c r="S42" s="29" t="str">
        <f aca="false">IF($A41="","",IF(COUNTIFS(Historial!$B$3:$B$502,$A41,Historial!$C$3:$C$502,$B41,Historial!$G$3:$G$502,S$4,Historial!$H$3:$H$502,$B$2)&gt;0,"✓",""))</f>
        <v/>
      </c>
      <c r="T42" s="29" t="str">
        <f aca="false">IF($A41="","",IF(COUNTIFS(Historial!$B$3:$B$502,$A41,Historial!$C$3:$C$502,$B41,Historial!$G$3:$G$502,T$4,Historial!$H$3:$H$502,$B$2)&gt;0,"✓",""))</f>
        <v/>
      </c>
      <c r="U42" s="29" t="str">
        <f aca="false">IF($A41="","",IF(COUNTIFS(Historial!$B$3:$B$502,$A41,Historial!$C$3:$C$502,$B41,Historial!$G$3:$G$502,U$4,Historial!$H$3:$H$502,$B$2)&gt;0,"✓",""))</f>
        <v/>
      </c>
      <c r="V42" s="29" t="str">
        <f aca="false">IF($A41="","",IF(COUNTIFS(Historial!$B$3:$B$502,$A41,Historial!$C$3:$C$502,$B41,Historial!$G$3:$G$502,V$4,Historial!$H$3:$H$502,$B$2)&gt;0,"✓",""))</f>
        <v/>
      </c>
      <c r="W42" s="29" t="str">
        <f aca="false">IF($A41="","",IF(COUNTIFS(Historial!$B$3:$B$502,$A41,Historial!$C$3:$C$502,$B41,Historial!$G$3:$G$502,W$4,Historial!$H$3:$H$502,$B$2)&gt;0,"✓",""))</f>
        <v/>
      </c>
      <c r="X42" s="29" t="str">
        <f aca="false">IF($A41="","",IF(COUNTIFS(Historial!$B$3:$B$502,$A41,Historial!$C$3:$C$502,$B41,Historial!$G$3:$G$502,X$4,Historial!$H$3:$H$502,$B$2)&gt;0,"✓",""))</f>
        <v/>
      </c>
      <c r="Y42" s="29" t="str">
        <f aca="false">IF($A41="","",IF(COUNTIFS(Historial!$B$3:$B$502,$A41,Historial!$C$3:$C$502,$B41,Historial!$G$3:$G$502,Y$4,Historial!$H$3:$H$502,$B$2)&gt;0,"✓",""))</f>
        <v/>
      </c>
      <c r="Z42" s="29" t="str">
        <f aca="false">IF($A41="","",IF(COUNTIFS(Historial!$B$3:$B$502,$A41,Historial!$C$3:$C$502,$B41,Historial!$G$3:$G$502,Z$4,Historial!$H$3:$H$502,$B$2)&gt;0,"✓",""))</f>
        <v/>
      </c>
      <c r="AA42" s="29" t="str">
        <f aca="false">IF($A41="","",IF(COUNTIFS(Historial!$B$3:$B$502,$A41,Historial!$C$3:$C$502,$B41,Historial!$G$3:$G$502,AA$4,Historial!$H$3:$H$502,$B$2)&gt;0,"✓",""))</f>
        <v/>
      </c>
      <c r="AB42" s="29" t="str">
        <f aca="false">IF($A41="","",IF(COUNTIFS(Historial!$B$3:$B$502,$A41,Historial!$C$3:$C$502,$B41,Historial!$G$3:$G$502,AB$4,Historial!$H$3:$H$502,$B$2)&gt;0,"✓",""))</f>
        <v/>
      </c>
      <c r="AC42" s="29" t="str">
        <f aca="false">IF($A41="","",IF(COUNTIFS(Historial!$B$3:$B$502,$A41,Historial!$C$3:$C$502,$B41,Historial!$G$3:$G$502,AC$4,Historial!$H$3:$H$502,$B$2)&gt;0,"✓",""))</f>
        <v/>
      </c>
      <c r="AD42" s="29" t="str">
        <f aca="false">IF($A41="","",IF(COUNTIFS(Historial!$B$3:$B$502,$A41,Historial!$C$3:$C$502,$B41,Historial!$G$3:$G$502,AD$4,Historial!$H$3:$H$502,$B$2)&gt;0,"✓",""))</f>
        <v/>
      </c>
      <c r="AE42" s="29" t="str">
        <f aca="false">IF($A41="","",IF(COUNTIFS(Historial!$B$3:$B$502,$A41,Historial!$C$3:$C$502,$B41,Historial!$G$3:$G$502,AE$4,Historial!$H$3:$H$502,$B$2)&gt;0,"✓",""))</f>
        <v/>
      </c>
      <c r="AF42" s="29" t="str">
        <f aca="false">IF($A41="","",IF(COUNTIFS(Historial!$B$3:$B$502,$A41,Historial!$C$3:$C$502,$B41,Historial!$G$3:$G$502,AF$4,Historial!$H$3:$H$502,$B$2)&gt;0,"✓",""))</f>
        <v/>
      </c>
      <c r="AG42" s="29" t="str">
        <f aca="false">IF($A41="","",IF(COUNTIFS(Historial!$B$3:$B$502,$A41,Historial!$C$3:$C$502,$B41,Historial!$G$3:$G$502,AG$4,Historial!$H$3:$H$502,$B$2)&gt;0,"✓",""))</f>
        <v/>
      </c>
      <c r="AH42" s="29" t="str">
        <f aca="false">IF($A41="","",IF(COUNTIFS(Historial!$B$3:$B$502,$A41,Historial!$C$3:$C$502,$B41,Historial!$G$3:$G$502,AH$4,Historial!$H$3:$H$502,$B$2)&gt;0,"✓",""))</f>
        <v/>
      </c>
      <c r="AI42" s="29" t="str">
        <f aca="false">IF($A41="","",IF(COUNTIFS(Historial!$B$3:$B$502,$A41,Historial!$C$3:$C$502,$B41,Historial!$G$3:$G$502,AI$4,Historial!$H$3:$H$502,$B$2)&gt;0,"✓",""))</f>
        <v/>
      </c>
      <c r="AJ42" s="29" t="str">
        <f aca="false">IF($A41="","",IF(COUNTIFS(Historial!$B$3:$B$502,$A41,Historial!$C$3:$C$502,$B41,Historial!$G$3:$G$502,AJ$4,Historial!$H$3:$H$502,$B$2)&gt;0,"✓",""))</f>
        <v/>
      </c>
      <c r="AK42" s="29" t="str">
        <f aca="false">IF($A41="","",IF(COUNTIFS(Historial!$B$3:$B$502,$A41,Historial!$C$3:$C$502,$B41,Historial!$G$3:$G$502,AK$4,Historial!$H$3:$H$502,$B$2)&gt;0,"✓",""))</f>
        <v/>
      </c>
      <c r="AL42" s="29" t="str">
        <f aca="false">IF($A41="","",IF(COUNTIFS(Historial!$B$3:$B$502,$A41,Historial!$C$3:$C$502,$B41,Historial!$G$3:$G$502,AL$4,Historial!$H$3:$H$502,$B$2)&gt;0,"✓",""))</f>
        <v/>
      </c>
      <c r="AM42" s="29" t="str">
        <f aca="false">IF($A41="","",IF(COUNTIFS(Historial!$B$3:$B$502,$A41,Historial!$C$3:$C$502,$B41,Historial!$G$3:$G$502,AM$4,Historial!$H$3:$H$502,$B$2)&gt;0,"✓",""))</f>
        <v/>
      </c>
      <c r="AN42" s="29" t="str">
        <f aca="false">IF($A41="","",IF(COUNTIFS(Historial!$B$3:$B$502,$A41,Historial!$C$3:$C$502,$B41,Historial!$G$3:$G$502,AN$4,Historial!$H$3:$H$502,$B$2)&gt;0,"✓",""))</f>
        <v/>
      </c>
      <c r="AO42" s="29" t="str">
        <f aca="false">IF($A41="","",IF(COUNTIFS(Historial!$B$3:$B$502,$A41,Historial!$C$3:$C$502,$B41,Historial!$G$3:$G$502,AO$4,Historial!$H$3:$H$502,$B$2)&gt;0,"✓",""))</f>
        <v/>
      </c>
      <c r="AP42" s="29" t="str">
        <f aca="false">IF($A41="","",IF(COUNTIFS(Historial!$B$3:$B$502,$A41,Historial!$C$3:$C$502,$B41,Historial!$G$3:$G$502,AP$4,Historial!$H$3:$H$502,$B$2)&gt;0,"✓",""))</f>
        <v/>
      </c>
      <c r="AQ42" s="29" t="str">
        <f aca="false">IF($A41="","",IF(COUNTIFS(Historial!$B$3:$B$502,$A41,Historial!$C$3:$C$502,$B41,Historial!$G$3:$G$502,AQ$4,Historial!$H$3:$H$502,$B$2)&gt;0,"✓",""))</f>
        <v/>
      </c>
      <c r="AR42" s="29" t="str">
        <f aca="false">IF($A41="","",IF(COUNTIFS(Historial!$B$3:$B$502,$A41,Historial!$C$3:$C$502,$B41,Historial!$G$3:$G$502,AR$4,Historial!$H$3:$H$502,$B$2)&gt;0,"✓",""))</f>
        <v/>
      </c>
      <c r="AS42" s="29" t="str">
        <f aca="false">IF($A41="","",IF(COUNTIFS(Historial!$B$3:$B$502,$A41,Historial!$C$3:$C$502,$B41,Historial!$G$3:$G$502,AS$4,Historial!$H$3:$H$502,$B$2)&gt;0,"✓",""))</f>
        <v/>
      </c>
      <c r="AT42" s="29" t="str">
        <f aca="false">IF($A41="","",IF(COUNTIFS(Historial!$B$3:$B$502,$A41,Historial!$C$3:$C$502,$B41,Historial!$G$3:$G$502,AT$4,Historial!$H$3:$H$502,$B$2)&gt;0,"✓",""))</f>
        <v/>
      </c>
      <c r="AU42" s="29" t="str">
        <f aca="false">IF($A41="","",IF(COUNTIFS(Historial!$B$3:$B$502,$A41,Historial!$C$3:$C$502,$B41,Historial!$G$3:$G$502,AU$4,Historial!$H$3:$H$502,$B$2)&gt;0,"✓",""))</f>
        <v/>
      </c>
      <c r="AV42" s="29" t="str">
        <f aca="false">IF($A41="","",IF(COUNTIFS(Historial!$B$3:$B$502,$A41,Historial!$C$3:$C$502,$B41,Historial!$G$3:$G$502,AV$4,Historial!$H$3:$H$502,$B$2)&gt;0,"✓",""))</f>
        <v/>
      </c>
      <c r="AW42" s="29" t="str">
        <f aca="false">IF($A41="","",IF(COUNTIFS(Historial!$B$3:$B$502,$A41,Historial!$C$3:$C$502,$B41,Historial!$G$3:$G$502,AW$4,Historial!$H$3:$H$502,$B$2)&gt;0,"✓",""))</f>
        <v/>
      </c>
      <c r="AX42" s="29" t="str">
        <f aca="false">IF($A41="","",IF(COUNTIFS(Historial!$B$3:$B$502,$A41,Historial!$C$3:$C$502,$B41,Historial!$G$3:$G$502,AX$4,Historial!$H$3:$H$502,$B$2)&gt;0,"✓",""))</f>
        <v/>
      </c>
      <c r="AY42" s="29" t="str">
        <f aca="false">IF($A41="","",IF(COUNTIFS(Historial!$B$3:$B$502,$A41,Historial!$C$3:$C$502,$B41,Historial!$G$3:$G$502,AY$4,Historial!$H$3:$H$502,$B$2)&gt;0,"✓",""))</f>
        <v/>
      </c>
      <c r="AZ42" s="29" t="str">
        <f aca="false">IF($A41="","",IF(COUNTIFS(Historial!$B$3:$B$502,$A41,Historial!$C$3:$C$502,$B41,Historial!$G$3:$G$502,AZ$4,Historial!$H$3:$H$502,$B$2)&gt;0,"✓",""))</f>
        <v/>
      </c>
      <c r="BA42" s="29" t="str">
        <f aca="false">IF($A41="","",IF(COUNTIFS(Historial!$B$3:$B$502,$A41,Historial!$C$3:$C$502,$B41,Historial!$G$3:$G$502,BA$4,Historial!$H$3:$H$502,$B$2)&gt;0,"✓",""))</f>
        <v/>
      </c>
      <c r="BB42" s="29" t="str">
        <f aca="false">IF($A41="","",IF(COUNTIFS(Historial!$B$3:$B$502,$A41,Historial!$C$3:$C$502,$B41,Historial!$G$3:$G$502,BB$4,Historial!$H$3:$H$502,$B$2)&gt;0,"✓",""))</f>
        <v/>
      </c>
      <c r="BC42" s="29" t="str">
        <f aca="false">IF($A41="","",IF(COUNTIFS(Historial!$B$3:$B$502,$A41,Historial!$C$3:$C$502,$B41,Historial!$G$3:$G$502,BC$4,Historial!$H$3:$H$502,$B$2)&gt;0,"✓",""))</f>
        <v/>
      </c>
      <c r="BD42" s="29"/>
      <c r="BE42" s="29"/>
      <c r="BF42" s="29"/>
    </row>
    <row r="43" customFormat="false" ht="15" hidden="false" customHeight="false" outlineLevel="0" collapsed="false">
      <c r="A43" s="24" t="str">
        <f aca="false">IF(Actividades!$B22="","",Actividades!$B22)</f>
        <v/>
      </c>
      <c r="B43" s="24" t="str">
        <f aca="false">IF(Actividades!$C22="","",Actividades!$C22)</f>
        <v/>
      </c>
      <c r="C43" s="24" t="str">
        <f aca="false">IF($A43="","","Plan")</f>
        <v/>
      </c>
      <c r="D43" s="25" t="str">
        <f aca="false">IF($A43="","",IF(AND(N(Actividades!$E22)&gt;0,D$4&gt;=Actividades!$E22,MOD(D$4-Actividades!$E22,IFERROR(VLOOKUP(Actividades!$D22,Listas!$A$2:$B$8,2,0),52))=0),"P",""))</f>
        <v/>
      </c>
      <c r="E43" s="25" t="str">
        <f aca="false">IF($A43="","",IF(AND(N(Actividades!$E22)&gt;0,E$4&gt;=Actividades!$E22,MOD(E$4-Actividades!$E22,IFERROR(VLOOKUP(Actividades!$D22,Listas!$A$2:$B$8,2,0),52))=0),"P",""))</f>
        <v/>
      </c>
      <c r="F43" s="25" t="str">
        <f aca="false">IF($A43="","",IF(AND(N(Actividades!$E22)&gt;0,F$4&gt;=Actividades!$E22,MOD(F$4-Actividades!$E22,IFERROR(VLOOKUP(Actividades!$D22,Listas!$A$2:$B$8,2,0),52))=0),"P",""))</f>
        <v/>
      </c>
      <c r="G43" s="25" t="str">
        <f aca="false">IF($A43="","",IF(AND(N(Actividades!$E22)&gt;0,G$4&gt;=Actividades!$E22,MOD(G$4-Actividades!$E22,IFERROR(VLOOKUP(Actividades!$D22,Listas!$A$2:$B$8,2,0),52))=0),"P",""))</f>
        <v/>
      </c>
      <c r="H43" s="25" t="str">
        <f aca="false">IF($A43="","",IF(AND(N(Actividades!$E22)&gt;0,H$4&gt;=Actividades!$E22,MOD(H$4-Actividades!$E22,IFERROR(VLOOKUP(Actividades!$D22,Listas!$A$2:$B$8,2,0),52))=0),"P",""))</f>
        <v/>
      </c>
      <c r="I43" s="25" t="str">
        <f aca="false">IF($A43="","",IF(AND(N(Actividades!$E22)&gt;0,I$4&gt;=Actividades!$E22,MOD(I$4-Actividades!$E22,IFERROR(VLOOKUP(Actividades!$D22,Listas!$A$2:$B$8,2,0),52))=0),"P",""))</f>
        <v/>
      </c>
      <c r="J43" s="25" t="str">
        <f aca="false">IF($A43="","",IF(AND(N(Actividades!$E22)&gt;0,J$4&gt;=Actividades!$E22,MOD(J$4-Actividades!$E22,IFERROR(VLOOKUP(Actividades!$D22,Listas!$A$2:$B$8,2,0),52))=0),"P",""))</f>
        <v/>
      </c>
      <c r="K43" s="25" t="str">
        <f aca="false">IF($A43="","",IF(AND(N(Actividades!$E22)&gt;0,K$4&gt;=Actividades!$E22,MOD(K$4-Actividades!$E22,IFERROR(VLOOKUP(Actividades!$D22,Listas!$A$2:$B$8,2,0),52))=0),"P",""))</f>
        <v/>
      </c>
      <c r="L43" s="25" t="str">
        <f aca="false">IF($A43="","",IF(AND(N(Actividades!$E22)&gt;0,L$4&gt;=Actividades!$E22,MOD(L$4-Actividades!$E22,IFERROR(VLOOKUP(Actividades!$D22,Listas!$A$2:$B$8,2,0),52))=0),"P",""))</f>
        <v/>
      </c>
      <c r="M43" s="25" t="str">
        <f aca="false">IF($A43="","",IF(AND(N(Actividades!$E22)&gt;0,M$4&gt;=Actividades!$E22,MOD(M$4-Actividades!$E22,IFERROR(VLOOKUP(Actividades!$D22,Listas!$A$2:$B$8,2,0),52))=0),"P",""))</f>
        <v/>
      </c>
      <c r="N43" s="25" t="str">
        <f aca="false">IF($A43="","",IF(AND(N(Actividades!$E22)&gt;0,N$4&gt;=Actividades!$E22,MOD(N$4-Actividades!$E22,IFERROR(VLOOKUP(Actividades!$D22,Listas!$A$2:$B$8,2,0),52))=0),"P",""))</f>
        <v/>
      </c>
      <c r="O43" s="25" t="str">
        <f aca="false">IF($A43="","",IF(AND(N(Actividades!$E22)&gt;0,O$4&gt;=Actividades!$E22,MOD(O$4-Actividades!$E22,IFERROR(VLOOKUP(Actividades!$D22,Listas!$A$2:$B$8,2,0),52))=0),"P",""))</f>
        <v/>
      </c>
      <c r="P43" s="25" t="str">
        <f aca="false">IF($A43="","",IF(AND(N(Actividades!$E22)&gt;0,P$4&gt;=Actividades!$E22,MOD(P$4-Actividades!$E22,IFERROR(VLOOKUP(Actividades!$D22,Listas!$A$2:$B$8,2,0),52))=0),"P",""))</f>
        <v/>
      </c>
      <c r="Q43" s="25" t="str">
        <f aca="false">IF($A43="","",IF(AND(N(Actividades!$E22)&gt;0,Q$4&gt;=Actividades!$E22,MOD(Q$4-Actividades!$E22,IFERROR(VLOOKUP(Actividades!$D22,Listas!$A$2:$B$8,2,0),52))=0),"P",""))</f>
        <v/>
      </c>
      <c r="R43" s="25" t="str">
        <f aca="false">IF($A43="","",IF(AND(N(Actividades!$E22)&gt;0,R$4&gt;=Actividades!$E22,MOD(R$4-Actividades!$E22,IFERROR(VLOOKUP(Actividades!$D22,Listas!$A$2:$B$8,2,0),52))=0),"P",""))</f>
        <v/>
      </c>
      <c r="S43" s="25" t="str">
        <f aca="false">IF($A43="","",IF(AND(N(Actividades!$E22)&gt;0,S$4&gt;=Actividades!$E22,MOD(S$4-Actividades!$E22,IFERROR(VLOOKUP(Actividades!$D22,Listas!$A$2:$B$8,2,0),52))=0),"P",""))</f>
        <v/>
      </c>
      <c r="T43" s="25" t="str">
        <f aca="false">IF($A43="","",IF(AND(N(Actividades!$E22)&gt;0,T$4&gt;=Actividades!$E22,MOD(T$4-Actividades!$E22,IFERROR(VLOOKUP(Actividades!$D22,Listas!$A$2:$B$8,2,0),52))=0),"P",""))</f>
        <v/>
      </c>
      <c r="U43" s="25" t="str">
        <f aca="false">IF($A43="","",IF(AND(N(Actividades!$E22)&gt;0,U$4&gt;=Actividades!$E22,MOD(U$4-Actividades!$E22,IFERROR(VLOOKUP(Actividades!$D22,Listas!$A$2:$B$8,2,0),52))=0),"P",""))</f>
        <v/>
      </c>
      <c r="V43" s="25" t="str">
        <f aca="false">IF($A43="","",IF(AND(N(Actividades!$E22)&gt;0,V$4&gt;=Actividades!$E22,MOD(V$4-Actividades!$E22,IFERROR(VLOOKUP(Actividades!$D22,Listas!$A$2:$B$8,2,0),52))=0),"P",""))</f>
        <v/>
      </c>
      <c r="W43" s="25" t="str">
        <f aca="false">IF($A43="","",IF(AND(N(Actividades!$E22)&gt;0,W$4&gt;=Actividades!$E22,MOD(W$4-Actividades!$E22,IFERROR(VLOOKUP(Actividades!$D22,Listas!$A$2:$B$8,2,0),52))=0),"P",""))</f>
        <v/>
      </c>
      <c r="X43" s="25" t="str">
        <f aca="false">IF($A43="","",IF(AND(N(Actividades!$E22)&gt;0,X$4&gt;=Actividades!$E22,MOD(X$4-Actividades!$E22,IFERROR(VLOOKUP(Actividades!$D22,Listas!$A$2:$B$8,2,0),52))=0),"P",""))</f>
        <v/>
      </c>
      <c r="Y43" s="25" t="str">
        <f aca="false">IF($A43="","",IF(AND(N(Actividades!$E22)&gt;0,Y$4&gt;=Actividades!$E22,MOD(Y$4-Actividades!$E22,IFERROR(VLOOKUP(Actividades!$D22,Listas!$A$2:$B$8,2,0),52))=0),"P",""))</f>
        <v/>
      </c>
      <c r="Z43" s="25" t="str">
        <f aca="false">IF($A43="","",IF(AND(N(Actividades!$E22)&gt;0,Z$4&gt;=Actividades!$E22,MOD(Z$4-Actividades!$E22,IFERROR(VLOOKUP(Actividades!$D22,Listas!$A$2:$B$8,2,0),52))=0),"P",""))</f>
        <v/>
      </c>
      <c r="AA43" s="25" t="str">
        <f aca="false">IF($A43="","",IF(AND(N(Actividades!$E22)&gt;0,AA$4&gt;=Actividades!$E22,MOD(AA$4-Actividades!$E22,IFERROR(VLOOKUP(Actividades!$D22,Listas!$A$2:$B$8,2,0),52))=0),"P",""))</f>
        <v/>
      </c>
      <c r="AB43" s="25" t="str">
        <f aca="false">IF($A43="","",IF(AND(N(Actividades!$E22)&gt;0,AB$4&gt;=Actividades!$E22,MOD(AB$4-Actividades!$E22,IFERROR(VLOOKUP(Actividades!$D22,Listas!$A$2:$B$8,2,0),52))=0),"P",""))</f>
        <v/>
      </c>
      <c r="AC43" s="25" t="str">
        <f aca="false">IF($A43="","",IF(AND(N(Actividades!$E22)&gt;0,AC$4&gt;=Actividades!$E22,MOD(AC$4-Actividades!$E22,IFERROR(VLOOKUP(Actividades!$D22,Listas!$A$2:$B$8,2,0),52))=0),"P",""))</f>
        <v/>
      </c>
      <c r="AD43" s="25" t="str">
        <f aca="false">IF($A43="","",IF(AND(N(Actividades!$E22)&gt;0,AD$4&gt;=Actividades!$E22,MOD(AD$4-Actividades!$E22,IFERROR(VLOOKUP(Actividades!$D22,Listas!$A$2:$B$8,2,0),52))=0),"P",""))</f>
        <v/>
      </c>
      <c r="AE43" s="25" t="str">
        <f aca="false">IF($A43="","",IF(AND(N(Actividades!$E22)&gt;0,AE$4&gt;=Actividades!$E22,MOD(AE$4-Actividades!$E22,IFERROR(VLOOKUP(Actividades!$D22,Listas!$A$2:$B$8,2,0),52))=0),"P",""))</f>
        <v/>
      </c>
      <c r="AF43" s="25" t="str">
        <f aca="false">IF($A43="","",IF(AND(N(Actividades!$E22)&gt;0,AF$4&gt;=Actividades!$E22,MOD(AF$4-Actividades!$E22,IFERROR(VLOOKUP(Actividades!$D22,Listas!$A$2:$B$8,2,0),52))=0),"P",""))</f>
        <v/>
      </c>
      <c r="AG43" s="25" t="str">
        <f aca="false">IF($A43="","",IF(AND(N(Actividades!$E22)&gt;0,AG$4&gt;=Actividades!$E22,MOD(AG$4-Actividades!$E22,IFERROR(VLOOKUP(Actividades!$D22,Listas!$A$2:$B$8,2,0),52))=0),"P",""))</f>
        <v/>
      </c>
      <c r="AH43" s="25" t="str">
        <f aca="false">IF($A43="","",IF(AND(N(Actividades!$E22)&gt;0,AH$4&gt;=Actividades!$E22,MOD(AH$4-Actividades!$E22,IFERROR(VLOOKUP(Actividades!$D22,Listas!$A$2:$B$8,2,0),52))=0),"P",""))</f>
        <v/>
      </c>
      <c r="AI43" s="25" t="str">
        <f aca="false">IF($A43="","",IF(AND(N(Actividades!$E22)&gt;0,AI$4&gt;=Actividades!$E22,MOD(AI$4-Actividades!$E22,IFERROR(VLOOKUP(Actividades!$D22,Listas!$A$2:$B$8,2,0),52))=0),"P",""))</f>
        <v/>
      </c>
      <c r="AJ43" s="25" t="str">
        <f aca="false">IF($A43="","",IF(AND(N(Actividades!$E22)&gt;0,AJ$4&gt;=Actividades!$E22,MOD(AJ$4-Actividades!$E22,IFERROR(VLOOKUP(Actividades!$D22,Listas!$A$2:$B$8,2,0),52))=0),"P",""))</f>
        <v/>
      </c>
      <c r="AK43" s="25" t="str">
        <f aca="false">IF($A43="","",IF(AND(N(Actividades!$E22)&gt;0,AK$4&gt;=Actividades!$E22,MOD(AK$4-Actividades!$E22,IFERROR(VLOOKUP(Actividades!$D22,Listas!$A$2:$B$8,2,0),52))=0),"P",""))</f>
        <v/>
      </c>
      <c r="AL43" s="25" t="str">
        <f aca="false">IF($A43="","",IF(AND(N(Actividades!$E22)&gt;0,AL$4&gt;=Actividades!$E22,MOD(AL$4-Actividades!$E22,IFERROR(VLOOKUP(Actividades!$D22,Listas!$A$2:$B$8,2,0),52))=0),"P",""))</f>
        <v/>
      </c>
      <c r="AM43" s="25" t="str">
        <f aca="false">IF($A43="","",IF(AND(N(Actividades!$E22)&gt;0,AM$4&gt;=Actividades!$E22,MOD(AM$4-Actividades!$E22,IFERROR(VLOOKUP(Actividades!$D22,Listas!$A$2:$B$8,2,0),52))=0),"P",""))</f>
        <v/>
      </c>
      <c r="AN43" s="25" t="str">
        <f aca="false">IF($A43="","",IF(AND(N(Actividades!$E22)&gt;0,AN$4&gt;=Actividades!$E22,MOD(AN$4-Actividades!$E22,IFERROR(VLOOKUP(Actividades!$D22,Listas!$A$2:$B$8,2,0),52))=0),"P",""))</f>
        <v/>
      </c>
      <c r="AO43" s="25" t="str">
        <f aca="false">IF($A43="","",IF(AND(N(Actividades!$E22)&gt;0,AO$4&gt;=Actividades!$E22,MOD(AO$4-Actividades!$E22,IFERROR(VLOOKUP(Actividades!$D22,Listas!$A$2:$B$8,2,0),52))=0),"P",""))</f>
        <v/>
      </c>
      <c r="AP43" s="25" t="str">
        <f aca="false">IF($A43="","",IF(AND(N(Actividades!$E22)&gt;0,AP$4&gt;=Actividades!$E22,MOD(AP$4-Actividades!$E22,IFERROR(VLOOKUP(Actividades!$D22,Listas!$A$2:$B$8,2,0),52))=0),"P",""))</f>
        <v/>
      </c>
      <c r="AQ43" s="25" t="str">
        <f aca="false">IF($A43="","",IF(AND(N(Actividades!$E22)&gt;0,AQ$4&gt;=Actividades!$E22,MOD(AQ$4-Actividades!$E22,IFERROR(VLOOKUP(Actividades!$D22,Listas!$A$2:$B$8,2,0),52))=0),"P",""))</f>
        <v/>
      </c>
      <c r="AR43" s="25" t="str">
        <f aca="false">IF($A43="","",IF(AND(N(Actividades!$E22)&gt;0,AR$4&gt;=Actividades!$E22,MOD(AR$4-Actividades!$E22,IFERROR(VLOOKUP(Actividades!$D22,Listas!$A$2:$B$8,2,0),52))=0),"P",""))</f>
        <v/>
      </c>
      <c r="AS43" s="25" t="str">
        <f aca="false">IF($A43="","",IF(AND(N(Actividades!$E22)&gt;0,AS$4&gt;=Actividades!$E22,MOD(AS$4-Actividades!$E22,IFERROR(VLOOKUP(Actividades!$D22,Listas!$A$2:$B$8,2,0),52))=0),"P",""))</f>
        <v/>
      </c>
      <c r="AT43" s="25" t="str">
        <f aca="false">IF($A43="","",IF(AND(N(Actividades!$E22)&gt;0,AT$4&gt;=Actividades!$E22,MOD(AT$4-Actividades!$E22,IFERROR(VLOOKUP(Actividades!$D22,Listas!$A$2:$B$8,2,0),52))=0),"P",""))</f>
        <v/>
      </c>
      <c r="AU43" s="25" t="str">
        <f aca="false">IF($A43="","",IF(AND(N(Actividades!$E22)&gt;0,AU$4&gt;=Actividades!$E22,MOD(AU$4-Actividades!$E22,IFERROR(VLOOKUP(Actividades!$D22,Listas!$A$2:$B$8,2,0),52))=0),"P",""))</f>
        <v/>
      </c>
      <c r="AV43" s="25" t="str">
        <f aca="false">IF($A43="","",IF(AND(N(Actividades!$E22)&gt;0,AV$4&gt;=Actividades!$E22,MOD(AV$4-Actividades!$E22,IFERROR(VLOOKUP(Actividades!$D22,Listas!$A$2:$B$8,2,0),52))=0),"P",""))</f>
        <v/>
      </c>
      <c r="AW43" s="25" t="str">
        <f aca="false">IF($A43="","",IF(AND(N(Actividades!$E22)&gt;0,AW$4&gt;=Actividades!$E22,MOD(AW$4-Actividades!$E22,IFERROR(VLOOKUP(Actividades!$D22,Listas!$A$2:$B$8,2,0),52))=0),"P",""))</f>
        <v/>
      </c>
      <c r="AX43" s="25" t="str">
        <f aca="false">IF($A43="","",IF(AND(N(Actividades!$E22)&gt;0,AX$4&gt;=Actividades!$E22,MOD(AX$4-Actividades!$E22,IFERROR(VLOOKUP(Actividades!$D22,Listas!$A$2:$B$8,2,0),52))=0),"P",""))</f>
        <v/>
      </c>
      <c r="AY43" s="25" t="str">
        <f aca="false">IF($A43="","",IF(AND(N(Actividades!$E22)&gt;0,AY$4&gt;=Actividades!$E22,MOD(AY$4-Actividades!$E22,IFERROR(VLOOKUP(Actividades!$D22,Listas!$A$2:$B$8,2,0),52))=0),"P",""))</f>
        <v/>
      </c>
      <c r="AZ43" s="25" t="str">
        <f aca="false">IF($A43="","",IF(AND(N(Actividades!$E22)&gt;0,AZ$4&gt;=Actividades!$E22,MOD(AZ$4-Actividades!$E22,IFERROR(VLOOKUP(Actividades!$D22,Listas!$A$2:$B$8,2,0),52))=0),"P",""))</f>
        <v/>
      </c>
      <c r="BA43" s="25" t="str">
        <f aca="false">IF($A43="","",IF(AND(N(Actividades!$E22)&gt;0,BA$4&gt;=Actividades!$E22,MOD(BA$4-Actividades!$E22,IFERROR(VLOOKUP(Actividades!$D22,Listas!$A$2:$B$8,2,0),52))=0),"P",""))</f>
        <v/>
      </c>
      <c r="BB43" s="25" t="str">
        <f aca="false">IF($A43="","",IF(AND(N(Actividades!$E22)&gt;0,BB$4&gt;=Actividades!$E22,MOD(BB$4-Actividades!$E22,IFERROR(VLOOKUP(Actividades!$D22,Listas!$A$2:$B$8,2,0),52))=0),"P",""))</f>
        <v/>
      </c>
      <c r="BC43" s="25" t="str">
        <f aca="false">IF($A43="","",IF(AND(N(Actividades!$E22)&gt;0,BC$4&gt;=Actividades!$E22,MOD(BC$4-Actividades!$E22,IFERROR(VLOOKUP(Actividades!$D22,Listas!$A$2:$B$8,2,0),52))=0),"P",""))</f>
        <v/>
      </c>
      <c r="BD43" s="26" t="str">
        <f aca="false">IF($A43="","",COUNTIF(D43:BC43,"P"))</f>
        <v/>
      </c>
      <c r="BE43" s="26" t="str">
        <f aca="false">IF($A43="","",SUMPRODUCT((D43:BC43="P")*(D44:BC44="✓")))</f>
        <v/>
      </c>
      <c r="BF43" s="27" t="str">
        <f aca="false">IF($A43="","",IF(BD43=0,"",BE43/BD43))</f>
        <v/>
      </c>
    </row>
    <row r="44" customFormat="false" ht="15" hidden="false" customHeight="false" outlineLevel="0" collapsed="false">
      <c r="A44" s="28"/>
      <c r="B44" s="28"/>
      <c r="C44" s="28" t="str">
        <f aca="false">IF($A43="","","Real")</f>
        <v/>
      </c>
      <c r="D44" s="29" t="str">
        <f aca="false">IF($A43="","",IF(COUNTIFS(Historial!$B$3:$B$502,$A43,Historial!$C$3:$C$502,$B43,Historial!$G$3:$G$502,D$4,Historial!$H$3:$H$502,$B$2)&gt;0,"✓",""))</f>
        <v/>
      </c>
      <c r="E44" s="29" t="str">
        <f aca="false">IF($A43="","",IF(COUNTIFS(Historial!$B$3:$B$502,$A43,Historial!$C$3:$C$502,$B43,Historial!$G$3:$G$502,E$4,Historial!$H$3:$H$502,$B$2)&gt;0,"✓",""))</f>
        <v/>
      </c>
      <c r="F44" s="29" t="str">
        <f aca="false">IF($A43="","",IF(COUNTIFS(Historial!$B$3:$B$502,$A43,Historial!$C$3:$C$502,$B43,Historial!$G$3:$G$502,F$4,Historial!$H$3:$H$502,$B$2)&gt;0,"✓",""))</f>
        <v/>
      </c>
      <c r="G44" s="29" t="str">
        <f aca="false">IF($A43="","",IF(COUNTIFS(Historial!$B$3:$B$502,$A43,Historial!$C$3:$C$502,$B43,Historial!$G$3:$G$502,G$4,Historial!$H$3:$H$502,$B$2)&gt;0,"✓",""))</f>
        <v/>
      </c>
      <c r="H44" s="29" t="str">
        <f aca="false">IF($A43="","",IF(COUNTIFS(Historial!$B$3:$B$502,$A43,Historial!$C$3:$C$502,$B43,Historial!$G$3:$G$502,H$4,Historial!$H$3:$H$502,$B$2)&gt;0,"✓",""))</f>
        <v/>
      </c>
      <c r="I44" s="29" t="str">
        <f aca="false">IF($A43="","",IF(COUNTIFS(Historial!$B$3:$B$502,$A43,Historial!$C$3:$C$502,$B43,Historial!$G$3:$G$502,I$4,Historial!$H$3:$H$502,$B$2)&gt;0,"✓",""))</f>
        <v/>
      </c>
      <c r="J44" s="29" t="str">
        <f aca="false">IF($A43="","",IF(COUNTIFS(Historial!$B$3:$B$502,$A43,Historial!$C$3:$C$502,$B43,Historial!$G$3:$G$502,J$4,Historial!$H$3:$H$502,$B$2)&gt;0,"✓",""))</f>
        <v/>
      </c>
      <c r="K44" s="29" t="str">
        <f aca="false">IF($A43="","",IF(COUNTIFS(Historial!$B$3:$B$502,$A43,Historial!$C$3:$C$502,$B43,Historial!$G$3:$G$502,K$4,Historial!$H$3:$H$502,$B$2)&gt;0,"✓",""))</f>
        <v/>
      </c>
      <c r="L44" s="29" t="str">
        <f aca="false">IF($A43="","",IF(COUNTIFS(Historial!$B$3:$B$502,$A43,Historial!$C$3:$C$502,$B43,Historial!$G$3:$G$502,L$4,Historial!$H$3:$H$502,$B$2)&gt;0,"✓",""))</f>
        <v/>
      </c>
      <c r="M44" s="29" t="str">
        <f aca="false">IF($A43="","",IF(COUNTIFS(Historial!$B$3:$B$502,$A43,Historial!$C$3:$C$502,$B43,Historial!$G$3:$G$502,M$4,Historial!$H$3:$H$502,$B$2)&gt;0,"✓",""))</f>
        <v/>
      </c>
      <c r="N44" s="29" t="str">
        <f aca="false">IF($A43="","",IF(COUNTIFS(Historial!$B$3:$B$502,$A43,Historial!$C$3:$C$502,$B43,Historial!$G$3:$G$502,N$4,Historial!$H$3:$H$502,$B$2)&gt;0,"✓",""))</f>
        <v/>
      </c>
      <c r="O44" s="29" t="str">
        <f aca="false">IF($A43="","",IF(COUNTIFS(Historial!$B$3:$B$502,$A43,Historial!$C$3:$C$502,$B43,Historial!$G$3:$G$502,O$4,Historial!$H$3:$H$502,$B$2)&gt;0,"✓",""))</f>
        <v/>
      </c>
      <c r="P44" s="29" t="str">
        <f aca="false">IF($A43="","",IF(COUNTIFS(Historial!$B$3:$B$502,$A43,Historial!$C$3:$C$502,$B43,Historial!$G$3:$G$502,P$4,Historial!$H$3:$H$502,$B$2)&gt;0,"✓",""))</f>
        <v/>
      </c>
      <c r="Q44" s="29" t="str">
        <f aca="false">IF($A43="","",IF(COUNTIFS(Historial!$B$3:$B$502,$A43,Historial!$C$3:$C$502,$B43,Historial!$G$3:$G$502,Q$4,Historial!$H$3:$H$502,$B$2)&gt;0,"✓",""))</f>
        <v/>
      </c>
      <c r="R44" s="29" t="str">
        <f aca="false">IF($A43="","",IF(COUNTIFS(Historial!$B$3:$B$502,$A43,Historial!$C$3:$C$502,$B43,Historial!$G$3:$G$502,R$4,Historial!$H$3:$H$502,$B$2)&gt;0,"✓",""))</f>
        <v/>
      </c>
      <c r="S44" s="29" t="str">
        <f aca="false">IF($A43="","",IF(COUNTIFS(Historial!$B$3:$B$502,$A43,Historial!$C$3:$C$502,$B43,Historial!$G$3:$G$502,S$4,Historial!$H$3:$H$502,$B$2)&gt;0,"✓",""))</f>
        <v/>
      </c>
      <c r="T44" s="29" t="str">
        <f aca="false">IF($A43="","",IF(COUNTIFS(Historial!$B$3:$B$502,$A43,Historial!$C$3:$C$502,$B43,Historial!$G$3:$G$502,T$4,Historial!$H$3:$H$502,$B$2)&gt;0,"✓",""))</f>
        <v/>
      </c>
      <c r="U44" s="29" t="str">
        <f aca="false">IF($A43="","",IF(COUNTIFS(Historial!$B$3:$B$502,$A43,Historial!$C$3:$C$502,$B43,Historial!$G$3:$G$502,U$4,Historial!$H$3:$H$502,$B$2)&gt;0,"✓",""))</f>
        <v/>
      </c>
      <c r="V44" s="29" t="str">
        <f aca="false">IF($A43="","",IF(COUNTIFS(Historial!$B$3:$B$502,$A43,Historial!$C$3:$C$502,$B43,Historial!$G$3:$G$502,V$4,Historial!$H$3:$H$502,$B$2)&gt;0,"✓",""))</f>
        <v/>
      </c>
      <c r="W44" s="29" t="str">
        <f aca="false">IF($A43="","",IF(COUNTIFS(Historial!$B$3:$B$502,$A43,Historial!$C$3:$C$502,$B43,Historial!$G$3:$G$502,W$4,Historial!$H$3:$H$502,$B$2)&gt;0,"✓",""))</f>
        <v/>
      </c>
      <c r="X44" s="29" t="str">
        <f aca="false">IF($A43="","",IF(COUNTIFS(Historial!$B$3:$B$502,$A43,Historial!$C$3:$C$502,$B43,Historial!$G$3:$G$502,X$4,Historial!$H$3:$H$502,$B$2)&gt;0,"✓",""))</f>
        <v/>
      </c>
      <c r="Y44" s="29" t="str">
        <f aca="false">IF($A43="","",IF(COUNTIFS(Historial!$B$3:$B$502,$A43,Historial!$C$3:$C$502,$B43,Historial!$G$3:$G$502,Y$4,Historial!$H$3:$H$502,$B$2)&gt;0,"✓",""))</f>
        <v/>
      </c>
      <c r="Z44" s="29" t="str">
        <f aca="false">IF($A43="","",IF(COUNTIFS(Historial!$B$3:$B$502,$A43,Historial!$C$3:$C$502,$B43,Historial!$G$3:$G$502,Z$4,Historial!$H$3:$H$502,$B$2)&gt;0,"✓",""))</f>
        <v/>
      </c>
      <c r="AA44" s="29" t="str">
        <f aca="false">IF($A43="","",IF(COUNTIFS(Historial!$B$3:$B$502,$A43,Historial!$C$3:$C$502,$B43,Historial!$G$3:$G$502,AA$4,Historial!$H$3:$H$502,$B$2)&gt;0,"✓",""))</f>
        <v/>
      </c>
      <c r="AB44" s="29" t="str">
        <f aca="false">IF($A43="","",IF(COUNTIFS(Historial!$B$3:$B$502,$A43,Historial!$C$3:$C$502,$B43,Historial!$G$3:$G$502,AB$4,Historial!$H$3:$H$502,$B$2)&gt;0,"✓",""))</f>
        <v/>
      </c>
      <c r="AC44" s="29" t="str">
        <f aca="false">IF($A43="","",IF(COUNTIFS(Historial!$B$3:$B$502,$A43,Historial!$C$3:$C$502,$B43,Historial!$G$3:$G$502,AC$4,Historial!$H$3:$H$502,$B$2)&gt;0,"✓",""))</f>
        <v/>
      </c>
      <c r="AD44" s="29" t="str">
        <f aca="false">IF($A43="","",IF(COUNTIFS(Historial!$B$3:$B$502,$A43,Historial!$C$3:$C$502,$B43,Historial!$G$3:$G$502,AD$4,Historial!$H$3:$H$502,$B$2)&gt;0,"✓",""))</f>
        <v/>
      </c>
      <c r="AE44" s="29" t="str">
        <f aca="false">IF($A43="","",IF(COUNTIFS(Historial!$B$3:$B$502,$A43,Historial!$C$3:$C$502,$B43,Historial!$G$3:$G$502,AE$4,Historial!$H$3:$H$502,$B$2)&gt;0,"✓",""))</f>
        <v/>
      </c>
      <c r="AF44" s="29" t="str">
        <f aca="false">IF($A43="","",IF(COUNTIFS(Historial!$B$3:$B$502,$A43,Historial!$C$3:$C$502,$B43,Historial!$G$3:$G$502,AF$4,Historial!$H$3:$H$502,$B$2)&gt;0,"✓",""))</f>
        <v/>
      </c>
      <c r="AG44" s="29" t="str">
        <f aca="false">IF($A43="","",IF(COUNTIFS(Historial!$B$3:$B$502,$A43,Historial!$C$3:$C$502,$B43,Historial!$G$3:$G$502,AG$4,Historial!$H$3:$H$502,$B$2)&gt;0,"✓",""))</f>
        <v/>
      </c>
      <c r="AH44" s="29" t="str">
        <f aca="false">IF($A43="","",IF(COUNTIFS(Historial!$B$3:$B$502,$A43,Historial!$C$3:$C$502,$B43,Historial!$G$3:$G$502,AH$4,Historial!$H$3:$H$502,$B$2)&gt;0,"✓",""))</f>
        <v/>
      </c>
      <c r="AI44" s="29" t="str">
        <f aca="false">IF($A43="","",IF(COUNTIFS(Historial!$B$3:$B$502,$A43,Historial!$C$3:$C$502,$B43,Historial!$G$3:$G$502,AI$4,Historial!$H$3:$H$502,$B$2)&gt;0,"✓",""))</f>
        <v/>
      </c>
      <c r="AJ44" s="29" t="str">
        <f aca="false">IF($A43="","",IF(COUNTIFS(Historial!$B$3:$B$502,$A43,Historial!$C$3:$C$502,$B43,Historial!$G$3:$G$502,AJ$4,Historial!$H$3:$H$502,$B$2)&gt;0,"✓",""))</f>
        <v/>
      </c>
      <c r="AK44" s="29" t="str">
        <f aca="false">IF($A43="","",IF(COUNTIFS(Historial!$B$3:$B$502,$A43,Historial!$C$3:$C$502,$B43,Historial!$G$3:$G$502,AK$4,Historial!$H$3:$H$502,$B$2)&gt;0,"✓",""))</f>
        <v/>
      </c>
      <c r="AL44" s="29" t="str">
        <f aca="false">IF($A43="","",IF(COUNTIFS(Historial!$B$3:$B$502,$A43,Historial!$C$3:$C$502,$B43,Historial!$G$3:$G$502,AL$4,Historial!$H$3:$H$502,$B$2)&gt;0,"✓",""))</f>
        <v/>
      </c>
      <c r="AM44" s="29" t="str">
        <f aca="false">IF($A43="","",IF(COUNTIFS(Historial!$B$3:$B$502,$A43,Historial!$C$3:$C$502,$B43,Historial!$G$3:$G$502,AM$4,Historial!$H$3:$H$502,$B$2)&gt;0,"✓",""))</f>
        <v/>
      </c>
      <c r="AN44" s="29" t="str">
        <f aca="false">IF($A43="","",IF(COUNTIFS(Historial!$B$3:$B$502,$A43,Historial!$C$3:$C$502,$B43,Historial!$G$3:$G$502,AN$4,Historial!$H$3:$H$502,$B$2)&gt;0,"✓",""))</f>
        <v/>
      </c>
      <c r="AO44" s="29" t="str">
        <f aca="false">IF($A43="","",IF(COUNTIFS(Historial!$B$3:$B$502,$A43,Historial!$C$3:$C$502,$B43,Historial!$G$3:$G$502,AO$4,Historial!$H$3:$H$502,$B$2)&gt;0,"✓",""))</f>
        <v/>
      </c>
      <c r="AP44" s="29" t="str">
        <f aca="false">IF($A43="","",IF(COUNTIFS(Historial!$B$3:$B$502,$A43,Historial!$C$3:$C$502,$B43,Historial!$G$3:$G$502,AP$4,Historial!$H$3:$H$502,$B$2)&gt;0,"✓",""))</f>
        <v/>
      </c>
      <c r="AQ44" s="29" t="str">
        <f aca="false">IF($A43="","",IF(COUNTIFS(Historial!$B$3:$B$502,$A43,Historial!$C$3:$C$502,$B43,Historial!$G$3:$G$502,AQ$4,Historial!$H$3:$H$502,$B$2)&gt;0,"✓",""))</f>
        <v/>
      </c>
      <c r="AR44" s="29" t="str">
        <f aca="false">IF($A43="","",IF(COUNTIFS(Historial!$B$3:$B$502,$A43,Historial!$C$3:$C$502,$B43,Historial!$G$3:$G$502,AR$4,Historial!$H$3:$H$502,$B$2)&gt;0,"✓",""))</f>
        <v/>
      </c>
      <c r="AS44" s="29" t="str">
        <f aca="false">IF($A43="","",IF(COUNTIFS(Historial!$B$3:$B$502,$A43,Historial!$C$3:$C$502,$B43,Historial!$G$3:$G$502,AS$4,Historial!$H$3:$H$502,$B$2)&gt;0,"✓",""))</f>
        <v/>
      </c>
      <c r="AT44" s="29" t="str">
        <f aca="false">IF($A43="","",IF(COUNTIFS(Historial!$B$3:$B$502,$A43,Historial!$C$3:$C$502,$B43,Historial!$G$3:$G$502,AT$4,Historial!$H$3:$H$502,$B$2)&gt;0,"✓",""))</f>
        <v/>
      </c>
      <c r="AU44" s="29" t="str">
        <f aca="false">IF($A43="","",IF(COUNTIFS(Historial!$B$3:$B$502,$A43,Historial!$C$3:$C$502,$B43,Historial!$G$3:$G$502,AU$4,Historial!$H$3:$H$502,$B$2)&gt;0,"✓",""))</f>
        <v/>
      </c>
      <c r="AV44" s="29" t="str">
        <f aca="false">IF($A43="","",IF(COUNTIFS(Historial!$B$3:$B$502,$A43,Historial!$C$3:$C$502,$B43,Historial!$G$3:$G$502,AV$4,Historial!$H$3:$H$502,$B$2)&gt;0,"✓",""))</f>
        <v/>
      </c>
      <c r="AW44" s="29" t="str">
        <f aca="false">IF($A43="","",IF(COUNTIFS(Historial!$B$3:$B$502,$A43,Historial!$C$3:$C$502,$B43,Historial!$G$3:$G$502,AW$4,Historial!$H$3:$H$502,$B$2)&gt;0,"✓",""))</f>
        <v/>
      </c>
      <c r="AX44" s="29" t="str">
        <f aca="false">IF($A43="","",IF(COUNTIFS(Historial!$B$3:$B$502,$A43,Historial!$C$3:$C$502,$B43,Historial!$G$3:$G$502,AX$4,Historial!$H$3:$H$502,$B$2)&gt;0,"✓",""))</f>
        <v/>
      </c>
      <c r="AY44" s="29" t="str">
        <f aca="false">IF($A43="","",IF(COUNTIFS(Historial!$B$3:$B$502,$A43,Historial!$C$3:$C$502,$B43,Historial!$G$3:$G$502,AY$4,Historial!$H$3:$H$502,$B$2)&gt;0,"✓",""))</f>
        <v/>
      </c>
      <c r="AZ44" s="29" t="str">
        <f aca="false">IF($A43="","",IF(COUNTIFS(Historial!$B$3:$B$502,$A43,Historial!$C$3:$C$502,$B43,Historial!$G$3:$G$502,AZ$4,Historial!$H$3:$H$502,$B$2)&gt;0,"✓",""))</f>
        <v/>
      </c>
      <c r="BA44" s="29" t="str">
        <f aca="false">IF($A43="","",IF(COUNTIFS(Historial!$B$3:$B$502,$A43,Historial!$C$3:$C$502,$B43,Historial!$G$3:$G$502,BA$4,Historial!$H$3:$H$502,$B$2)&gt;0,"✓",""))</f>
        <v/>
      </c>
      <c r="BB44" s="29" t="str">
        <f aca="false">IF($A43="","",IF(COUNTIFS(Historial!$B$3:$B$502,$A43,Historial!$C$3:$C$502,$B43,Historial!$G$3:$G$502,BB$4,Historial!$H$3:$H$502,$B$2)&gt;0,"✓",""))</f>
        <v/>
      </c>
      <c r="BC44" s="29" t="str">
        <f aca="false">IF($A43="","",IF(COUNTIFS(Historial!$B$3:$B$502,$A43,Historial!$C$3:$C$502,$B43,Historial!$G$3:$G$502,BC$4,Historial!$H$3:$H$502,$B$2)&gt;0,"✓",""))</f>
        <v/>
      </c>
      <c r="BD44" s="29"/>
      <c r="BE44" s="29"/>
      <c r="BF44" s="29"/>
    </row>
    <row r="45" customFormat="false" ht="15" hidden="false" customHeight="false" outlineLevel="0" collapsed="false">
      <c r="A45" s="24" t="str">
        <f aca="false">IF(Actividades!$B23="","",Actividades!$B23)</f>
        <v/>
      </c>
      <c r="B45" s="24" t="str">
        <f aca="false">IF(Actividades!$C23="","",Actividades!$C23)</f>
        <v/>
      </c>
      <c r="C45" s="24" t="str">
        <f aca="false">IF($A45="","","Plan")</f>
        <v/>
      </c>
      <c r="D45" s="25" t="str">
        <f aca="false">IF($A45="","",IF(AND(N(Actividades!$E23)&gt;0,D$4&gt;=Actividades!$E23,MOD(D$4-Actividades!$E23,IFERROR(VLOOKUP(Actividades!$D23,Listas!$A$2:$B$8,2,0),52))=0),"P",""))</f>
        <v/>
      </c>
      <c r="E45" s="25" t="str">
        <f aca="false">IF($A45="","",IF(AND(N(Actividades!$E23)&gt;0,E$4&gt;=Actividades!$E23,MOD(E$4-Actividades!$E23,IFERROR(VLOOKUP(Actividades!$D23,Listas!$A$2:$B$8,2,0),52))=0),"P",""))</f>
        <v/>
      </c>
      <c r="F45" s="25" t="str">
        <f aca="false">IF($A45="","",IF(AND(N(Actividades!$E23)&gt;0,F$4&gt;=Actividades!$E23,MOD(F$4-Actividades!$E23,IFERROR(VLOOKUP(Actividades!$D23,Listas!$A$2:$B$8,2,0),52))=0),"P",""))</f>
        <v/>
      </c>
      <c r="G45" s="25" t="str">
        <f aca="false">IF($A45="","",IF(AND(N(Actividades!$E23)&gt;0,G$4&gt;=Actividades!$E23,MOD(G$4-Actividades!$E23,IFERROR(VLOOKUP(Actividades!$D23,Listas!$A$2:$B$8,2,0),52))=0),"P",""))</f>
        <v/>
      </c>
      <c r="H45" s="25" t="str">
        <f aca="false">IF($A45="","",IF(AND(N(Actividades!$E23)&gt;0,H$4&gt;=Actividades!$E23,MOD(H$4-Actividades!$E23,IFERROR(VLOOKUP(Actividades!$D23,Listas!$A$2:$B$8,2,0),52))=0),"P",""))</f>
        <v/>
      </c>
      <c r="I45" s="25" t="str">
        <f aca="false">IF($A45="","",IF(AND(N(Actividades!$E23)&gt;0,I$4&gt;=Actividades!$E23,MOD(I$4-Actividades!$E23,IFERROR(VLOOKUP(Actividades!$D23,Listas!$A$2:$B$8,2,0),52))=0),"P",""))</f>
        <v/>
      </c>
      <c r="J45" s="25" t="str">
        <f aca="false">IF($A45="","",IF(AND(N(Actividades!$E23)&gt;0,J$4&gt;=Actividades!$E23,MOD(J$4-Actividades!$E23,IFERROR(VLOOKUP(Actividades!$D23,Listas!$A$2:$B$8,2,0),52))=0),"P",""))</f>
        <v/>
      </c>
      <c r="K45" s="25" t="str">
        <f aca="false">IF($A45="","",IF(AND(N(Actividades!$E23)&gt;0,K$4&gt;=Actividades!$E23,MOD(K$4-Actividades!$E23,IFERROR(VLOOKUP(Actividades!$D23,Listas!$A$2:$B$8,2,0),52))=0),"P",""))</f>
        <v/>
      </c>
      <c r="L45" s="25" t="str">
        <f aca="false">IF($A45="","",IF(AND(N(Actividades!$E23)&gt;0,L$4&gt;=Actividades!$E23,MOD(L$4-Actividades!$E23,IFERROR(VLOOKUP(Actividades!$D23,Listas!$A$2:$B$8,2,0),52))=0),"P",""))</f>
        <v/>
      </c>
      <c r="M45" s="25" t="str">
        <f aca="false">IF($A45="","",IF(AND(N(Actividades!$E23)&gt;0,M$4&gt;=Actividades!$E23,MOD(M$4-Actividades!$E23,IFERROR(VLOOKUP(Actividades!$D23,Listas!$A$2:$B$8,2,0),52))=0),"P",""))</f>
        <v/>
      </c>
      <c r="N45" s="25" t="str">
        <f aca="false">IF($A45="","",IF(AND(N(Actividades!$E23)&gt;0,N$4&gt;=Actividades!$E23,MOD(N$4-Actividades!$E23,IFERROR(VLOOKUP(Actividades!$D23,Listas!$A$2:$B$8,2,0),52))=0),"P",""))</f>
        <v/>
      </c>
      <c r="O45" s="25" t="str">
        <f aca="false">IF($A45="","",IF(AND(N(Actividades!$E23)&gt;0,O$4&gt;=Actividades!$E23,MOD(O$4-Actividades!$E23,IFERROR(VLOOKUP(Actividades!$D23,Listas!$A$2:$B$8,2,0),52))=0),"P",""))</f>
        <v/>
      </c>
      <c r="P45" s="25" t="str">
        <f aca="false">IF($A45="","",IF(AND(N(Actividades!$E23)&gt;0,P$4&gt;=Actividades!$E23,MOD(P$4-Actividades!$E23,IFERROR(VLOOKUP(Actividades!$D23,Listas!$A$2:$B$8,2,0),52))=0),"P",""))</f>
        <v/>
      </c>
      <c r="Q45" s="25" t="str">
        <f aca="false">IF($A45="","",IF(AND(N(Actividades!$E23)&gt;0,Q$4&gt;=Actividades!$E23,MOD(Q$4-Actividades!$E23,IFERROR(VLOOKUP(Actividades!$D23,Listas!$A$2:$B$8,2,0),52))=0),"P",""))</f>
        <v/>
      </c>
      <c r="R45" s="25" t="str">
        <f aca="false">IF($A45="","",IF(AND(N(Actividades!$E23)&gt;0,R$4&gt;=Actividades!$E23,MOD(R$4-Actividades!$E23,IFERROR(VLOOKUP(Actividades!$D23,Listas!$A$2:$B$8,2,0),52))=0),"P",""))</f>
        <v/>
      </c>
      <c r="S45" s="25" t="str">
        <f aca="false">IF($A45="","",IF(AND(N(Actividades!$E23)&gt;0,S$4&gt;=Actividades!$E23,MOD(S$4-Actividades!$E23,IFERROR(VLOOKUP(Actividades!$D23,Listas!$A$2:$B$8,2,0),52))=0),"P",""))</f>
        <v/>
      </c>
      <c r="T45" s="25" t="str">
        <f aca="false">IF($A45="","",IF(AND(N(Actividades!$E23)&gt;0,T$4&gt;=Actividades!$E23,MOD(T$4-Actividades!$E23,IFERROR(VLOOKUP(Actividades!$D23,Listas!$A$2:$B$8,2,0),52))=0),"P",""))</f>
        <v/>
      </c>
      <c r="U45" s="25" t="str">
        <f aca="false">IF($A45="","",IF(AND(N(Actividades!$E23)&gt;0,U$4&gt;=Actividades!$E23,MOD(U$4-Actividades!$E23,IFERROR(VLOOKUP(Actividades!$D23,Listas!$A$2:$B$8,2,0),52))=0),"P",""))</f>
        <v/>
      </c>
      <c r="V45" s="25" t="str">
        <f aca="false">IF($A45="","",IF(AND(N(Actividades!$E23)&gt;0,V$4&gt;=Actividades!$E23,MOD(V$4-Actividades!$E23,IFERROR(VLOOKUP(Actividades!$D23,Listas!$A$2:$B$8,2,0),52))=0),"P",""))</f>
        <v/>
      </c>
      <c r="W45" s="25" t="str">
        <f aca="false">IF($A45="","",IF(AND(N(Actividades!$E23)&gt;0,W$4&gt;=Actividades!$E23,MOD(W$4-Actividades!$E23,IFERROR(VLOOKUP(Actividades!$D23,Listas!$A$2:$B$8,2,0),52))=0),"P",""))</f>
        <v/>
      </c>
      <c r="X45" s="25" t="str">
        <f aca="false">IF($A45="","",IF(AND(N(Actividades!$E23)&gt;0,X$4&gt;=Actividades!$E23,MOD(X$4-Actividades!$E23,IFERROR(VLOOKUP(Actividades!$D23,Listas!$A$2:$B$8,2,0),52))=0),"P",""))</f>
        <v/>
      </c>
      <c r="Y45" s="25" t="str">
        <f aca="false">IF($A45="","",IF(AND(N(Actividades!$E23)&gt;0,Y$4&gt;=Actividades!$E23,MOD(Y$4-Actividades!$E23,IFERROR(VLOOKUP(Actividades!$D23,Listas!$A$2:$B$8,2,0),52))=0),"P",""))</f>
        <v/>
      </c>
      <c r="Z45" s="25" t="str">
        <f aca="false">IF($A45="","",IF(AND(N(Actividades!$E23)&gt;0,Z$4&gt;=Actividades!$E23,MOD(Z$4-Actividades!$E23,IFERROR(VLOOKUP(Actividades!$D23,Listas!$A$2:$B$8,2,0),52))=0),"P",""))</f>
        <v/>
      </c>
      <c r="AA45" s="25" t="str">
        <f aca="false">IF($A45="","",IF(AND(N(Actividades!$E23)&gt;0,AA$4&gt;=Actividades!$E23,MOD(AA$4-Actividades!$E23,IFERROR(VLOOKUP(Actividades!$D23,Listas!$A$2:$B$8,2,0),52))=0),"P",""))</f>
        <v/>
      </c>
      <c r="AB45" s="25" t="str">
        <f aca="false">IF($A45="","",IF(AND(N(Actividades!$E23)&gt;0,AB$4&gt;=Actividades!$E23,MOD(AB$4-Actividades!$E23,IFERROR(VLOOKUP(Actividades!$D23,Listas!$A$2:$B$8,2,0),52))=0),"P",""))</f>
        <v/>
      </c>
      <c r="AC45" s="25" t="str">
        <f aca="false">IF($A45="","",IF(AND(N(Actividades!$E23)&gt;0,AC$4&gt;=Actividades!$E23,MOD(AC$4-Actividades!$E23,IFERROR(VLOOKUP(Actividades!$D23,Listas!$A$2:$B$8,2,0),52))=0),"P",""))</f>
        <v/>
      </c>
      <c r="AD45" s="25" t="str">
        <f aca="false">IF($A45="","",IF(AND(N(Actividades!$E23)&gt;0,AD$4&gt;=Actividades!$E23,MOD(AD$4-Actividades!$E23,IFERROR(VLOOKUP(Actividades!$D23,Listas!$A$2:$B$8,2,0),52))=0),"P",""))</f>
        <v/>
      </c>
      <c r="AE45" s="25" t="str">
        <f aca="false">IF($A45="","",IF(AND(N(Actividades!$E23)&gt;0,AE$4&gt;=Actividades!$E23,MOD(AE$4-Actividades!$E23,IFERROR(VLOOKUP(Actividades!$D23,Listas!$A$2:$B$8,2,0),52))=0),"P",""))</f>
        <v/>
      </c>
      <c r="AF45" s="25" t="str">
        <f aca="false">IF($A45="","",IF(AND(N(Actividades!$E23)&gt;0,AF$4&gt;=Actividades!$E23,MOD(AF$4-Actividades!$E23,IFERROR(VLOOKUP(Actividades!$D23,Listas!$A$2:$B$8,2,0),52))=0),"P",""))</f>
        <v/>
      </c>
      <c r="AG45" s="25" t="str">
        <f aca="false">IF($A45="","",IF(AND(N(Actividades!$E23)&gt;0,AG$4&gt;=Actividades!$E23,MOD(AG$4-Actividades!$E23,IFERROR(VLOOKUP(Actividades!$D23,Listas!$A$2:$B$8,2,0),52))=0),"P",""))</f>
        <v/>
      </c>
      <c r="AH45" s="25" t="str">
        <f aca="false">IF($A45="","",IF(AND(N(Actividades!$E23)&gt;0,AH$4&gt;=Actividades!$E23,MOD(AH$4-Actividades!$E23,IFERROR(VLOOKUP(Actividades!$D23,Listas!$A$2:$B$8,2,0),52))=0),"P",""))</f>
        <v/>
      </c>
      <c r="AI45" s="25" t="str">
        <f aca="false">IF($A45="","",IF(AND(N(Actividades!$E23)&gt;0,AI$4&gt;=Actividades!$E23,MOD(AI$4-Actividades!$E23,IFERROR(VLOOKUP(Actividades!$D23,Listas!$A$2:$B$8,2,0),52))=0),"P",""))</f>
        <v/>
      </c>
      <c r="AJ45" s="25" t="str">
        <f aca="false">IF($A45="","",IF(AND(N(Actividades!$E23)&gt;0,AJ$4&gt;=Actividades!$E23,MOD(AJ$4-Actividades!$E23,IFERROR(VLOOKUP(Actividades!$D23,Listas!$A$2:$B$8,2,0),52))=0),"P",""))</f>
        <v/>
      </c>
      <c r="AK45" s="25" t="str">
        <f aca="false">IF($A45="","",IF(AND(N(Actividades!$E23)&gt;0,AK$4&gt;=Actividades!$E23,MOD(AK$4-Actividades!$E23,IFERROR(VLOOKUP(Actividades!$D23,Listas!$A$2:$B$8,2,0),52))=0),"P",""))</f>
        <v/>
      </c>
      <c r="AL45" s="25" t="str">
        <f aca="false">IF($A45="","",IF(AND(N(Actividades!$E23)&gt;0,AL$4&gt;=Actividades!$E23,MOD(AL$4-Actividades!$E23,IFERROR(VLOOKUP(Actividades!$D23,Listas!$A$2:$B$8,2,0),52))=0),"P",""))</f>
        <v/>
      </c>
      <c r="AM45" s="25" t="str">
        <f aca="false">IF($A45="","",IF(AND(N(Actividades!$E23)&gt;0,AM$4&gt;=Actividades!$E23,MOD(AM$4-Actividades!$E23,IFERROR(VLOOKUP(Actividades!$D23,Listas!$A$2:$B$8,2,0),52))=0),"P",""))</f>
        <v/>
      </c>
      <c r="AN45" s="25" t="str">
        <f aca="false">IF($A45="","",IF(AND(N(Actividades!$E23)&gt;0,AN$4&gt;=Actividades!$E23,MOD(AN$4-Actividades!$E23,IFERROR(VLOOKUP(Actividades!$D23,Listas!$A$2:$B$8,2,0),52))=0),"P",""))</f>
        <v/>
      </c>
      <c r="AO45" s="25" t="str">
        <f aca="false">IF($A45="","",IF(AND(N(Actividades!$E23)&gt;0,AO$4&gt;=Actividades!$E23,MOD(AO$4-Actividades!$E23,IFERROR(VLOOKUP(Actividades!$D23,Listas!$A$2:$B$8,2,0),52))=0),"P",""))</f>
        <v/>
      </c>
      <c r="AP45" s="25" t="str">
        <f aca="false">IF($A45="","",IF(AND(N(Actividades!$E23)&gt;0,AP$4&gt;=Actividades!$E23,MOD(AP$4-Actividades!$E23,IFERROR(VLOOKUP(Actividades!$D23,Listas!$A$2:$B$8,2,0),52))=0),"P",""))</f>
        <v/>
      </c>
      <c r="AQ45" s="25" t="str">
        <f aca="false">IF($A45="","",IF(AND(N(Actividades!$E23)&gt;0,AQ$4&gt;=Actividades!$E23,MOD(AQ$4-Actividades!$E23,IFERROR(VLOOKUP(Actividades!$D23,Listas!$A$2:$B$8,2,0),52))=0),"P",""))</f>
        <v/>
      </c>
      <c r="AR45" s="25" t="str">
        <f aca="false">IF($A45="","",IF(AND(N(Actividades!$E23)&gt;0,AR$4&gt;=Actividades!$E23,MOD(AR$4-Actividades!$E23,IFERROR(VLOOKUP(Actividades!$D23,Listas!$A$2:$B$8,2,0),52))=0),"P",""))</f>
        <v/>
      </c>
      <c r="AS45" s="25" t="str">
        <f aca="false">IF($A45="","",IF(AND(N(Actividades!$E23)&gt;0,AS$4&gt;=Actividades!$E23,MOD(AS$4-Actividades!$E23,IFERROR(VLOOKUP(Actividades!$D23,Listas!$A$2:$B$8,2,0),52))=0),"P",""))</f>
        <v/>
      </c>
      <c r="AT45" s="25" t="str">
        <f aca="false">IF($A45="","",IF(AND(N(Actividades!$E23)&gt;0,AT$4&gt;=Actividades!$E23,MOD(AT$4-Actividades!$E23,IFERROR(VLOOKUP(Actividades!$D23,Listas!$A$2:$B$8,2,0),52))=0),"P",""))</f>
        <v/>
      </c>
      <c r="AU45" s="25" t="str">
        <f aca="false">IF($A45="","",IF(AND(N(Actividades!$E23)&gt;0,AU$4&gt;=Actividades!$E23,MOD(AU$4-Actividades!$E23,IFERROR(VLOOKUP(Actividades!$D23,Listas!$A$2:$B$8,2,0),52))=0),"P",""))</f>
        <v/>
      </c>
      <c r="AV45" s="25" t="str">
        <f aca="false">IF($A45="","",IF(AND(N(Actividades!$E23)&gt;0,AV$4&gt;=Actividades!$E23,MOD(AV$4-Actividades!$E23,IFERROR(VLOOKUP(Actividades!$D23,Listas!$A$2:$B$8,2,0),52))=0),"P",""))</f>
        <v/>
      </c>
      <c r="AW45" s="25" t="str">
        <f aca="false">IF($A45="","",IF(AND(N(Actividades!$E23)&gt;0,AW$4&gt;=Actividades!$E23,MOD(AW$4-Actividades!$E23,IFERROR(VLOOKUP(Actividades!$D23,Listas!$A$2:$B$8,2,0),52))=0),"P",""))</f>
        <v/>
      </c>
      <c r="AX45" s="25" t="str">
        <f aca="false">IF($A45="","",IF(AND(N(Actividades!$E23)&gt;0,AX$4&gt;=Actividades!$E23,MOD(AX$4-Actividades!$E23,IFERROR(VLOOKUP(Actividades!$D23,Listas!$A$2:$B$8,2,0),52))=0),"P",""))</f>
        <v/>
      </c>
      <c r="AY45" s="25" t="str">
        <f aca="false">IF($A45="","",IF(AND(N(Actividades!$E23)&gt;0,AY$4&gt;=Actividades!$E23,MOD(AY$4-Actividades!$E23,IFERROR(VLOOKUP(Actividades!$D23,Listas!$A$2:$B$8,2,0),52))=0),"P",""))</f>
        <v/>
      </c>
      <c r="AZ45" s="25" t="str">
        <f aca="false">IF($A45="","",IF(AND(N(Actividades!$E23)&gt;0,AZ$4&gt;=Actividades!$E23,MOD(AZ$4-Actividades!$E23,IFERROR(VLOOKUP(Actividades!$D23,Listas!$A$2:$B$8,2,0),52))=0),"P",""))</f>
        <v/>
      </c>
      <c r="BA45" s="25" t="str">
        <f aca="false">IF($A45="","",IF(AND(N(Actividades!$E23)&gt;0,BA$4&gt;=Actividades!$E23,MOD(BA$4-Actividades!$E23,IFERROR(VLOOKUP(Actividades!$D23,Listas!$A$2:$B$8,2,0),52))=0),"P",""))</f>
        <v/>
      </c>
      <c r="BB45" s="25" t="str">
        <f aca="false">IF($A45="","",IF(AND(N(Actividades!$E23)&gt;0,BB$4&gt;=Actividades!$E23,MOD(BB$4-Actividades!$E23,IFERROR(VLOOKUP(Actividades!$D23,Listas!$A$2:$B$8,2,0),52))=0),"P",""))</f>
        <v/>
      </c>
      <c r="BC45" s="25" t="str">
        <f aca="false">IF($A45="","",IF(AND(N(Actividades!$E23)&gt;0,BC$4&gt;=Actividades!$E23,MOD(BC$4-Actividades!$E23,IFERROR(VLOOKUP(Actividades!$D23,Listas!$A$2:$B$8,2,0),52))=0),"P",""))</f>
        <v/>
      </c>
      <c r="BD45" s="26" t="str">
        <f aca="false">IF($A45="","",COUNTIF(D45:BC45,"P"))</f>
        <v/>
      </c>
      <c r="BE45" s="26" t="str">
        <f aca="false">IF($A45="","",SUMPRODUCT((D45:BC45="P")*(D46:BC46="✓")))</f>
        <v/>
      </c>
      <c r="BF45" s="27" t="str">
        <f aca="false">IF($A45="","",IF(BD45=0,"",BE45/BD45))</f>
        <v/>
      </c>
    </row>
    <row r="46" customFormat="false" ht="15" hidden="false" customHeight="false" outlineLevel="0" collapsed="false">
      <c r="A46" s="28"/>
      <c r="B46" s="28"/>
      <c r="C46" s="28" t="str">
        <f aca="false">IF($A45="","","Real")</f>
        <v/>
      </c>
      <c r="D46" s="29" t="str">
        <f aca="false">IF($A45="","",IF(COUNTIFS(Historial!$B$3:$B$502,$A45,Historial!$C$3:$C$502,$B45,Historial!$G$3:$G$502,D$4,Historial!$H$3:$H$502,$B$2)&gt;0,"✓",""))</f>
        <v/>
      </c>
      <c r="E46" s="29" t="str">
        <f aca="false">IF($A45="","",IF(COUNTIFS(Historial!$B$3:$B$502,$A45,Historial!$C$3:$C$502,$B45,Historial!$G$3:$G$502,E$4,Historial!$H$3:$H$502,$B$2)&gt;0,"✓",""))</f>
        <v/>
      </c>
      <c r="F46" s="29" t="str">
        <f aca="false">IF($A45="","",IF(COUNTIFS(Historial!$B$3:$B$502,$A45,Historial!$C$3:$C$502,$B45,Historial!$G$3:$G$502,F$4,Historial!$H$3:$H$502,$B$2)&gt;0,"✓",""))</f>
        <v/>
      </c>
      <c r="G46" s="29" t="str">
        <f aca="false">IF($A45="","",IF(COUNTIFS(Historial!$B$3:$B$502,$A45,Historial!$C$3:$C$502,$B45,Historial!$G$3:$G$502,G$4,Historial!$H$3:$H$502,$B$2)&gt;0,"✓",""))</f>
        <v/>
      </c>
      <c r="H46" s="29" t="str">
        <f aca="false">IF($A45="","",IF(COUNTIFS(Historial!$B$3:$B$502,$A45,Historial!$C$3:$C$502,$B45,Historial!$G$3:$G$502,H$4,Historial!$H$3:$H$502,$B$2)&gt;0,"✓",""))</f>
        <v/>
      </c>
      <c r="I46" s="29" t="str">
        <f aca="false">IF($A45="","",IF(COUNTIFS(Historial!$B$3:$B$502,$A45,Historial!$C$3:$C$502,$B45,Historial!$G$3:$G$502,I$4,Historial!$H$3:$H$502,$B$2)&gt;0,"✓",""))</f>
        <v/>
      </c>
      <c r="J46" s="29" t="str">
        <f aca="false">IF($A45="","",IF(COUNTIFS(Historial!$B$3:$B$502,$A45,Historial!$C$3:$C$502,$B45,Historial!$G$3:$G$502,J$4,Historial!$H$3:$H$502,$B$2)&gt;0,"✓",""))</f>
        <v/>
      </c>
      <c r="K46" s="29" t="str">
        <f aca="false">IF($A45="","",IF(COUNTIFS(Historial!$B$3:$B$502,$A45,Historial!$C$3:$C$502,$B45,Historial!$G$3:$G$502,K$4,Historial!$H$3:$H$502,$B$2)&gt;0,"✓",""))</f>
        <v/>
      </c>
      <c r="L46" s="29" t="str">
        <f aca="false">IF($A45="","",IF(COUNTIFS(Historial!$B$3:$B$502,$A45,Historial!$C$3:$C$502,$B45,Historial!$G$3:$G$502,L$4,Historial!$H$3:$H$502,$B$2)&gt;0,"✓",""))</f>
        <v/>
      </c>
      <c r="M46" s="29" t="str">
        <f aca="false">IF($A45="","",IF(COUNTIFS(Historial!$B$3:$B$502,$A45,Historial!$C$3:$C$502,$B45,Historial!$G$3:$G$502,M$4,Historial!$H$3:$H$502,$B$2)&gt;0,"✓",""))</f>
        <v/>
      </c>
      <c r="N46" s="29" t="str">
        <f aca="false">IF($A45="","",IF(COUNTIFS(Historial!$B$3:$B$502,$A45,Historial!$C$3:$C$502,$B45,Historial!$G$3:$G$502,N$4,Historial!$H$3:$H$502,$B$2)&gt;0,"✓",""))</f>
        <v/>
      </c>
      <c r="O46" s="29" t="str">
        <f aca="false">IF($A45="","",IF(COUNTIFS(Historial!$B$3:$B$502,$A45,Historial!$C$3:$C$502,$B45,Historial!$G$3:$G$502,O$4,Historial!$H$3:$H$502,$B$2)&gt;0,"✓",""))</f>
        <v/>
      </c>
      <c r="P46" s="29" t="str">
        <f aca="false">IF($A45="","",IF(COUNTIFS(Historial!$B$3:$B$502,$A45,Historial!$C$3:$C$502,$B45,Historial!$G$3:$G$502,P$4,Historial!$H$3:$H$502,$B$2)&gt;0,"✓",""))</f>
        <v/>
      </c>
      <c r="Q46" s="29" t="str">
        <f aca="false">IF($A45="","",IF(COUNTIFS(Historial!$B$3:$B$502,$A45,Historial!$C$3:$C$502,$B45,Historial!$G$3:$G$502,Q$4,Historial!$H$3:$H$502,$B$2)&gt;0,"✓",""))</f>
        <v/>
      </c>
      <c r="R46" s="29" t="str">
        <f aca="false">IF($A45="","",IF(COUNTIFS(Historial!$B$3:$B$502,$A45,Historial!$C$3:$C$502,$B45,Historial!$G$3:$G$502,R$4,Historial!$H$3:$H$502,$B$2)&gt;0,"✓",""))</f>
        <v/>
      </c>
      <c r="S46" s="29" t="str">
        <f aca="false">IF($A45="","",IF(COUNTIFS(Historial!$B$3:$B$502,$A45,Historial!$C$3:$C$502,$B45,Historial!$G$3:$G$502,S$4,Historial!$H$3:$H$502,$B$2)&gt;0,"✓",""))</f>
        <v/>
      </c>
      <c r="T46" s="29" t="str">
        <f aca="false">IF($A45="","",IF(COUNTIFS(Historial!$B$3:$B$502,$A45,Historial!$C$3:$C$502,$B45,Historial!$G$3:$G$502,T$4,Historial!$H$3:$H$502,$B$2)&gt;0,"✓",""))</f>
        <v/>
      </c>
      <c r="U46" s="29" t="str">
        <f aca="false">IF($A45="","",IF(COUNTIFS(Historial!$B$3:$B$502,$A45,Historial!$C$3:$C$502,$B45,Historial!$G$3:$G$502,U$4,Historial!$H$3:$H$502,$B$2)&gt;0,"✓",""))</f>
        <v/>
      </c>
      <c r="V46" s="29" t="str">
        <f aca="false">IF($A45="","",IF(COUNTIFS(Historial!$B$3:$B$502,$A45,Historial!$C$3:$C$502,$B45,Historial!$G$3:$G$502,V$4,Historial!$H$3:$H$502,$B$2)&gt;0,"✓",""))</f>
        <v/>
      </c>
      <c r="W46" s="29" t="str">
        <f aca="false">IF($A45="","",IF(COUNTIFS(Historial!$B$3:$B$502,$A45,Historial!$C$3:$C$502,$B45,Historial!$G$3:$G$502,W$4,Historial!$H$3:$H$502,$B$2)&gt;0,"✓",""))</f>
        <v/>
      </c>
      <c r="X46" s="29" t="str">
        <f aca="false">IF($A45="","",IF(COUNTIFS(Historial!$B$3:$B$502,$A45,Historial!$C$3:$C$502,$B45,Historial!$G$3:$G$502,X$4,Historial!$H$3:$H$502,$B$2)&gt;0,"✓",""))</f>
        <v/>
      </c>
      <c r="Y46" s="29" t="str">
        <f aca="false">IF($A45="","",IF(COUNTIFS(Historial!$B$3:$B$502,$A45,Historial!$C$3:$C$502,$B45,Historial!$G$3:$G$502,Y$4,Historial!$H$3:$H$502,$B$2)&gt;0,"✓",""))</f>
        <v/>
      </c>
      <c r="Z46" s="29" t="str">
        <f aca="false">IF($A45="","",IF(COUNTIFS(Historial!$B$3:$B$502,$A45,Historial!$C$3:$C$502,$B45,Historial!$G$3:$G$502,Z$4,Historial!$H$3:$H$502,$B$2)&gt;0,"✓",""))</f>
        <v/>
      </c>
      <c r="AA46" s="29" t="str">
        <f aca="false">IF($A45="","",IF(COUNTIFS(Historial!$B$3:$B$502,$A45,Historial!$C$3:$C$502,$B45,Historial!$G$3:$G$502,AA$4,Historial!$H$3:$H$502,$B$2)&gt;0,"✓",""))</f>
        <v/>
      </c>
      <c r="AB46" s="29" t="str">
        <f aca="false">IF($A45="","",IF(COUNTIFS(Historial!$B$3:$B$502,$A45,Historial!$C$3:$C$502,$B45,Historial!$G$3:$G$502,AB$4,Historial!$H$3:$H$502,$B$2)&gt;0,"✓",""))</f>
        <v/>
      </c>
      <c r="AC46" s="29" t="str">
        <f aca="false">IF($A45="","",IF(COUNTIFS(Historial!$B$3:$B$502,$A45,Historial!$C$3:$C$502,$B45,Historial!$G$3:$G$502,AC$4,Historial!$H$3:$H$502,$B$2)&gt;0,"✓",""))</f>
        <v/>
      </c>
      <c r="AD46" s="29" t="str">
        <f aca="false">IF($A45="","",IF(COUNTIFS(Historial!$B$3:$B$502,$A45,Historial!$C$3:$C$502,$B45,Historial!$G$3:$G$502,AD$4,Historial!$H$3:$H$502,$B$2)&gt;0,"✓",""))</f>
        <v/>
      </c>
      <c r="AE46" s="29" t="str">
        <f aca="false">IF($A45="","",IF(COUNTIFS(Historial!$B$3:$B$502,$A45,Historial!$C$3:$C$502,$B45,Historial!$G$3:$G$502,AE$4,Historial!$H$3:$H$502,$B$2)&gt;0,"✓",""))</f>
        <v/>
      </c>
      <c r="AF46" s="29" t="str">
        <f aca="false">IF($A45="","",IF(COUNTIFS(Historial!$B$3:$B$502,$A45,Historial!$C$3:$C$502,$B45,Historial!$G$3:$G$502,AF$4,Historial!$H$3:$H$502,$B$2)&gt;0,"✓",""))</f>
        <v/>
      </c>
      <c r="AG46" s="29" t="str">
        <f aca="false">IF($A45="","",IF(COUNTIFS(Historial!$B$3:$B$502,$A45,Historial!$C$3:$C$502,$B45,Historial!$G$3:$G$502,AG$4,Historial!$H$3:$H$502,$B$2)&gt;0,"✓",""))</f>
        <v/>
      </c>
      <c r="AH46" s="29" t="str">
        <f aca="false">IF($A45="","",IF(COUNTIFS(Historial!$B$3:$B$502,$A45,Historial!$C$3:$C$502,$B45,Historial!$G$3:$G$502,AH$4,Historial!$H$3:$H$502,$B$2)&gt;0,"✓",""))</f>
        <v/>
      </c>
      <c r="AI46" s="29" t="str">
        <f aca="false">IF($A45="","",IF(COUNTIFS(Historial!$B$3:$B$502,$A45,Historial!$C$3:$C$502,$B45,Historial!$G$3:$G$502,AI$4,Historial!$H$3:$H$502,$B$2)&gt;0,"✓",""))</f>
        <v/>
      </c>
      <c r="AJ46" s="29" t="str">
        <f aca="false">IF($A45="","",IF(COUNTIFS(Historial!$B$3:$B$502,$A45,Historial!$C$3:$C$502,$B45,Historial!$G$3:$G$502,AJ$4,Historial!$H$3:$H$502,$B$2)&gt;0,"✓",""))</f>
        <v/>
      </c>
      <c r="AK46" s="29" t="str">
        <f aca="false">IF($A45="","",IF(COUNTIFS(Historial!$B$3:$B$502,$A45,Historial!$C$3:$C$502,$B45,Historial!$G$3:$G$502,AK$4,Historial!$H$3:$H$502,$B$2)&gt;0,"✓",""))</f>
        <v/>
      </c>
      <c r="AL46" s="29" t="str">
        <f aca="false">IF($A45="","",IF(COUNTIFS(Historial!$B$3:$B$502,$A45,Historial!$C$3:$C$502,$B45,Historial!$G$3:$G$502,AL$4,Historial!$H$3:$H$502,$B$2)&gt;0,"✓",""))</f>
        <v/>
      </c>
      <c r="AM46" s="29" t="str">
        <f aca="false">IF($A45="","",IF(COUNTIFS(Historial!$B$3:$B$502,$A45,Historial!$C$3:$C$502,$B45,Historial!$G$3:$G$502,AM$4,Historial!$H$3:$H$502,$B$2)&gt;0,"✓",""))</f>
        <v/>
      </c>
      <c r="AN46" s="29" t="str">
        <f aca="false">IF($A45="","",IF(COUNTIFS(Historial!$B$3:$B$502,$A45,Historial!$C$3:$C$502,$B45,Historial!$G$3:$G$502,AN$4,Historial!$H$3:$H$502,$B$2)&gt;0,"✓",""))</f>
        <v/>
      </c>
      <c r="AO46" s="29" t="str">
        <f aca="false">IF($A45="","",IF(COUNTIFS(Historial!$B$3:$B$502,$A45,Historial!$C$3:$C$502,$B45,Historial!$G$3:$G$502,AO$4,Historial!$H$3:$H$502,$B$2)&gt;0,"✓",""))</f>
        <v/>
      </c>
      <c r="AP46" s="29" t="str">
        <f aca="false">IF($A45="","",IF(COUNTIFS(Historial!$B$3:$B$502,$A45,Historial!$C$3:$C$502,$B45,Historial!$G$3:$G$502,AP$4,Historial!$H$3:$H$502,$B$2)&gt;0,"✓",""))</f>
        <v/>
      </c>
      <c r="AQ46" s="29" t="str">
        <f aca="false">IF($A45="","",IF(COUNTIFS(Historial!$B$3:$B$502,$A45,Historial!$C$3:$C$502,$B45,Historial!$G$3:$G$502,AQ$4,Historial!$H$3:$H$502,$B$2)&gt;0,"✓",""))</f>
        <v/>
      </c>
      <c r="AR46" s="29" t="str">
        <f aca="false">IF($A45="","",IF(COUNTIFS(Historial!$B$3:$B$502,$A45,Historial!$C$3:$C$502,$B45,Historial!$G$3:$G$502,AR$4,Historial!$H$3:$H$502,$B$2)&gt;0,"✓",""))</f>
        <v/>
      </c>
      <c r="AS46" s="29" t="str">
        <f aca="false">IF($A45="","",IF(COUNTIFS(Historial!$B$3:$B$502,$A45,Historial!$C$3:$C$502,$B45,Historial!$G$3:$G$502,AS$4,Historial!$H$3:$H$502,$B$2)&gt;0,"✓",""))</f>
        <v/>
      </c>
      <c r="AT46" s="29" t="str">
        <f aca="false">IF($A45="","",IF(COUNTIFS(Historial!$B$3:$B$502,$A45,Historial!$C$3:$C$502,$B45,Historial!$G$3:$G$502,AT$4,Historial!$H$3:$H$502,$B$2)&gt;0,"✓",""))</f>
        <v/>
      </c>
      <c r="AU46" s="29" t="str">
        <f aca="false">IF($A45="","",IF(COUNTIFS(Historial!$B$3:$B$502,$A45,Historial!$C$3:$C$502,$B45,Historial!$G$3:$G$502,AU$4,Historial!$H$3:$H$502,$B$2)&gt;0,"✓",""))</f>
        <v/>
      </c>
      <c r="AV46" s="29" t="str">
        <f aca="false">IF($A45="","",IF(COUNTIFS(Historial!$B$3:$B$502,$A45,Historial!$C$3:$C$502,$B45,Historial!$G$3:$G$502,AV$4,Historial!$H$3:$H$502,$B$2)&gt;0,"✓",""))</f>
        <v/>
      </c>
      <c r="AW46" s="29" t="str">
        <f aca="false">IF($A45="","",IF(COUNTIFS(Historial!$B$3:$B$502,$A45,Historial!$C$3:$C$502,$B45,Historial!$G$3:$G$502,AW$4,Historial!$H$3:$H$502,$B$2)&gt;0,"✓",""))</f>
        <v/>
      </c>
      <c r="AX46" s="29" t="str">
        <f aca="false">IF($A45="","",IF(COUNTIFS(Historial!$B$3:$B$502,$A45,Historial!$C$3:$C$502,$B45,Historial!$G$3:$G$502,AX$4,Historial!$H$3:$H$502,$B$2)&gt;0,"✓",""))</f>
        <v/>
      </c>
      <c r="AY46" s="29" t="str">
        <f aca="false">IF($A45="","",IF(COUNTIFS(Historial!$B$3:$B$502,$A45,Historial!$C$3:$C$502,$B45,Historial!$G$3:$G$502,AY$4,Historial!$H$3:$H$502,$B$2)&gt;0,"✓",""))</f>
        <v/>
      </c>
      <c r="AZ46" s="29" t="str">
        <f aca="false">IF($A45="","",IF(COUNTIFS(Historial!$B$3:$B$502,$A45,Historial!$C$3:$C$502,$B45,Historial!$G$3:$G$502,AZ$4,Historial!$H$3:$H$502,$B$2)&gt;0,"✓",""))</f>
        <v/>
      </c>
      <c r="BA46" s="29" t="str">
        <f aca="false">IF($A45="","",IF(COUNTIFS(Historial!$B$3:$B$502,$A45,Historial!$C$3:$C$502,$B45,Historial!$G$3:$G$502,BA$4,Historial!$H$3:$H$502,$B$2)&gt;0,"✓",""))</f>
        <v/>
      </c>
      <c r="BB46" s="29" t="str">
        <f aca="false">IF($A45="","",IF(COUNTIFS(Historial!$B$3:$B$502,$A45,Historial!$C$3:$C$502,$B45,Historial!$G$3:$G$502,BB$4,Historial!$H$3:$H$502,$B$2)&gt;0,"✓",""))</f>
        <v/>
      </c>
      <c r="BC46" s="29" t="str">
        <f aca="false">IF($A45="","",IF(COUNTIFS(Historial!$B$3:$B$502,$A45,Historial!$C$3:$C$502,$B45,Historial!$G$3:$G$502,BC$4,Historial!$H$3:$H$502,$B$2)&gt;0,"✓",""))</f>
        <v/>
      </c>
      <c r="BD46" s="29"/>
      <c r="BE46" s="29"/>
      <c r="BF46" s="29"/>
    </row>
    <row r="47" customFormat="false" ht="15" hidden="false" customHeight="false" outlineLevel="0" collapsed="false">
      <c r="A47" s="24" t="str">
        <f aca="false">IF(Actividades!$B24="","",Actividades!$B24)</f>
        <v/>
      </c>
      <c r="B47" s="24" t="str">
        <f aca="false">IF(Actividades!$C24="","",Actividades!$C24)</f>
        <v/>
      </c>
      <c r="C47" s="24" t="str">
        <f aca="false">IF($A47="","","Plan")</f>
        <v/>
      </c>
      <c r="D47" s="25" t="str">
        <f aca="false">IF($A47="","",IF(AND(N(Actividades!$E24)&gt;0,D$4&gt;=Actividades!$E24,MOD(D$4-Actividades!$E24,IFERROR(VLOOKUP(Actividades!$D24,Listas!$A$2:$B$8,2,0),52))=0),"P",""))</f>
        <v/>
      </c>
      <c r="E47" s="25" t="str">
        <f aca="false">IF($A47="","",IF(AND(N(Actividades!$E24)&gt;0,E$4&gt;=Actividades!$E24,MOD(E$4-Actividades!$E24,IFERROR(VLOOKUP(Actividades!$D24,Listas!$A$2:$B$8,2,0),52))=0),"P",""))</f>
        <v/>
      </c>
      <c r="F47" s="25" t="str">
        <f aca="false">IF($A47="","",IF(AND(N(Actividades!$E24)&gt;0,F$4&gt;=Actividades!$E24,MOD(F$4-Actividades!$E24,IFERROR(VLOOKUP(Actividades!$D24,Listas!$A$2:$B$8,2,0),52))=0),"P",""))</f>
        <v/>
      </c>
      <c r="G47" s="25" t="str">
        <f aca="false">IF($A47="","",IF(AND(N(Actividades!$E24)&gt;0,G$4&gt;=Actividades!$E24,MOD(G$4-Actividades!$E24,IFERROR(VLOOKUP(Actividades!$D24,Listas!$A$2:$B$8,2,0),52))=0),"P",""))</f>
        <v/>
      </c>
      <c r="H47" s="25" t="str">
        <f aca="false">IF($A47="","",IF(AND(N(Actividades!$E24)&gt;0,H$4&gt;=Actividades!$E24,MOD(H$4-Actividades!$E24,IFERROR(VLOOKUP(Actividades!$D24,Listas!$A$2:$B$8,2,0),52))=0),"P",""))</f>
        <v/>
      </c>
      <c r="I47" s="25" t="str">
        <f aca="false">IF($A47="","",IF(AND(N(Actividades!$E24)&gt;0,I$4&gt;=Actividades!$E24,MOD(I$4-Actividades!$E24,IFERROR(VLOOKUP(Actividades!$D24,Listas!$A$2:$B$8,2,0),52))=0),"P",""))</f>
        <v/>
      </c>
      <c r="J47" s="25" t="str">
        <f aca="false">IF($A47="","",IF(AND(N(Actividades!$E24)&gt;0,J$4&gt;=Actividades!$E24,MOD(J$4-Actividades!$E24,IFERROR(VLOOKUP(Actividades!$D24,Listas!$A$2:$B$8,2,0),52))=0),"P",""))</f>
        <v/>
      </c>
      <c r="K47" s="25" t="str">
        <f aca="false">IF($A47="","",IF(AND(N(Actividades!$E24)&gt;0,K$4&gt;=Actividades!$E24,MOD(K$4-Actividades!$E24,IFERROR(VLOOKUP(Actividades!$D24,Listas!$A$2:$B$8,2,0),52))=0),"P",""))</f>
        <v/>
      </c>
      <c r="L47" s="25" t="str">
        <f aca="false">IF($A47="","",IF(AND(N(Actividades!$E24)&gt;0,L$4&gt;=Actividades!$E24,MOD(L$4-Actividades!$E24,IFERROR(VLOOKUP(Actividades!$D24,Listas!$A$2:$B$8,2,0),52))=0),"P",""))</f>
        <v/>
      </c>
      <c r="M47" s="25" t="str">
        <f aca="false">IF($A47="","",IF(AND(N(Actividades!$E24)&gt;0,M$4&gt;=Actividades!$E24,MOD(M$4-Actividades!$E24,IFERROR(VLOOKUP(Actividades!$D24,Listas!$A$2:$B$8,2,0),52))=0),"P",""))</f>
        <v/>
      </c>
      <c r="N47" s="25" t="str">
        <f aca="false">IF($A47="","",IF(AND(N(Actividades!$E24)&gt;0,N$4&gt;=Actividades!$E24,MOD(N$4-Actividades!$E24,IFERROR(VLOOKUP(Actividades!$D24,Listas!$A$2:$B$8,2,0),52))=0),"P",""))</f>
        <v/>
      </c>
      <c r="O47" s="25" t="str">
        <f aca="false">IF($A47="","",IF(AND(N(Actividades!$E24)&gt;0,O$4&gt;=Actividades!$E24,MOD(O$4-Actividades!$E24,IFERROR(VLOOKUP(Actividades!$D24,Listas!$A$2:$B$8,2,0),52))=0),"P",""))</f>
        <v/>
      </c>
      <c r="P47" s="25" t="str">
        <f aca="false">IF($A47="","",IF(AND(N(Actividades!$E24)&gt;0,P$4&gt;=Actividades!$E24,MOD(P$4-Actividades!$E24,IFERROR(VLOOKUP(Actividades!$D24,Listas!$A$2:$B$8,2,0),52))=0),"P",""))</f>
        <v/>
      </c>
      <c r="Q47" s="25" t="str">
        <f aca="false">IF($A47="","",IF(AND(N(Actividades!$E24)&gt;0,Q$4&gt;=Actividades!$E24,MOD(Q$4-Actividades!$E24,IFERROR(VLOOKUP(Actividades!$D24,Listas!$A$2:$B$8,2,0),52))=0),"P",""))</f>
        <v/>
      </c>
      <c r="R47" s="25" t="str">
        <f aca="false">IF($A47="","",IF(AND(N(Actividades!$E24)&gt;0,R$4&gt;=Actividades!$E24,MOD(R$4-Actividades!$E24,IFERROR(VLOOKUP(Actividades!$D24,Listas!$A$2:$B$8,2,0),52))=0),"P",""))</f>
        <v/>
      </c>
      <c r="S47" s="25" t="str">
        <f aca="false">IF($A47="","",IF(AND(N(Actividades!$E24)&gt;0,S$4&gt;=Actividades!$E24,MOD(S$4-Actividades!$E24,IFERROR(VLOOKUP(Actividades!$D24,Listas!$A$2:$B$8,2,0),52))=0),"P",""))</f>
        <v/>
      </c>
      <c r="T47" s="25" t="str">
        <f aca="false">IF($A47="","",IF(AND(N(Actividades!$E24)&gt;0,T$4&gt;=Actividades!$E24,MOD(T$4-Actividades!$E24,IFERROR(VLOOKUP(Actividades!$D24,Listas!$A$2:$B$8,2,0),52))=0),"P",""))</f>
        <v/>
      </c>
      <c r="U47" s="25" t="str">
        <f aca="false">IF($A47="","",IF(AND(N(Actividades!$E24)&gt;0,U$4&gt;=Actividades!$E24,MOD(U$4-Actividades!$E24,IFERROR(VLOOKUP(Actividades!$D24,Listas!$A$2:$B$8,2,0),52))=0),"P",""))</f>
        <v/>
      </c>
      <c r="V47" s="25" t="str">
        <f aca="false">IF($A47="","",IF(AND(N(Actividades!$E24)&gt;0,V$4&gt;=Actividades!$E24,MOD(V$4-Actividades!$E24,IFERROR(VLOOKUP(Actividades!$D24,Listas!$A$2:$B$8,2,0),52))=0),"P",""))</f>
        <v/>
      </c>
      <c r="W47" s="25" t="str">
        <f aca="false">IF($A47="","",IF(AND(N(Actividades!$E24)&gt;0,W$4&gt;=Actividades!$E24,MOD(W$4-Actividades!$E24,IFERROR(VLOOKUP(Actividades!$D24,Listas!$A$2:$B$8,2,0),52))=0),"P",""))</f>
        <v/>
      </c>
      <c r="X47" s="25" t="str">
        <f aca="false">IF($A47="","",IF(AND(N(Actividades!$E24)&gt;0,X$4&gt;=Actividades!$E24,MOD(X$4-Actividades!$E24,IFERROR(VLOOKUP(Actividades!$D24,Listas!$A$2:$B$8,2,0),52))=0),"P",""))</f>
        <v/>
      </c>
      <c r="Y47" s="25" t="str">
        <f aca="false">IF($A47="","",IF(AND(N(Actividades!$E24)&gt;0,Y$4&gt;=Actividades!$E24,MOD(Y$4-Actividades!$E24,IFERROR(VLOOKUP(Actividades!$D24,Listas!$A$2:$B$8,2,0),52))=0),"P",""))</f>
        <v/>
      </c>
      <c r="Z47" s="25" t="str">
        <f aca="false">IF($A47="","",IF(AND(N(Actividades!$E24)&gt;0,Z$4&gt;=Actividades!$E24,MOD(Z$4-Actividades!$E24,IFERROR(VLOOKUP(Actividades!$D24,Listas!$A$2:$B$8,2,0),52))=0),"P",""))</f>
        <v/>
      </c>
      <c r="AA47" s="25" t="str">
        <f aca="false">IF($A47="","",IF(AND(N(Actividades!$E24)&gt;0,AA$4&gt;=Actividades!$E24,MOD(AA$4-Actividades!$E24,IFERROR(VLOOKUP(Actividades!$D24,Listas!$A$2:$B$8,2,0),52))=0),"P",""))</f>
        <v/>
      </c>
      <c r="AB47" s="25" t="str">
        <f aca="false">IF($A47="","",IF(AND(N(Actividades!$E24)&gt;0,AB$4&gt;=Actividades!$E24,MOD(AB$4-Actividades!$E24,IFERROR(VLOOKUP(Actividades!$D24,Listas!$A$2:$B$8,2,0),52))=0),"P",""))</f>
        <v/>
      </c>
      <c r="AC47" s="25" t="str">
        <f aca="false">IF($A47="","",IF(AND(N(Actividades!$E24)&gt;0,AC$4&gt;=Actividades!$E24,MOD(AC$4-Actividades!$E24,IFERROR(VLOOKUP(Actividades!$D24,Listas!$A$2:$B$8,2,0),52))=0),"P",""))</f>
        <v/>
      </c>
      <c r="AD47" s="25" t="str">
        <f aca="false">IF($A47="","",IF(AND(N(Actividades!$E24)&gt;0,AD$4&gt;=Actividades!$E24,MOD(AD$4-Actividades!$E24,IFERROR(VLOOKUP(Actividades!$D24,Listas!$A$2:$B$8,2,0),52))=0),"P",""))</f>
        <v/>
      </c>
      <c r="AE47" s="25" t="str">
        <f aca="false">IF($A47="","",IF(AND(N(Actividades!$E24)&gt;0,AE$4&gt;=Actividades!$E24,MOD(AE$4-Actividades!$E24,IFERROR(VLOOKUP(Actividades!$D24,Listas!$A$2:$B$8,2,0),52))=0),"P",""))</f>
        <v/>
      </c>
      <c r="AF47" s="25" t="str">
        <f aca="false">IF($A47="","",IF(AND(N(Actividades!$E24)&gt;0,AF$4&gt;=Actividades!$E24,MOD(AF$4-Actividades!$E24,IFERROR(VLOOKUP(Actividades!$D24,Listas!$A$2:$B$8,2,0),52))=0),"P",""))</f>
        <v/>
      </c>
      <c r="AG47" s="25" t="str">
        <f aca="false">IF($A47="","",IF(AND(N(Actividades!$E24)&gt;0,AG$4&gt;=Actividades!$E24,MOD(AG$4-Actividades!$E24,IFERROR(VLOOKUP(Actividades!$D24,Listas!$A$2:$B$8,2,0),52))=0),"P",""))</f>
        <v/>
      </c>
      <c r="AH47" s="25" t="str">
        <f aca="false">IF($A47="","",IF(AND(N(Actividades!$E24)&gt;0,AH$4&gt;=Actividades!$E24,MOD(AH$4-Actividades!$E24,IFERROR(VLOOKUP(Actividades!$D24,Listas!$A$2:$B$8,2,0),52))=0),"P",""))</f>
        <v/>
      </c>
      <c r="AI47" s="25" t="str">
        <f aca="false">IF($A47="","",IF(AND(N(Actividades!$E24)&gt;0,AI$4&gt;=Actividades!$E24,MOD(AI$4-Actividades!$E24,IFERROR(VLOOKUP(Actividades!$D24,Listas!$A$2:$B$8,2,0),52))=0),"P",""))</f>
        <v/>
      </c>
      <c r="AJ47" s="25" t="str">
        <f aca="false">IF($A47="","",IF(AND(N(Actividades!$E24)&gt;0,AJ$4&gt;=Actividades!$E24,MOD(AJ$4-Actividades!$E24,IFERROR(VLOOKUP(Actividades!$D24,Listas!$A$2:$B$8,2,0),52))=0),"P",""))</f>
        <v/>
      </c>
      <c r="AK47" s="25" t="str">
        <f aca="false">IF($A47="","",IF(AND(N(Actividades!$E24)&gt;0,AK$4&gt;=Actividades!$E24,MOD(AK$4-Actividades!$E24,IFERROR(VLOOKUP(Actividades!$D24,Listas!$A$2:$B$8,2,0),52))=0),"P",""))</f>
        <v/>
      </c>
      <c r="AL47" s="25" t="str">
        <f aca="false">IF($A47="","",IF(AND(N(Actividades!$E24)&gt;0,AL$4&gt;=Actividades!$E24,MOD(AL$4-Actividades!$E24,IFERROR(VLOOKUP(Actividades!$D24,Listas!$A$2:$B$8,2,0),52))=0),"P",""))</f>
        <v/>
      </c>
      <c r="AM47" s="25" t="str">
        <f aca="false">IF($A47="","",IF(AND(N(Actividades!$E24)&gt;0,AM$4&gt;=Actividades!$E24,MOD(AM$4-Actividades!$E24,IFERROR(VLOOKUP(Actividades!$D24,Listas!$A$2:$B$8,2,0),52))=0),"P",""))</f>
        <v/>
      </c>
      <c r="AN47" s="25" t="str">
        <f aca="false">IF($A47="","",IF(AND(N(Actividades!$E24)&gt;0,AN$4&gt;=Actividades!$E24,MOD(AN$4-Actividades!$E24,IFERROR(VLOOKUP(Actividades!$D24,Listas!$A$2:$B$8,2,0),52))=0),"P",""))</f>
        <v/>
      </c>
      <c r="AO47" s="25" t="str">
        <f aca="false">IF($A47="","",IF(AND(N(Actividades!$E24)&gt;0,AO$4&gt;=Actividades!$E24,MOD(AO$4-Actividades!$E24,IFERROR(VLOOKUP(Actividades!$D24,Listas!$A$2:$B$8,2,0),52))=0),"P",""))</f>
        <v/>
      </c>
      <c r="AP47" s="25" t="str">
        <f aca="false">IF($A47="","",IF(AND(N(Actividades!$E24)&gt;0,AP$4&gt;=Actividades!$E24,MOD(AP$4-Actividades!$E24,IFERROR(VLOOKUP(Actividades!$D24,Listas!$A$2:$B$8,2,0),52))=0),"P",""))</f>
        <v/>
      </c>
      <c r="AQ47" s="25" t="str">
        <f aca="false">IF($A47="","",IF(AND(N(Actividades!$E24)&gt;0,AQ$4&gt;=Actividades!$E24,MOD(AQ$4-Actividades!$E24,IFERROR(VLOOKUP(Actividades!$D24,Listas!$A$2:$B$8,2,0),52))=0),"P",""))</f>
        <v/>
      </c>
      <c r="AR47" s="25" t="str">
        <f aca="false">IF($A47="","",IF(AND(N(Actividades!$E24)&gt;0,AR$4&gt;=Actividades!$E24,MOD(AR$4-Actividades!$E24,IFERROR(VLOOKUP(Actividades!$D24,Listas!$A$2:$B$8,2,0),52))=0),"P",""))</f>
        <v/>
      </c>
      <c r="AS47" s="25" t="str">
        <f aca="false">IF($A47="","",IF(AND(N(Actividades!$E24)&gt;0,AS$4&gt;=Actividades!$E24,MOD(AS$4-Actividades!$E24,IFERROR(VLOOKUP(Actividades!$D24,Listas!$A$2:$B$8,2,0),52))=0),"P",""))</f>
        <v/>
      </c>
      <c r="AT47" s="25" t="str">
        <f aca="false">IF($A47="","",IF(AND(N(Actividades!$E24)&gt;0,AT$4&gt;=Actividades!$E24,MOD(AT$4-Actividades!$E24,IFERROR(VLOOKUP(Actividades!$D24,Listas!$A$2:$B$8,2,0),52))=0),"P",""))</f>
        <v/>
      </c>
      <c r="AU47" s="25" t="str">
        <f aca="false">IF($A47="","",IF(AND(N(Actividades!$E24)&gt;0,AU$4&gt;=Actividades!$E24,MOD(AU$4-Actividades!$E24,IFERROR(VLOOKUP(Actividades!$D24,Listas!$A$2:$B$8,2,0),52))=0),"P",""))</f>
        <v/>
      </c>
      <c r="AV47" s="25" t="str">
        <f aca="false">IF($A47="","",IF(AND(N(Actividades!$E24)&gt;0,AV$4&gt;=Actividades!$E24,MOD(AV$4-Actividades!$E24,IFERROR(VLOOKUP(Actividades!$D24,Listas!$A$2:$B$8,2,0),52))=0),"P",""))</f>
        <v/>
      </c>
      <c r="AW47" s="25" t="str">
        <f aca="false">IF($A47="","",IF(AND(N(Actividades!$E24)&gt;0,AW$4&gt;=Actividades!$E24,MOD(AW$4-Actividades!$E24,IFERROR(VLOOKUP(Actividades!$D24,Listas!$A$2:$B$8,2,0),52))=0),"P",""))</f>
        <v/>
      </c>
      <c r="AX47" s="25" t="str">
        <f aca="false">IF($A47="","",IF(AND(N(Actividades!$E24)&gt;0,AX$4&gt;=Actividades!$E24,MOD(AX$4-Actividades!$E24,IFERROR(VLOOKUP(Actividades!$D24,Listas!$A$2:$B$8,2,0),52))=0),"P",""))</f>
        <v/>
      </c>
      <c r="AY47" s="25" t="str">
        <f aca="false">IF($A47="","",IF(AND(N(Actividades!$E24)&gt;0,AY$4&gt;=Actividades!$E24,MOD(AY$4-Actividades!$E24,IFERROR(VLOOKUP(Actividades!$D24,Listas!$A$2:$B$8,2,0),52))=0),"P",""))</f>
        <v/>
      </c>
      <c r="AZ47" s="25" t="str">
        <f aca="false">IF($A47="","",IF(AND(N(Actividades!$E24)&gt;0,AZ$4&gt;=Actividades!$E24,MOD(AZ$4-Actividades!$E24,IFERROR(VLOOKUP(Actividades!$D24,Listas!$A$2:$B$8,2,0),52))=0),"P",""))</f>
        <v/>
      </c>
      <c r="BA47" s="25" t="str">
        <f aca="false">IF($A47="","",IF(AND(N(Actividades!$E24)&gt;0,BA$4&gt;=Actividades!$E24,MOD(BA$4-Actividades!$E24,IFERROR(VLOOKUP(Actividades!$D24,Listas!$A$2:$B$8,2,0),52))=0),"P",""))</f>
        <v/>
      </c>
      <c r="BB47" s="25" t="str">
        <f aca="false">IF($A47="","",IF(AND(N(Actividades!$E24)&gt;0,BB$4&gt;=Actividades!$E24,MOD(BB$4-Actividades!$E24,IFERROR(VLOOKUP(Actividades!$D24,Listas!$A$2:$B$8,2,0),52))=0),"P",""))</f>
        <v/>
      </c>
      <c r="BC47" s="25" t="str">
        <f aca="false">IF($A47="","",IF(AND(N(Actividades!$E24)&gt;0,BC$4&gt;=Actividades!$E24,MOD(BC$4-Actividades!$E24,IFERROR(VLOOKUP(Actividades!$D24,Listas!$A$2:$B$8,2,0),52))=0),"P",""))</f>
        <v/>
      </c>
      <c r="BD47" s="26" t="str">
        <f aca="false">IF($A47="","",COUNTIF(D47:BC47,"P"))</f>
        <v/>
      </c>
      <c r="BE47" s="26" t="str">
        <f aca="false">IF($A47="","",SUMPRODUCT((D47:BC47="P")*(D48:BC48="✓")))</f>
        <v/>
      </c>
      <c r="BF47" s="27" t="str">
        <f aca="false">IF($A47="","",IF(BD47=0,"",BE47/BD47))</f>
        <v/>
      </c>
    </row>
    <row r="48" customFormat="false" ht="15" hidden="false" customHeight="false" outlineLevel="0" collapsed="false">
      <c r="A48" s="28"/>
      <c r="B48" s="28"/>
      <c r="C48" s="28" t="str">
        <f aca="false">IF($A47="","","Real")</f>
        <v/>
      </c>
      <c r="D48" s="29" t="str">
        <f aca="false">IF($A47="","",IF(COUNTIFS(Historial!$B$3:$B$502,$A47,Historial!$C$3:$C$502,$B47,Historial!$G$3:$G$502,D$4,Historial!$H$3:$H$502,$B$2)&gt;0,"✓",""))</f>
        <v/>
      </c>
      <c r="E48" s="29" t="str">
        <f aca="false">IF($A47="","",IF(COUNTIFS(Historial!$B$3:$B$502,$A47,Historial!$C$3:$C$502,$B47,Historial!$G$3:$G$502,E$4,Historial!$H$3:$H$502,$B$2)&gt;0,"✓",""))</f>
        <v/>
      </c>
      <c r="F48" s="29" t="str">
        <f aca="false">IF($A47="","",IF(COUNTIFS(Historial!$B$3:$B$502,$A47,Historial!$C$3:$C$502,$B47,Historial!$G$3:$G$502,F$4,Historial!$H$3:$H$502,$B$2)&gt;0,"✓",""))</f>
        <v/>
      </c>
      <c r="G48" s="29" t="str">
        <f aca="false">IF($A47="","",IF(COUNTIFS(Historial!$B$3:$B$502,$A47,Historial!$C$3:$C$502,$B47,Historial!$G$3:$G$502,G$4,Historial!$H$3:$H$502,$B$2)&gt;0,"✓",""))</f>
        <v/>
      </c>
      <c r="H48" s="29" t="str">
        <f aca="false">IF($A47="","",IF(COUNTIFS(Historial!$B$3:$B$502,$A47,Historial!$C$3:$C$502,$B47,Historial!$G$3:$G$502,H$4,Historial!$H$3:$H$502,$B$2)&gt;0,"✓",""))</f>
        <v/>
      </c>
      <c r="I48" s="29" t="str">
        <f aca="false">IF($A47="","",IF(COUNTIFS(Historial!$B$3:$B$502,$A47,Historial!$C$3:$C$502,$B47,Historial!$G$3:$G$502,I$4,Historial!$H$3:$H$502,$B$2)&gt;0,"✓",""))</f>
        <v/>
      </c>
      <c r="J48" s="29" t="str">
        <f aca="false">IF($A47="","",IF(COUNTIFS(Historial!$B$3:$B$502,$A47,Historial!$C$3:$C$502,$B47,Historial!$G$3:$G$502,J$4,Historial!$H$3:$H$502,$B$2)&gt;0,"✓",""))</f>
        <v/>
      </c>
      <c r="K48" s="29" t="str">
        <f aca="false">IF($A47="","",IF(COUNTIFS(Historial!$B$3:$B$502,$A47,Historial!$C$3:$C$502,$B47,Historial!$G$3:$G$502,K$4,Historial!$H$3:$H$502,$B$2)&gt;0,"✓",""))</f>
        <v/>
      </c>
      <c r="L48" s="29" t="str">
        <f aca="false">IF($A47="","",IF(COUNTIFS(Historial!$B$3:$B$502,$A47,Historial!$C$3:$C$502,$B47,Historial!$G$3:$G$502,L$4,Historial!$H$3:$H$502,$B$2)&gt;0,"✓",""))</f>
        <v/>
      </c>
      <c r="M48" s="29" t="str">
        <f aca="false">IF($A47="","",IF(COUNTIFS(Historial!$B$3:$B$502,$A47,Historial!$C$3:$C$502,$B47,Historial!$G$3:$G$502,M$4,Historial!$H$3:$H$502,$B$2)&gt;0,"✓",""))</f>
        <v/>
      </c>
      <c r="N48" s="29" t="str">
        <f aca="false">IF($A47="","",IF(COUNTIFS(Historial!$B$3:$B$502,$A47,Historial!$C$3:$C$502,$B47,Historial!$G$3:$G$502,N$4,Historial!$H$3:$H$502,$B$2)&gt;0,"✓",""))</f>
        <v/>
      </c>
      <c r="O48" s="29" t="str">
        <f aca="false">IF($A47="","",IF(COUNTIFS(Historial!$B$3:$B$502,$A47,Historial!$C$3:$C$502,$B47,Historial!$G$3:$G$502,O$4,Historial!$H$3:$H$502,$B$2)&gt;0,"✓",""))</f>
        <v/>
      </c>
      <c r="P48" s="29" t="str">
        <f aca="false">IF($A47="","",IF(COUNTIFS(Historial!$B$3:$B$502,$A47,Historial!$C$3:$C$502,$B47,Historial!$G$3:$G$502,P$4,Historial!$H$3:$H$502,$B$2)&gt;0,"✓",""))</f>
        <v/>
      </c>
      <c r="Q48" s="29" t="str">
        <f aca="false">IF($A47="","",IF(COUNTIFS(Historial!$B$3:$B$502,$A47,Historial!$C$3:$C$502,$B47,Historial!$G$3:$G$502,Q$4,Historial!$H$3:$H$502,$B$2)&gt;0,"✓",""))</f>
        <v/>
      </c>
      <c r="R48" s="29" t="str">
        <f aca="false">IF($A47="","",IF(COUNTIFS(Historial!$B$3:$B$502,$A47,Historial!$C$3:$C$502,$B47,Historial!$G$3:$G$502,R$4,Historial!$H$3:$H$502,$B$2)&gt;0,"✓",""))</f>
        <v/>
      </c>
      <c r="S48" s="29" t="str">
        <f aca="false">IF($A47="","",IF(COUNTIFS(Historial!$B$3:$B$502,$A47,Historial!$C$3:$C$502,$B47,Historial!$G$3:$G$502,S$4,Historial!$H$3:$H$502,$B$2)&gt;0,"✓",""))</f>
        <v/>
      </c>
      <c r="T48" s="29" t="str">
        <f aca="false">IF($A47="","",IF(COUNTIFS(Historial!$B$3:$B$502,$A47,Historial!$C$3:$C$502,$B47,Historial!$G$3:$G$502,T$4,Historial!$H$3:$H$502,$B$2)&gt;0,"✓",""))</f>
        <v/>
      </c>
      <c r="U48" s="29" t="str">
        <f aca="false">IF($A47="","",IF(COUNTIFS(Historial!$B$3:$B$502,$A47,Historial!$C$3:$C$502,$B47,Historial!$G$3:$G$502,U$4,Historial!$H$3:$H$502,$B$2)&gt;0,"✓",""))</f>
        <v/>
      </c>
      <c r="V48" s="29" t="str">
        <f aca="false">IF($A47="","",IF(COUNTIFS(Historial!$B$3:$B$502,$A47,Historial!$C$3:$C$502,$B47,Historial!$G$3:$G$502,V$4,Historial!$H$3:$H$502,$B$2)&gt;0,"✓",""))</f>
        <v/>
      </c>
      <c r="W48" s="29" t="str">
        <f aca="false">IF($A47="","",IF(COUNTIFS(Historial!$B$3:$B$502,$A47,Historial!$C$3:$C$502,$B47,Historial!$G$3:$G$502,W$4,Historial!$H$3:$H$502,$B$2)&gt;0,"✓",""))</f>
        <v/>
      </c>
      <c r="X48" s="29" t="str">
        <f aca="false">IF($A47="","",IF(COUNTIFS(Historial!$B$3:$B$502,$A47,Historial!$C$3:$C$502,$B47,Historial!$G$3:$G$502,X$4,Historial!$H$3:$H$502,$B$2)&gt;0,"✓",""))</f>
        <v/>
      </c>
      <c r="Y48" s="29" t="str">
        <f aca="false">IF($A47="","",IF(COUNTIFS(Historial!$B$3:$B$502,$A47,Historial!$C$3:$C$502,$B47,Historial!$G$3:$G$502,Y$4,Historial!$H$3:$H$502,$B$2)&gt;0,"✓",""))</f>
        <v/>
      </c>
      <c r="Z48" s="29" t="str">
        <f aca="false">IF($A47="","",IF(COUNTIFS(Historial!$B$3:$B$502,$A47,Historial!$C$3:$C$502,$B47,Historial!$G$3:$G$502,Z$4,Historial!$H$3:$H$502,$B$2)&gt;0,"✓",""))</f>
        <v/>
      </c>
      <c r="AA48" s="29" t="str">
        <f aca="false">IF($A47="","",IF(COUNTIFS(Historial!$B$3:$B$502,$A47,Historial!$C$3:$C$502,$B47,Historial!$G$3:$G$502,AA$4,Historial!$H$3:$H$502,$B$2)&gt;0,"✓",""))</f>
        <v/>
      </c>
      <c r="AB48" s="29" t="str">
        <f aca="false">IF($A47="","",IF(COUNTIFS(Historial!$B$3:$B$502,$A47,Historial!$C$3:$C$502,$B47,Historial!$G$3:$G$502,AB$4,Historial!$H$3:$H$502,$B$2)&gt;0,"✓",""))</f>
        <v/>
      </c>
      <c r="AC48" s="29" t="str">
        <f aca="false">IF($A47="","",IF(COUNTIFS(Historial!$B$3:$B$502,$A47,Historial!$C$3:$C$502,$B47,Historial!$G$3:$G$502,AC$4,Historial!$H$3:$H$502,$B$2)&gt;0,"✓",""))</f>
        <v/>
      </c>
      <c r="AD48" s="29" t="str">
        <f aca="false">IF($A47="","",IF(COUNTIFS(Historial!$B$3:$B$502,$A47,Historial!$C$3:$C$502,$B47,Historial!$G$3:$G$502,AD$4,Historial!$H$3:$H$502,$B$2)&gt;0,"✓",""))</f>
        <v/>
      </c>
      <c r="AE48" s="29" t="str">
        <f aca="false">IF($A47="","",IF(COUNTIFS(Historial!$B$3:$B$502,$A47,Historial!$C$3:$C$502,$B47,Historial!$G$3:$G$502,AE$4,Historial!$H$3:$H$502,$B$2)&gt;0,"✓",""))</f>
        <v/>
      </c>
      <c r="AF48" s="29" t="str">
        <f aca="false">IF($A47="","",IF(COUNTIFS(Historial!$B$3:$B$502,$A47,Historial!$C$3:$C$502,$B47,Historial!$G$3:$G$502,AF$4,Historial!$H$3:$H$502,$B$2)&gt;0,"✓",""))</f>
        <v/>
      </c>
      <c r="AG48" s="29" t="str">
        <f aca="false">IF($A47="","",IF(COUNTIFS(Historial!$B$3:$B$502,$A47,Historial!$C$3:$C$502,$B47,Historial!$G$3:$G$502,AG$4,Historial!$H$3:$H$502,$B$2)&gt;0,"✓",""))</f>
        <v/>
      </c>
      <c r="AH48" s="29" t="str">
        <f aca="false">IF($A47="","",IF(COUNTIFS(Historial!$B$3:$B$502,$A47,Historial!$C$3:$C$502,$B47,Historial!$G$3:$G$502,AH$4,Historial!$H$3:$H$502,$B$2)&gt;0,"✓",""))</f>
        <v/>
      </c>
      <c r="AI48" s="29" t="str">
        <f aca="false">IF($A47="","",IF(COUNTIFS(Historial!$B$3:$B$502,$A47,Historial!$C$3:$C$502,$B47,Historial!$G$3:$G$502,AI$4,Historial!$H$3:$H$502,$B$2)&gt;0,"✓",""))</f>
        <v/>
      </c>
      <c r="AJ48" s="29" t="str">
        <f aca="false">IF($A47="","",IF(COUNTIFS(Historial!$B$3:$B$502,$A47,Historial!$C$3:$C$502,$B47,Historial!$G$3:$G$502,AJ$4,Historial!$H$3:$H$502,$B$2)&gt;0,"✓",""))</f>
        <v/>
      </c>
      <c r="AK48" s="29" t="str">
        <f aca="false">IF($A47="","",IF(COUNTIFS(Historial!$B$3:$B$502,$A47,Historial!$C$3:$C$502,$B47,Historial!$G$3:$G$502,AK$4,Historial!$H$3:$H$502,$B$2)&gt;0,"✓",""))</f>
        <v/>
      </c>
      <c r="AL48" s="29" t="str">
        <f aca="false">IF($A47="","",IF(COUNTIFS(Historial!$B$3:$B$502,$A47,Historial!$C$3:$C$502,$B47,Historial!$G$3:$G$502,AL$4,Historial!$H$3:$H$502,$B$2)&gt;0,"✓",""))</f>
        <v/>
      </c>
      <c r="AM48" s="29" t="str">
        <f aca="false">IF($A47="","",IF(COUNTIFS(Historial!$B$3:$B$502,$A47,Historial!$C$3:$C$502,$B47,Historial!$G$3:$G$502,AM$4,Historial!$H$3:$H$502,$B$2)&gt;0,"✓",""))</f>
        <v/>
      </c>
      <c r="AN48" s="29" t="str">
        <f aca="false">IF($A47="","",IF(COUNTIFS(Historial!$B$3:$B$502,$A47,Historial!$C$3:$C$502,$B47,Historial!$G$3:$G$502,AN$4,Historial!$H$3:$H$502,$B$2)&gt;0,"✓",""))</f>
        <v/>
      </c>
      <c r="AO48" s="29" t="str">
        <f aca="false">IF($A47="","",IF(COUNTIFS(Historial!$B$3:$B$502,$A47,Historial!$C$3:$C$502,$B47,Historial!$G$3:$G$502,AO$4,Historial!$H$3:$H$502,$B$2)&gt;0,"✓",""))</f>
        <v/>
      </c>
      <c r="AP48" s="29" t="str">
        <f aca="false">IF($A47="","",IF(COUNTIFS(Historial!$B$3:$B$502,$A47,Historial!$C$3:$C$502,$B47,Historial!$G$3:$G$502,AP$4,Historial!$H$3:$H$502,$B$2)&gt;0,"✓",""))</f>
        <v/>
      </c>
      <c r="AQ48" s="29" t="str">
        <f aca="false">IF($A47="","",IF(COUNTIFS(Historial!$B$3:$B$502,$A47,Historial!$C$3:$C$502,$B47,Historial!$G$3:$G$502,AQ$4,Historial!$H$3:$H$502,$B$2)&gt;0,"✓",""))</f>
        <v/>
      </c>
      <c r="AR48" s="29" t="str">
        <f aca="false">IF($A47="","",IF(COUNTIFS(Historial!$B$3:$B$502,$A47,Historial!$C$3:$C$502,$B47,Historial!$G$3:$G$502,AR$4,Historial!$H$3:$H$502,$B$2)&gt;0,"✓",""))</f>
        <v/>
      </c>
      <c r="AS48" s="29" t="str">
        <f aca="false">IF($A47="","",IF(COUNTIFS(Historial!$B$3:$B$502,$A47,Historial!$C$3:$C$502,$B47,Historial!$G$3:$G$502,AS$4,Historial!$H$3:$H$502,$B$2)&gt;0,"✓",""))</f>
        <v/>
      </c>
      <c r="AT48" s="29" t="str">
        <f aca="false">IF($A47="","",IF(COUNTIFS(Historial!$B$3:$B$502,$A47,Historial!$C$3:$C$502,$B47,Historial!$G$3:$G$502,AT$4,Historial!$H$3:$H$502,$B$2)&gt;0,"✓",""))</f>
        <v/>
      </c>
      <c r="AU48" s="29" t="str">
        <f aca="false">IF($A47="","",IF(COUNTIFS(Historial!$B$3:$B$502,$A47,Historial!$C$3:$C$502,$B47,Historial!$G$3:$G$502,AU$4,Historial!$H$3:$H$502,$B$2)&gt;0,"✓",""))</f>
        <v/>
      </c>
      <c r="AV48" s="29" t="str">
        <f aca="false">IF($A47="","",IF(COUNTIFS(Historial!$B$3:$B$502,$A47,Historial!$C$3:$C$502,$B47,Historial!$G$3:$G$502,AV$4,Historial!$H$3:$H$502,$B$2)&gt;0,"✓",""))</f>
        <v/>
      </c>
      <c r="AW48" s="29" t="str">
        <f aca="false">IF($A47="","",IF(COUNTIFS(Historial!$B$3:$B$502,$A47,Historial!$C$3:$C$502,$B47,Historial!$G$3:$G$502,AW$4,Historial!$H$3:$H$502,$B$2)&gt;0,"✓",""))</f>
        <v/>
      </c>
      <c r="AX48" s="29" t="str">
        <f aca="false">IF($A47="","",IF(COUNTIFS(Historial!$B$3:$B$502,$A47,Historial!$C$3:$C$502,$B47,Historial!$G$3:$G$502,AX$4,Historial!$H$3:$H$502,$B$2)&gt;0,"✓",""))</f>
        <v/>
      </c>
      <c r="AY48" s="29" t="str">
        <f aca="false">IF($A47="","",IF(COUNTIFS(Historial!$B$3:$B$502,$A47,Historial!$C$3:$C$502,$B47,Historial!$G$3:$G$502,AY$4,Historial!$H$3:$H$502,$B$2)&gt;0,"✓",""))</f>
        <v/>
      </c>
      <c r="AZ48" s="29" t="str">
        <f aca="false">IF($A47="","",IF(COUNTIFS(Historial!$B$3:$B$502,$A47,Historial!$C$3:$C$502,$B47,Historial!$G$3:$G$502,AZ$4,Historial!$H$3:$H$502,$B$2)&gt;0,"✓",""))</f>
        <v/>
      </c>
      <c r="BA48" s="29" t="str">
        <f aca="false">IF($A47="","",IF(COUNTIFS(Historial!$B$3:$B$502,$A47,Historial!$C$3:$C$502,$B47,Historial!$G$3:$G$502,BA$4,Historial!$H$3:$H$502,$B$2)&gt;0,"✓",""))</f>
        <v/>
      </c>
      <c r="BB48" s="29" t="str">
        <f aca="false">IF($A47="","",IF(COUNTIFS(Historial!$B$3:$B$502,$A47,Historial!$C$3:$C$502,$B47,Historial!$G$3:$G$502,BB$4,Historial!$H$3:$H$502,$B$2)&gt;0,"✓",""))</f>
        <v/>
      </c>
      <c r="BC48" s="29" t="str">
        <f aca="false">IF($A47="","",IF(COUNTIFS(Historial!$B$3:$B$502,$A47,Historial!$C$3:$C$502,$B47,Historial!$G$3:$G$502,BC$4,Historial!$H$3:$H$502,$B$2)&gt;0,"✓",""))</f>
        <v/>
      </c>
      <c r="BD48" s="29"/>
      <c r="BE48" s="29"/>
      <c r="BF48" s="29"/>
    </row>
    <row r="49" customFormat="false" ht="15" hidden="false" customHeight="false" outlineLevel="0" collapsed="false">
      <c r="A49" s="24" t="str">
        <f aca="false">IF(Actividades!$B25="","",Actividades!$B25)</f>
        <v/>
      </c>
      <c r="B49" s="24" t="str">
        <f aca="false">IF(Actividades!$C25="","",Actividades!$C25)</f>
        <v/>
      </c>
      <c r="C49" s="24" t="str">
        <f aca="false">IF($A49="","","Plan")</f>
        <v/>
      </c>
      <c r="D49" s="25" t="str">
        <f aca="false">IF($A49="","",IF(AND(N(Actividades!$E25)&gt;0,D$4&gt;=Actividades!$E25,MOD(D$4-Actividades!$E25,IFERROR(VLOOKUP(Actividades!$D25,Listas!$A$2:$B$8,2,0),52))=0),"P",""))</f>
        <v/>
      </c>
      <c r="E49" s="25" t="str">
        <f aca="false">IF($A49="","",IF(AND(N(Actividades!$E25)&gt;0,E$4&gt;=Actividades!$E25,MOD(E$4-Actividades!$E25,IFERROR(VLOOKUP(Actividades!$D25,Listas!$A$2:$B$8,2,0),52))=0),"P",""))</f>
        <v/>
      </c>
      <c r="F49" s="25" t="str">
        <f aca="false">IF($A49="","",IF(AND(N(Actividades!$E25)&gt;0,F$4&gt;=Actividades!$E25,MOD(F$4-Actividades!$E25,IFERROR(VLOOKUP(Actividades!$D25,Listas!$A$2:$B$8,2,0),52))=0),"P",""))</f>
        <v/>
      </c>
      <c r="G49" s="25" t="str">
        <f aca="false">IF($A49="","",IF(AND(N(Actividades!$E25)&gt;0,G$4&gt;=Actividades!$E25,MOD(G$4-Actividades!$E25,IFERROR(VLOOKUP(Actividades!$D25,Listas!$A$2:$B$8,2,0),52))=0),"P",""))</f>
        <v/>
      </c>
      <c r="H49" s="25" t="str">
        <f aca="false">IF($A49="","",IF(AND(N(Actividades!$E25)&gt;0,H$4&gt;=Actividades!$E25,MOD(H$4-Actividades!$E25,IFERROR(VLOOKUP(Actividades!$D25,Listas!$A$2:$B$8,2,0),52))=0),"P",""))</f>
        <v/>
      </c>
      <c r="I49" s="25" t="str">
        <f aca="false">IF($A49="","",IF(AND(N(Actividades!$E25)&gt;0,I$4&gt;=Actividades!$E25,MOD(I$4-Actividades!$E25,IFERROR(VLOOKUP(Actividades!$D25,Listas!$A$2:$B$8,2,0),52))=0),"P",""))</f>
        <v/>
      </c>
      <c r="J49" s="25" t="str">
        <f aca="false">IF($A49="","",IF(AND(N(Actividades!$E25)&gt;0,J$4&gt;=Actividades!$E25,MOD(J$4-Actividades!$E25,IFERROR(VLOOKUP(Actividades!$D25,Listas!$A$2:$B$8,2,0),52))=0),"P",""))</f>
        <v/>
      </c>
      <c r="K49" s="25" t="str">
        <f aca="false">IF($A49="","",IF(AND(N(Actividades!$E25)&gt;0,K$4&gt;=Actividades!$E25,MOD(K$4-Actividades!$E25,IFERROR(VLOOKUP(Actividades!$D25,Listas!$A$2:$B$8,2,0),52))=0),"P",""))</f>
        <v/>
      </c>
      <c r="L49" s="25" t="str">
        <f aca="false">IF($A49="","",IF(AND(N(Actividades!$E25)&gt;0,L$4&gt;=Actividades!$E25,MOD(L$4-Actividades!$E25,IFERROR(VLOOKUP(Actividades!$D25,Listas!$A$2:$B$8,2,0),52))=0),"P",""))</f>
        <v/>
      </c>
      <c r="M49" s="25" t="str">
        <f aca="false">IF($A49="","",IF(AND(N(Actividades!$E25)&gt;0,M$4&gt;=Actividades!$E25,MOD(M$4-Actividades!$E25,IFERROR(VLOOKUP(Actividades!$D25,Listas!$A$2:$B$8,2,0),52))=0),"P",""))</f>
        <v/>
      </c>
      <c r="N49" s="25" t="str">
        <f aca="false">IF($A49="","",IF(AND(N(Actividades!$E25)&gt;0,N$4&gt;=Actividades!$E25,MOD(N$4-Actividades!$E25,IFERROR(VLOOKUP(Actividades!$D25,Listas!$A$2:$B$8,2,0),52))=0),"P",""))</f>
        <v/>
      </c>
      <c r="O49" s="25" t="str">
        <f aca="false">IF($A49="","",IF(AND(N(Actividades!$E25)&gt;0,O$4&gt;=Actividades!$E25,MOD(O$4-Actividades!$E25,IFERROR(VLOOKUP(Actividades!$D25,Listas!$A$2:$B$8,2,0),52))=0),"P",""))</f>
        <v/>
      </c>
      <c r="P49" s="25" t="str">
        <f aca="false">IF($A49="","",IF(AND(N(Actividades!$E25)&gt;0,P$4&gt;=Actividades!$E25,MOD(P$4-Actividades!$E25,IFERROR(VLOOKUP(Actividades!$D25,Listas!$A$2:$B$8,2,0),52))=0),"P",""))</f>
        <v/>
      </c>
      <c r="Q49" s="25" t="str">
        <f aca="false">IF($A49="","",IF(AND(N(Actividades!$E25)&gt;0,Q$4&gt;=Actividades!$E25,MOD(Q$4-Actividades!$E25,IFERROR(VLOOKUP(Actividades!$D25,Listas!$A$2:$B$8,2,0),52))=0),"P",""))</f>
        <v/>
      </c>
      <c r="R49" s="25" t="str">
        <f aca="false">IF($A49="","",IF(AND(N(Actividades!$E25)&gt;0,R$4&gt;=Actividades!$E25,MOD(R$4-Actividades!$E25,IFERROR(VLOOKUP(Actividades!$D25,Listas!$A$2:$B$8,2,0),52))=0),"P",""))</f>
        <v/>
      </c>
      <c r="S49" s="25" t="str">
        <f aca="false">IF($A49="","",IF(AND(N(Actividades!$E25)&gt;0,S$4&gt;=Actividades!$E25,MOD(S$4-Actividades!$E25,IFERROR(VLOOKUP(Actividades!$D25,Listas!$A$2:$B$8,2,0),52))=0),"P",""))</f>
        <v/>
      </c>
      <c r="T49" s="25" t="str">
        <f aca="false">IF($A49="","",IF(AND(N(Actividades!$E25)&gt;0,T$4&gt;=Actividades!$E25,MOD(T$4-Actividades!$E25,IFERROR(VLOOKUP(Actividades!$D25,Listas!$A$2:$B$8,2,0),52))=0),"P",""))</f>
        <v/>
      </c>
      <c r="U49" s="25" t="str">
        <f aca="false">IF($A49="","",IF(AND(N(Actividades!$E25)&gt;0,U$4&gt;=Actividades!$E25,MOD(U$4-Actividades!$E25,IFERROR(VLOOKUP(Actividades!$D25,Listas!$A$2:$B$8,2,0),52))=0),"P",""))</f>
        <v/>
      </c>
      <c r="V49" s="25" t="str">
        <f aca="false">IF($A49="","",IF(AND(N(Actividades!$E25)&gt;0,V$4&gt;=Actividades!$E25,MOD(V$4-Actividades!$E25,IFERROR(VLOOKUP(Actividades!$D25,Listas!$A$2:$B$8,2,0),52))=0),"P",""))</f>
        <v/>
      </c>
      <c r="W49" s="25" t="str">
        <f aca="false">IF($A49="","",IF(AND(N(Actividades!$E25)&gt;0,W$4&gt;=Actividades!$E25,MOD(W$4-Actividades!$E25,IFERROR(VLOOKUP(Actividades!$D25,Listas!$A$2:$B$8,2,0),52))=0),"P",""))</f>
        <v/>
      </c>
      <c r="X49" s="25" t="str">
        <f aca="false">IF($A49="","",IF(AND(N(Actividades!$E25)&gt;0,X$4&gt;=Actividades!$E25,MOD(X$4-Actividades!$E25,IFERROR(VLOOKUP(Actividades!$D25,Listas!$A$2:$B$8,2,0),52))=0),"P",""))</f>
        <v/>
      </c>
      <c r="Y49" s="25" t="str">
        <f aca="false">IF($A49="","",IF(AND(N(Actividades!$E25)&gt;0,Y$4&gt;=Actividades!$E25,MOD(Y$4-Actividades!$E25,IFERROR(VLOOKUP(Actividades!$D25,Listas!$A$2:$B$8,2,0),52))=0),"P",""))</f>
        <v/>
      </c>
      <c r="Z49" s="25" t="str">
        <f aca="false">IF($A49="","",IF(AND(N(Actividades!$E25)&gt;0,Z$4&gt;=Actividades!$E25,MOD(Z$4-Actividades!$E25,IFERROR(VLOOKUP(Actividades!$D25,Listas!$A$2:$B$8,2,0),52))=0),"P",""))</f>
        <v/>
      </c>
      <c r="AA49" s="25" t="str">
        <f aca="false">IF($A49="","",IF(AND(N(Actividades!$E25)&gt;0,AA$4&gt;=Actividades!$E25,MOD(AA$4-Actividades!$E25,IFERROR(VLOOKUP(Actividades!$D25,Listas!$A$2:$B$8,2,0),52))=0),"P",""))</f>
        <v/>
      </c>
      <c r="AB49" s="25" t="str">
        <f aca="false">IF($A49="","",IF(AND(N(Actividades!$E25)&gt;0,AB$4&gt;=Actividades!$E25,MOD(AB$4-Actividades!$E25,IFERROR(VLOOKUP(Actividades!$D25,Listas!$A$2:$B$8,2,0),52))=0),"P",""))</f>
        <v/>
      </c>
      <c r="AC49" s="25" t="str">
        <f aca="false">IF($A49="","",IF(AND(N(Actividades!$E25)&gt;0,AC$4&gt;=Actividades!$E25,MOD(AC$4-Actividades!$E25,IFERROR(VLOOKUP(Actividades!$D25,Listas!$A$2:$B$8,2,0),52))=0),"P",""))</f>
        <v/>
      </c>
      <c r="AD49" s="25" t="str">
        <f aca="false">IF($A49="","",IF(AND(N(Actividades!$E25)&gt;0,AD$4&gt;=Actividades!$E25,MOD(AD$4-Actividades!$E25,IFERROR(VLOOKUP(Actividades!$D25,Listas!$A$2:$B$8,2,0),52))=0),"P",""))</f>
        <v/>
      </c>
      <c r="AE49" s="25" t="str">
        <f aca="false">IF($A49="","",IF(AND(N(Actividades!$E25)&gt;0,AE$4&gt;=Actividades!$E25,MOD(AE$4-Actividades!$E25,IFERROR(VLOOKUP(Actividades!$D25,Listas!$A$2:$B$8,2,0),52))=0),"P",""))</f>
        <v/>
      </c>
      <c r="AF49" s="25" t="str">
        <f aca="false">IF($A49="","",IF(AND(N(Actividades!$E25)&gt;0,AF$4&gt;=Actividades!$E25,MOD(AF$4-Actividades!$E25,IFERROR(VLOOKUP(Actividades!$D25,Listas!$A$2:$B$8,2,0),52))=0),"P",""))</f>
        <v/>
      </c>
      <c r="AG49" s="25" t="str">
        <f aca="false">IF($A49="","",IF(AND(N(Actividades!$E25)&gt;0,AG$4&gt;=Actividades!$E25,MOD(AG$4-Actividades!$E25,IFERROR(VLOOKUP(Actividades!$D25,Listas!$A$2:$B$8,2,0),52))=0),"P",""))</f>
        <v/>
      </c>
      <c r="AH49" s="25" t="str">
        <f aca="false">IF($A49="","",IF(AND(N(Actividades!$E25)&gt;0,AH$4&gt;=Actividades!$E25,MOD(AH$4-Actividades!$E25,IFERROR(VLOOKUP(Actividades!$D25,Listas!$A$2:$B$8,2,0),52))=0),"P",""))</f>
        <v/>
      </c>
      <c r="AI49" s="25" t="str">
        <f aca="false">IF($A49="","",IF(AND(N(Actividades!$E25)&gt;0,AI$4&gt;=Actividades!$E25,MOD(AI$4-Actividades!$E25,IFERROR(VLOOKUP(Actividades!$D25,Listas!$A$2:$B$8,2,0),52))=0),"P",""))</f>
        <v/>
      </c>
      <c r="AJ49" s="25" t="str">
        <f aca="false">IF($A49="","",IF(AND(N(Actividades!$E25)&gt;0,AJ$4&gt;=Actividades!$E25,MOD(AJ$4-Actividades!$E25,IFERROR(VLOOKUP(Actividades!$D25,Listas!$A$2:$B$8,2,0),52))=0),"P",""))</f>
        <v/>
      </c>
      <c r="AK49" s="25" t="str">
        <f aca="false">IF($A49="","",IF(AND(N(Actividades!$E25)&gt;0,AK$4&gt;=Actividades!$E25,MOD(AK$4-Actividades!$E25,IFERROR(VLOOKUP(Actividades!$D25,Listas!$A$2:$B$8,2,0),52))=0),"P",""))</f>
        <v/>
      </c>
      <c r="AL49" s="25" t="str">
        <f aca="false">IF($A49="","",IF(AND(N(Actividades!$E25)&gt;0,AL$4&gt;=Actividades!$E25,MOD(AL$4-Actividades!$E25,IFERROR(VLOOKUP(Actividades!$D25,Listas!$A$2:$B$8,2,0),52))=0),"P",""))</f>
        <v/>
      </c>
      <c r="AM49" s="25" t="str">
        <f aca="false">IF($A49="","",IF(AND(N(Actividades!$E25)&gt;0,AM$4&gt;=Actividades!$E25,MOD(AM$4-Actividades!$E25,IFERROR(VLOOKUP(Actividades!$D25,Listas!$A$2:$B$8,2,0),52))=0),"P",""))</f>
        <v/>
      </c>
      <c r="AN49" s="25" t="str">
        <f aca="false">IF($A49="","",IF(AND(N(Actividades!$E25)&gt;0,AN$4&gt;=Actividades!$E25,MOD(AN$4-Actividades!$E25,IFERROR(VLOOKUP(Actividades!$D25,Listas!$A$2:$B$8,2,0),52))=0),"P",""))</f>
        <v/>
      </c>
      <c r="AO49" s="25" t="str">
        <f aca="false">IF($A49="","",IF(AND(N(Actividades!$E25)&gt;0,AO$4&gt;=Actividades!$E25,MOD(AO$4-Actividades!$E25,IFERROR(VLOOKUP(Actividades!$D25,Listas!$A$2:$B$8,2,0),52))=0),"P",""))</f>
        <v/>
      </c>
      <c r="AP49" s="25" t="str">
        <f aca="false">IF($A49="","",IF(AND(N(Actividades!$E25)&gt;0,AP$4&gt;=Actividades!$E25,MOD(AP$4-Actividades!$E25,IFERROR(VLOOKUP(Actividades!$D25,Listas!$A$2:$B$8,2,0),52))=0),"P",""))</f>
        <v/>
      </c>
      <c r="AQ49" s="25" t="str">
        <f aca="false">IF($A49="","",IF(AND(N(Actividades!$E25)&gt;0,AQ$4&gt;=Actividades!$E25,MOD(AQ$4-Actividades!$E25,IFERROR(VLOOKUP(Actividades!$D25,Listas!$A$2:$B$8,2,0),52))=0),"P",""))</f>
        <v/>
      </c>
      <c r="AR49" s="25" t="str">
        <f aca="false">IF($A49="","",IF(AND(N(Actividades!$E25)&gt;0,AR$4&gt;=Actividades!$E25,MOD(AR$4-Actividades!$E25,IFERROR(VLOOKUP(Actividades!$D25,Listas!$A$2:$B$8,2,0),52))=0),"P",""))</f>
        <v/>
      </c>
      <c r="AS49" s="25" t="str">
        <f aca="false">IF($A49="","",IF(AND(N(Actividades!$E25)&gt;0,AS$4&gt;=Actividades!$E25,MOD(AS$4-Actividades!$E25,IFERROR(VLOOKUP(Actividades!$D25,Listas!$A$2:$B$8,2,0),52))=0),"P",""))</f>
        <v/>
      </c>
      <c r="AT49" s="25" t="str">
        <f aca="false">IF($A49="","",IF(AND(N(Actividades!$E25)&gt;0,AT$4&gt;=Actividades!$E25,MOD(AT$4-Actividades!$E25,IFERROR(VLOOKUP(Actividades!$D25,Listas!$A$2:$B$8,2,0),52))=0),"P",""))</f>
        <v/>
      </c>
      <c r="AU49" s="25" t="str">
        <f aca="false">IF($A49="","",IF(AND(N(Actividades!$E25)&gt;0,AU$4&gt;=Actividades!$E25,MOD(AU$4-Actividades!$E25,IFERROR(VLOOKUP(Actividades!$D25,Listas!$A$2:$B$8,2,0),52))=0),"P",""))</f>
        <v/>
      </c>
      <c r="AV49" s="25" t="str">
        <f aca="false">IF($A49="","",IF(AND(N(Actividades!$E25)&gt;0,AV$4&gt;=Actividades!$E25,MOD(AV$4-Actividades!$E25,IFERROR(VLOOKUP(Actividades!$D25,Listas!$A$2:$B$8,2,0),52))=0),"P",""))</f>
        <v/>
      </c>
      <c r="AW49" s="25" t="str">
        <f aca="false">IF($A49="","",IF(AND(N(Actividades!$E25)&gt;0,AW$4&gt;=Actividades!$E25,MOD(AW$4-Actividades!$E25,IFERROR(VLOOKUP(Actividades!$D25,Listas!$A$2:$B$8,2,0),52))=0),"P",""))</f>
        <v/>
      </c>
      <c r="AX49" s="25" t="str">
        <f aca="false">IF($A49="","",IF(AND(N(Actividades!$E25)&gt;0,AX$4&gt;=Actividades!$E25,MOD(AX$4-Actividades!$E25,IFERROR(VLOOKUP(Actividades!$D25,Listas!$A$2:$B$8,2,0),52))=0),"P",""))</f>
        <v/>
      </c>
      <c r="AY49" s="25" t="str">
        <f aca="false">IF($A49="","",IF(AND(N(Actividades!$E25)&gt;0,AY$4&gt;=Actividades!$E25,MOD(AY$4-Actividades!$E25,IFERROR(VLOOKUP(Actividades!$D25,Listas!$A$2:$B$8,2,0),52))=0),"P",""))</f>
        <v/>
      </c>
      <c r="AZ49" s="25" t="str">
        <f aca="false">IF($A49="","",IF(AND(N(Actividades!$E25)&gt;0,AZ$4&gt;=Actividades!$E25,MOD(AZ$4-Actividades!$E25,IFERROR(VLOOKUP(Actividades!$D25,Listas!$A$2:$B$8,2,0),52))=0),"P",""))</f>
        <v/>
      </c>
      <c r="BA49" s="25" t="str">
        <f aca="false">IF($A49="","",IF(AND(N(Actividades!$E25)&gt;0,BA$4&gt;=Actividades!$E25,MOD(BA$4-Actividades!$E25,IFERROR(VLOOKUP(Actividades!$D25,Listas!$A$2:$B$8,2,0),52))=0),"P",""))</f>
        <v/>
      </c>
      <c r="BB49" s="25" t="str">
        <f aca="false">IF($A49="","",IF(AND(N(Actividades!$E25)&gt;0,BB$4&gt;=Actividades!$E25,MOD(BB$4-Actividades!$E25,IFERROR(VLOOKUP(Actividades!$D25,Listas!$A$2:$B$8,2,0),52))=0),"P",""))</f>
        <v/>
      </c>
      <c r="BC49" s="25" t="str">
        <f aca="false">IF($A49="","",IF(AND(N(Actividades!$E25)&gt;0,BC$4&gt;=Actividades!$E25,MOD(BC$4-Actividades!$E25,IFERROR(VLOOKUP(Actividades!$D25,Listas!$A$2:$B$8,2,0),52))=0),"P",""))</f>
        <v/>
      </c>
      <c r="BD49" s="26" t="str">
        <f aca="false">IF($A49="","",COUNTIF(D49:BC49,"P"))</f>
        <v/>
      </c>
      <c r="BE49" s="26" t="str">
        <f aca="false">IF($A49="","",SUMPRODUCT((D49:BC49="P")*(D50:BC50="✓")))</f>
        <v/>
      </c>
      <c r="BF49" s="27" t="str">
        <f aca="false">IF($A49="","",IF(BD49=0,"",BE49/BD49))</f>
        <v/>
      </c>
    </row>
    <row r="50" customFormat="false" ht="15" hidden="false" customHeight="false" outlineLevel="0" collapsed="false">
      <c r="A50" s="28"/>
      <c r="B50" s="28"/>
      <c r="C50" s="28" t="str">
        <f aca="false">IF($A49="","","Real")</f>
        <v/>
      </c>
      <c r="D50" s="29" t="str">
        <f aca="false">IF($A49="","",IF(COUNTIFS(Historial!$B$3:$B$502,$A49,Historial!$C$3:$C$502,$B49,Historial!$G$3:$G$502,D$4,Historial!$H$3:$H$502,$B$2)&gt;0,"✓",""))</f>
        <v/>
      </c>
      <c r="E50" s="29" t="str">
        <f aca="false">IF($A49="","",IF(COUNTIFS(Historial!$B$3:$B$502,$A49,Historial!$C$3:$C$502,$B49,Historial!$G$3:$G$502,E$4,Historial!$H$3:$H$502,$B$2)&gt;0,"✓",""))</f>
        <v/>
      </c>
      <c r="F50" s="29" t="str">
        <f aca="false">IF($A49="","",IF(COUNTIFS(Historial!$B$3:$B$502,$A49,Historial!$C$3:$C$502,$B49,Historial!$G$3:$G$502,F$4,Historial!$H$3:$H$502,$B$2)&gt;0,"✓",""))</f>
        <v/>
      </c>
      <c r="G50" s="29" t="str">
        <f aca="false">IF($A49="","",IF(COUNTIFS(Historial!$B$3:$B$502,$A49,Historial!$C$3:$C$502,$B49,Historial!$G$3:$G$502,G$4,Historial!$H$3:$H$502,$B$2)&gt;0,"✓",""))</f>
        <v/>
      </c>
      <c r="H50" s="29" t="str">
        <f aca="false">IF($A49="","",IF(COUNTIFS(Historial!$B$3:$B$502,$A49,Historial!$C$3:$C$502,$B49,Historial!$G$3:$G$502,H$4,Historial!$H$3:$H$502,$B$2)&gt;0,"✓",""))</f>
        <v/>
      </c>
      <c r="I50" s="29" t="str">
        <f aca="false">IF($A49="","",IF(COUNTIFS(Historial!$B$3:$B$502,$A49,Historial!$C$3:$C$502,$B49,Historial!$G$3:$G$502,I$4,Historial!$H$3:$H$502,$B$2)&gt;0,"✓",""))</f>
        <v/>
      </c>
      <c r="J50" s="29" t="str">
        <f aca="false">IF($A49="","",IF(COUNTIFS(Historial!$B$3:$B$502,$A49,Historial!$C$3:$C$502,$B49,Historial!$G$3:$G$502,J$4,Historial!$H$3:$H$502,$B$2)&gt;0,"✓",""))</f>
        <v/>
      </c>
      <c r="K50" s="29" t="str">
        <f aca="false">IF($A49="","",IF(COUNTIFS(Historial!$B$3:$B$502,$A49,Historial!$C$3:$C$502,$B49,Historial!$G$3:$G$502,K$4,Historial!$H$3:$H$502,$B$2)&gt;0,"✓",""))</f>
        <v/>
      </c>
      <c r="L50" s="29" t="str">
        <f aca="false">IF($A49="","",IF(COUNTIFS(Historial!$B$3:$B$502,$A49,Historial!$C$3:$C$502,$B49,Historial!$G$3:$G$502,L$4,Historial!$H$3:$H$502,$B$2)&gt;0,"✓",""))</f>
        <v/>
      </c>
      <c r="M50" s="29" t="str">
        <f aca="false">IF($A49="","",IF(COUNTIFS(Historial!$B$3:$B$502,$A49,Historial!$C$3:$C$502,$B49,Historial!$G$3:$G$502,M$4,Historial!$H$3:$H$502,$B$2)&gt;0,"✓",""))</f>
        <v/>
      </c>
      <c r="N50" s="29" t="str">
        <f aca="false">IF($A49="","",IF(COUNTIFS(Historial!$B$3:$B$502,$A49,Historial!$C$3:$C$502,$B49,Historial!$G$3:$G$502,N$4,Historial!$H$3:$H$502,$B$2)&gt;0,"✓",""))</f>
        <v/>
      </c>
      <c r="O50" s="29" t="str">
        <f aca="false">IF($A49="","",IF(COUNTIFS(Historial!$B$3:$B$502,$A49,Historial!$C$3:$C$502,$B49,Historial!$G$3:$G$502,O$4,Historial!$H$3:$H$502,$B$2)&gt;0,"✓",""))</f>
        <v/>
      </c>
      <c r="P50" s="29" t="str">
        <f aca="false">IF($A49="","",IF(COUNTIFS(Historial!$B$3:$B$502,$A49,Historial!$C$3:$C$502,$B49,Historial!$G$3:$G$502,P$4,Historial!$H$3:$H$502,$B$2)&gt;0,"✓",""))</f>
        <v/>
      </c>
      <c r="Q50" s="29" t="str">
        <f aca="false">IF($A49="","",IF(COUNTIFS(Historial!$B$3:$B$502,$A49,Historial!$C$3:$C$502,$B49,Historial!$G$3:$G$502,Q$4,Historial!$H$3:$H$502,$B$2)&gt;0,"✓",""))</f>
        <v/>
      </c>
      <c r="R50" s="29" t="str">
        <f aca="false">IF($A49="","",IF(COUNTIFS(Historial!$B$3:$B$502,$A49,Historial!$C$3:$C$502,$B49,Historial!$G$3:$G$502,R$4,Historial!$H$3:$H$502,$B$2)&gt;0,"✓",""))</f>
        <v/>
      </c>
      <c r="S50" s="29" t="str">
        <f aca="false">IF($A49="","",IF(COUNTIFS(Historial!$B$3:$B$502,$A49,Historial!$C$3:$C$502,$B49,Historial!$G$3:$G$502,S$4,Historial!$H$3:$H$502,$B$2)&gt;0,"✓",""))</f>
        <v/>
      </c>
      <c r="T50" s="29" t="str">
        <f aca="false">IF($A49="","",IF(COUNTIFS(Historial!$B$3:$B$502,$A49,Historial!$C$3:$C$502,$B49,Historial!$G$3:$G$502,T$4,Historial!$H$3:$H$502,$B$2)&gt;0,"✓",""))</f>
        <v/>
      </c>
      <c r="U50" s="29" t="str">
        <f aca="false">IF($A49="","",IF(COUNTIFS(Historial!$B$3:$B$502,$A49,Historial!$C$3:$C$502,$B49,Historial!$G$3:$G$502,U$4,Historial!$H$3:$H$502,$B$2)&gt;0,"✓",""))</f>
        <v/>
      </c>
      <c r="V50" s="29" t="str">
        <f aca="false">IF($A49="","",IF(COUNTIFS(Historial!$B$3:$B$502,$A49,Historial!$C$3:$C$502,$B49,Historial!$G$3:$G$502,V$4,Historial!$H$3:$H$502,$B$2)&gt;0,"✓",""))</f>
        <v/>
      </c>
      <c r="W50" s="29" t="str">
        <f aca="false">IF($A49="","",IF(COUNTIFS(Historial!$B$3:$B$502,$A49,Historial!$C$3:$C$502,$B49,Historial!$G$3:$G$502,W$4,Historial!$H$3:$H$502,$B$2)&gt;0,"✓",""))</f>
        <v/>
      </c>
      <c r="X50" s="29" t="str">
        <f aca="false">IF($A49="","",IF(COUNTIFS(Historial!$B$3:$B$502,$A49,Historial!$C$3:$C$502,$B49,Historial!$G$3:$G$502,X$4,Historial!$H$3:$H$502,$B$2)&gt;0,"✓",""))</f>
        <v/>
      </c>
      <c r="Y50" s="29" t="str">
        <f aca="false">IF($A49="","",IF(COUNTIFS(Historial!$B$3:$B$502,$A49,Historial!$C$3:$C$502,$B49,Historial!$G$3:$G$502,Y$4,Historial!$H$3:$H$502,$B$2)&gt;0,"✓",""))</f>
        <v/>
      </c>
      <c r="Z50" s="29" t="str">
        <f aca="false">IF($A49="","",IF(COUNTIFS(Historial!$B$3:$B$502,$A49,Historial!$C$3:$C$502,$B49,Historial!$G$3:$G$502,Z$4,Historial!$H$3:$H$502,$B$2)&gt;0,"✓",""))</f>
        <v/>
      </c>
      <c r="AA50" s="29" t="str">
        <f aca="false">IF($A49="","",IF(COUNTIFS(Historial!$B$3:$B$502,$A49,Historial!$C$3:$C$502,$B49,Historial!$G$3:$G$502,AA$4,Historial!$H$3:$H$502,$B$2)&gt;0,"✓",""))</f>
        <v/>
      </c>
      <c r="AB50" s="29" t="str">
        <f aca="false">IF($A49="","",IF(COUNTIFS(Historial!$B$3:$B$502,$A49,Historial!$C$3:$C$502,$B49,Historial!$G$3:$G$502,AB$4,Historial!$H$3:$H$502,$B$2)&gt;0,"✓",""))</f>
        <v/>
      </c>
      <c r="AC50" s="29" t="str">
        <f aca="false">IF($A49="","",IF(COUNTIFS(Historial!$B$3:$B$502,$A49,Historial!$C$3:$C$502,$B49,Historial!$G$3:$G$502,AC$4,Historial!$H$3:$H$502,$B$2)&gt;0,"✓",""))</f>
        <v/>
      </c>
      <c r="AD50" s="29" t="str">
        <f aca="false">IF($A49="","",IF(COUNTIFS(Historial!$B$3:$B$502,$A49,Historial!$C$3:$C$502,$B49,Historial!$G$3:$G$502,AD$4,Historial!$H$3:$H$502,$B$2)&gt;0,"✓",""))</f>
        <v/>
      </c>
      <c r="AE50" s="29" t="str">
        <f aca="false">IF($A49="","",IF(COUNTIFS(Historial!$B$3:$B$502,$A49,Historial!$C$3:$C$502,$B49,Historial!$G$3:$G$502,AE$4,Historial!$H$3:$H$502,$B$2)&gt;0,"✓",""))</f>
        <v/>
      </c>
      <c r="AF50" s="29" t="str">
        <f aca="false">IF($A49="","",IF(COUNTIFS(Historial!$B$3:$B$502,$A49,Historial!$C$3:$C$502,$B49,Historial!$G$3:$G$502,AF$4,Historial!$H$3:$H$502,$B$2)&gt;0,"✓",""))</f>
        <v/>
      </c>
      <c r="AG50" s="29" t="str">
        <f aca="false">IF($A49="","",IF(COUNTIFS(Historial!$B$3:$B$502,$A49,Historial!$C$3:$C$502,$B49,Historial!$G$3:$G$502,AG$4,Historial!$H$3:$H$502,$B$2)&gt;0,"✓",""))</f>
        <v/>
      </c>
      <c r="AH50" s="29" t="str">
        <f aca="false">IF($A49="","",IF(COUNTIFS(Historial!$B$3:$B$502,$A49,Historial!$C$3:$C$502,$B49,Historial!$G$3:$G$502,AH$4,Historial!$H$3:$H$502,$B$2)&gt;0,"✓",""))</f>
        <v/>
      </c>
      <c r="AI50" s="29" t="str">
        <f aca="false">IF($A49="","",IF(COUNTIFS(Historial!$B$3:$B$502,$A49,Historial!$C$3:$C$502,$B49,Historial!$G$3:$G$502,AI$4,Historial!$H$3:$H$502,$B$2)&gt;0,"✓",""))</f>
        <v/>
      </c>
      <c r="AJ50" s="29" t="str">
        <f aca="false">IF($A49="","",IF(COUNTIFS(Historial!$B$3:$B$502,$A49,Historial!$C$3:$C$502,$B49,Historial!$G$3:$G$502,AJ$4,Historial!$H$3:$H$502,$B$2)&gt;0,"✓",""))</f>
        <v/>
      </c>
      <c r="AK50" s="29" t="str">
        <f aca="false">IF($A49="","",IF(COUNTIFS(Historial!$B$3:$B$502,$A49,Historial!$C$3:$C$502,$B49,Historial!$G$3:$G$502,AK$4,Historial!$H$3:$H$502,$B$2)&gt;0,"✓",""))</f>
        <v/>
      </c>
      <c r="AL50" s="29" t="str">
        <f aca="false">IF($A49="","",IF(COUNTIFS(Historial!$B$3:$B$502,$A49,Historial!$C$3:$C$502,$B49,Historial!$G$3:$G$502,AL$4,Historial!$H$3:$H$502,$B$2)&gt;0,"✓",""))</f>
        <v/>
      </c>
      <c r="AM50" s="29" t="str">
        <f aca="false">IF($A49="","",IF(COUNTIFS(Historial!$B$3:$B$502,$A49,Historial!$C$3:$C$502,$B49,Historial!$G$3:$G$502,AM$4,Historial!$H$3:$H$502,$B$2)&gt;0,"✓",""))</f>
        <v/>
      </c>
      <c r="AN50" s="29" t="str">
        <f aca="false">IF($A49="","",IF(COUNTIFS(Historial!$B$3:$B$502,$A49,Historial!$C$3:$C$502,$B49,Historial!$G$3:$G$502,AN$4,Historial!$H$3:$H$502,$B$2)&gt;0,"✓",""))</f>
        <v/>
      </c>
      <c r="AO50" s="29" t="str">
        <f aca="false">IF($A49="","",IF(COUNTIFS(Historial!$B$3:$B$502,$A49,Historial!$C$3:$C$502,$B49,Historial!$G$3:$G$502,AO$4,Historial!$H$3:$H$502,$B$2)&gt;0,"✓",""))</f>
        <v/>
      </c>
      <c r="AP50" s="29" t="str">
        <f aca="false">IF($A49="","",IF(COUNTIFS(Historial!$B$3:$B$502,$A49,Historial!$C$3:$C$502,$B49,Historial!$G$3:$G$502,AP$4,Historial!$H$3:$H$502,$B$2)&gt;0,"✓",""))</f>
        <v/>
      </c>
      <c r="AQ50" s="29" t="str">
        <f aca="false">IF($A49="","",IF(COUNTIFS(Historial!$B$3:$B$502,$A49,Historial!$C$3:$C$502,$B49,Historial!$G$3:$G$502,AQ$4,Historial!$H$3:$H$502,$B$2)&gt;0,"✓",""))</f>
        <v/>
      </c>
      <c r="AR50" s="29" t="str">
        <f aca="false">IF($A49="","",IF(COUNTIFS(Historial!$B$3:$B$502,$A49,Historial!$C$3:$C$502,$B49,Historial!$G$3:$G$502,AR$4,Historial!$H$3:$H$502,$B$2)&gt;0,"✓",""))</f>
        <v/>
      </c>
      <c r="AS50" s="29" t="str">
        <f aca="false">IF($A49="","",IF(COUNTIFS(Historial!$B$3:$B$502,$A49,Historial!$C$3:$C$502,$B49,Historial!$G$3:$G$502,AS$4,Historial!$H$3:$H$502,$B$2)&gt;0,"✓",""))</f>
        <v/>
      </c>
      <c r="AT50" s="29" t="str">
        <f aca="false">IF($A49="","",IF(COUNTIFS(Historial!$B$3:$B$502,$A49,Historial!$C$3:$C$502,$B49,Historial!$G$3:$G$502,AT$4,Historial!$H$3:$H$502,$B$2)&gt;0,"✓",""))</f>
        <v/>
      </c>
      <c r="AU50" s="29" t="str">
        <f aca="false">IF($A49="","",IF(COUNTIFS(Historial!$B$3:$B$502,$A49,Historial!$C$3:$C$502,$B49,Historial!$G$3:$G$502,AU$4,Historial!$H$3:$H$502,$B$2)&gt;0,"✓",""))</f>
        <v/>
      </c>
      <c r="AV50" s="29" t="str">
        <f aca="false">IF($A49="","",IF(COUNTIFS(Historial!$B$3:$B$502,$A49,Historial!$C$3:$C$502,$B49,Historial!$G$3:$G$502,AV$4,Historial!$H$3:$H$502,$B$2)&gt;0,"✓",""))</f>
        <v/>
      </c>
      <c r="AW50" s="29" t="str">
        <f aca="false">IF($A49="","",IF(COUNTIFS(Historial!$B$3:$B$502,$A49,Historial!$C$3:$C$502,$B49,Historial!$G$3:$G$502,AW$4,Historial!$H$3:$H$502,$B$2)&gt;0,"✓",""))</f>
        <v/>
      </c>
      <c r="AX50" s="29" t="str">
        <f aca="false">IF($A49="","",IF(COUNTIFS(Historial!$B$3:$B$502,$A49,Historial!$C$3:$C$502,$B49,Historial!$G$3:$G$502,AX$4,Historial!$H$3:$H$502,$B$2)&gt;0,"✓",""))</f>
        <v/>
      </c>
      <c r="AY50" s="29" t="str">
        <f aca="false">IF($A49="","",IF(COUNTIFS(Historial!$B$3:$B$502,$A49,Historial!$C$3:$C$502,$B49,Historial!$G$3:$G$502,AY$4,Historial!$H$3:$H$502,$B$2)&gt;0,"✓",""))</f>
        <v/>
      </c>
      <c r="AZ50" s="29" t="str">
        <f aca="false">IF($A49="","",IF(COUNTIFS(Historial!$B$3:$B$502,$A49,Historial!$C$3:$C$502,$B49,Historial!$G$3:$G$502,AZ$4,Historial!$H$3:$H$502,$B$2)&gt;0,"✓",""))</f>
        <v/>
      </c>
      <c r="BA50" s="29" t="str">
        <f aca="false">IF($A49="","",IF(COUNTIFS(Historial!$B$3:$B$502,$A49,Historial!$C$3:$C$502,$B49,Historial!$G$3:$G$502,BA$4,Historial!$H$3:$H$502,$B$2)&gt;0,"✓",""))</f>
        <v/>
      </c>
      <c r="BB50" s="29" t="str">
        <f aca="false">IF($A49="","",IF(COUNTIFS(Historial!$B$3:$B$502,$A49,Historial!$C$3:$C$502,$B49,Historial!$G$3:$G$502,BB$4,Historial!$H$3:$H$502,$B$2)&gt;0,"✓",""))</f>
        <v/>
      </c>
      <c r="BC50" s="29" t="str">
        <f aca="false">IF($A49="","",IF(COUNTIFS(Historial!$B$3:$B$502,$A49,Historial!$C$3:$C$502,$B49,Historial!$G$3:$G$502,BC$4,Historial!$H$3:$H$502,$B$2)&gt;0,"✓",""))</f>
        <v/>
      </c>
      <c r="BD50" s="29"/>
      <c r="BE50" s="29"/>
      <c r="BF50" s="29"/>
    </row>
    <row r="51" customFormat="false" ht="15" hidden="false" customHeight="false" outlineLevel="0" collapsed="false">
      <c r="A51" s="24" t="str">
        <f aca="false">IF(Actividades!$B26="","",Actividades!$B26)</f>
        <v/>
      </c>
      <c r="B51" s="24" t="str">
        <f aca="false">IF(Actividades!$C26="","",Actividades!$C26)</f>
        <v/>
      </c>
      <c r="C51" s="24" t="str">
        <f aca="false">IF($A51="","","Plan")</f>
        <v/>
      </c>
      <c r="D51" s="25" t="str">
        <f aca="false">IF($A51="","",IF(AND(N(Actividades!$E26)&gt;0,D$4&gt;=Actividades!$E26,MOD(D$4-Actividades!$E26,IFERROR(VLOOKUP(Actividades!$D26,Listas!$A$2:$B$8,2,0),52))=0),"P",""))</f>
        <v/>
      </c>
      <c r="E51" s="25" t="str">
        <f aca="false">IF($A51="","",IF(AND(N(Actividades!$E26)&gt;0,E$4&gt;=Actividades!$E26,MOD(E$4-Actividades!$E26,IFERROR(VLOOKUP(Actividades!$D26,Listas!$A$2:$B$8,2,0),52))=0),"P",""))</f>
        <v/>
      </c>
      <c r="F51" s="25" t="str">
        <f aca="false">IF($A51="","",IF(AND(N(Actividades!$E26)&gt;0,F$4&gt;=Actividades!$E26,MOD(F$4-Actividades!$E26,IFERROR(VLOOKUP(Actividades!$D26,Listas!$A$2:$B$8,2,0),52))=0),"P",""))</f>
        <v/>
      </c>
      <c r="G51" s="25" t="str">
        <f aca="false">IF($A51="","",IF(AND(N(Actividades!$E26)&gt;0,G$4&gt;=Actividades!$E26,MOD(G$4-Actividades!$E26,IFERROR(VLOOKUP(Actividades!$D26,Listas!$A$2:$B$8,2,0),52))=0),"P",""))</f>
        <v/>
      </c>
      <c r="H51" s="25" t="str">
        <f aca="false">IF($A51="","",IF(AND(N(Actividades!$E26)&gt;0,H$4&gt;=Actividades!$E26,MOD(H$4-Actividades!$E26,IFERROR(VLOOKUP(Actividades!$D26,Listas!$A$2:$B$8,2,0),52))=0),"P",""))</f>
        <v/>
      </c>
      <c r="I51" s="25" t="str">
        <f aca="false">IF($A51="","",IF(AND(N(Actividades!$E26)&gt;0,I$4&gt;=Actividades!$E26,MOD(I$4-Actividades!$E26,IFERROR(VLOOKUP(Actividades!$D26,Listas!$A$2:$B$8,2,0),52))=0),"P",""))</f>
        <v/>
      </c>
      <c r="J51" s="25" t="str">
        <f aca="false">IF($A51="","",IF(AND(N(Actividades!$E26)&gt;0,J$4&gt;=Actividades!$E26,MOD(J$4-Actividades!$E26,IFERROR(VLOOKUP(Actividades!$D26,Listas!$A$2:$B$8,2,0),52))=0),"P",""))</f>
        <v/>
      </c>
      <c r="K51" s="25" t="str">
        <f aca="false">IF($A51="","",IF(AND(N(Actividades!$E26)&gt;0,K$4&gt;=Actividades!$E26,MOD(K$4-Actividades!$E26,IFERROR(VLOOKUP(Actividades!$D26,Listas!$A$2:$B$8,2,0),52))=0),"P",""))</f>
        <v/>
      </c>
      <c r="L51" s="25" t="str">
        <f aca="false">IF($A51="","",IF(AND(N(Actividades!$E26)&gt;0,L$4&gt;=Actividades!$E26,MOD(L$4-Actividades!$E26,IFERROR(VLOOKUP(Actividades!$D26,Listas!$A$2:$B$8,2,0),52))=0),"P",""))</f>
        <v/>
      </c>
      <c r="M51" s="25" t="str">
        <f aca="false">IF($A51="","",IF(AND(N(Actividades!$E26)&gt;0,M$4&gt;=Actividades!$E26,MOD(M$4-Actividades!$E26,IFERROR(VLOOKUP(Actividades!$D26,Listas!$A$2:$B$8,2,0),52))=0),"P",""))</f>
        <v/>
      </c>
      <c r="N51" s="25" t="str">
        <f aca="false">IF($A51="","",IF(AND(N(Actividades!$E26)&gt;0,N$4&gt;=Actividades!$E26,MOD(N$4-Actividades!$E26,IFERROR(VLOOKUP(Actividades!$D26,Listas!$A$2:$B$8,2,0),52))=0),"P",""))</f>
        <v/>
      </c>
      <c r="O51" s="25" t="str">
        <f aca="false">IF($A51="","",IF(AND(N(Actividades!$E26)&gt;0,O$4&gt;=Actividades!$E26,MOD(O$4-Actividades!$E26,IFERROR(VLOOKUP(Actividades!$D26,Listas!$A$2:$B$8,2,0),52))=0),"P",""))</f>
        <v/>
      </c>
      <c r="P51" s="25" t="str">
        <f aca="false">IF($A51="","",IF(AND(N(Actividades!$E26)&gt;0,P$4&gt;=Actividades!$E26,MOD(P$4-Actividades!$E26,IFERROR(VLOOKUP(Actividades!$D26,Listas!$A$2:$B$8,2,0),52))=0),"P",""))</f>
        <v/>
      </c>
      <c r="Q51" s="25" t="str">
        <f aca="false">IF($A51="","",IF(AND(N(Actividades!$E26)&gt;0,Q$4&gt;=Actividades!$E26,MOD(Q$4-Actividades!$E26,IFERROR(VLOOKUP(Actividades!$D26,Listas!$A$2:$B$8,2,0),52))=0),"P",""))</f>
        <v/>
      </c>
      <c r="R51" s="25" t="str">
        <f aca="false">IF($A51="","",IF(AND(N(Actividades!$E26)&gt;0,R$4&gt;=Actividades!$E26,MOD(R$4-Actividades!$E26,IFERROR(VLOOKUP(Actividades!$D26,Listas!$A$2:$B$8,2,0),52))=0),"P",""))</f>
        <v/>
      </c>
      <c r="S51" s="25" t="str">
        <f aca="false">IF($A51="","",IF(AND(N(Actividades!$E26)&gt;0,S$4&gt;=Actividades!$E26,MOD(S$4-Actividades!$E26,IFERROR(VLOOKUP(Actividades!$D26,Listas!$A$2:$B$8,2,0),52))=0),"P",""))</f>
        <v/>
      </c>
      <c r="T51" s="25" t="str">
        <f aca="false">IF($A51="","",IF(AND(N(Actividades!$E26)&gt;0,T$4&gt;=Actividades!$E26,MOD(T$4-Actividades!$E26,IFERROR(VLOOKUP(Actividades!$D26,Listas!$A$2:$B$8,2,0),52))=0),"P",""))</f>
        <v/>
      </c>
      <c r="U51" s="25" t="str">
        <f aca="false">IF($A51="","",IF(AND(N(Actividades!$E26)&gt;0,U$4&gt;=Actividades!$E26,MOD(U$4-Actividades!$E26,IFERROR(VLOOKUP(Actividades!$D26,Listas!$A$2:$B$8,2,0),52))=0),"P",""))</f>
        <v/>
      </c>
      <c r="V51" s="25" t="str">
        <f aca="false">IF($A51="","",IF(AND(N(Actividades!$E26)&gt;0,V$4&gt;=Actividades!$E26,MOD(V$4-Actividades!$E26,IFERROR(VLOOKUP(Actividades!$D26,Listas!$A$2:$B$8,2,0),52))=0),"P",""))</f>
        <v/>
      </c>
      <c r="W51" s="25" t="str">
        <f aca="false">IF($A51="","",IF(AND(N(Actividades!$E26)&gt;0,W$4&gt;=Actividades!$E26,MOD(W$4-Actividades!$E26,IFERROR(VLOOKUP(Actividades!$D26,Listas!$A$2:$B$8,2,0),52))=0),"P",""))</f>
        <v/>
      </c>
      <c r="X51" s="25" t="str">
        <f aca="false">IF($A51="","",IF(AND(N(Actividades!$E26)&gt;0,X$4&gt;=Actividades!$E26,MOD(X$4-Actividades!$E26,IFERROR(VLOOKUP(Actividades!$D26,Listas!$A$2:$B$8,2,0),52))=0),"P",""))</f>
        <v/>
      </c>
      <c r="Y51" s="25" t="str">
        <f aca="false">IF($A51="","",IF(AND(N(Actividades!$E26)&gt;0,Y$4&gt;=Actividades!$E26,MOD(Y$4-Actividades!$E26,IFERROR(VLOOKUP(Actividades!$D26,Listas!$A$2:$B$8,2,0),52))=0),"P",""))</f>
        <v/>
      </c>
      <c r="Z51" s="25" t="str">
        <f aca="false">IF($A51="","",IF(AND(N(Actividades!$E26)&gt;0,Z$4&gt;=Actividades!$E26,MOD(Z$4-Actividades!$E26,IFERROR(VLOOKUP(Actividades!$D26,Listas!$A$2:$B$8,2,0),52))=0),"P",""))</f>
        <v/>
      </c>
      <c r="AA51" s="25" t="str">
        <f aca="false">IF($A51="","",IF(AND(N(Actividades!$E26)&gt;0,AA$4&gt;=Actividades!$E26,MOD(AA$4-Actividades!$E26,IFERROR(VLOOKUP(Actividades!$D26,Listas!$A$2:$B$8,2,0),52))=0),"P",""))</f>
        <v/>
      </c>
      <c r="AB51" s="25" t="str">
        <f aca="false">IF($A51="","",IF(AND(N(Actividades!$E26)&gt;0,AB$4&gt;=Actividades!$E26,MOD(AB$4-Actividades!$E26,IFERROR(VLOOKUP(Actividades!$D26,Listas!$A$2:$B$8,2,0),52))=0),"P",""))</f>
        <v/>
      </c>
      <c r="AC51" s="25" t="str">
        <f aca="false">IF($A51="","",IF(AND(N(Actividades!$E26)&gt;0,AC$4&gt;=Actividades!$E26,MOD(AC$4-Actividades!$E26,IFERROR(VLOOKUP(Actividades!$D26,Listas!$A$2:$B$8,2,0),52))=0),"P",""))</f>
        <v/>
      </c>
      <c r="AD51" s="25" t="str">
        <f aca="false">IF($A51="","",IF(AND(N(Actividades!$E26)&gt;0,AD$4&gt;=Actividades!$E26,MOD(AD$4-Actividades!$E26,IFERROR(VLOOKUP(Actividades!$D26,Listas!$A$2:$B$8,2,0),52))=0),"P",""))</f>
        <v/>
      </c>
      <c r="AE51" s="25" t="str">
        <f aca="false">IF($A51="","",IF(AND(N(Actividades!$E26)&gt;0,AE$4&gt;=Actividades!$E26,MOD(AE$4-Actividades!$E26,IFERROR(VLOOKUP(Actividades!$D26,Listas!$A$2:$B$8,2,0),52))=0),"P",""))</f>
        <v/>
      </c>
      <c r="AF51" s="25" t="str">
        <f aca="false">IF($A51="","",IF(AND(N(Actividades!$E26)&gt;0,AF$4&gt;=Actividades!$E26,MOD(AF$4-Actividades!$E26,IFERROR(VLOOKUP(Actividades!$D26,Listas!$A$2:$B$8,2,0),52))=0),"P",""))</f>
        <v/>
      </c>
      <c r="AG51" s="25" t="str">
        <f aca="false">IF($A51="","",IF(AND(N(Actividades!$E26)&gt;0,AG$4&gt;=Actividades!$E26,MOD(AG$4-Actividades!$E26,IFERROR(VLOOKUP(Actividades!$D26,Listas!$A$2:$B$8,2,0),52))=0),"P",""))</f>
        <v/>
      </c>
      <c r="AH51" s="25" t="str">
        <f aca="false">IF($A51="","",IF(AND(N(Actividades!$E26)&gt;0,AH$4&gt;=Actividades!$E26,MOD(AH$4-Actividades!$E26,IFERROR(VLOOKUP(Actividades!$D26,Listas!$A$2:$B$8,2,0),52))=0),"P",""))</f>
        <v/>
      </c>
      <c r="AI51" s="25" t="str">
        <f aca="false">IF($A51="","",IF(AND(N(Actividades!$E26)&gt;0,AI$4&gt;=Actividades!$E26,MOD(AI$4-Actividades!$E26,IFERROR(VLOOKUP(Actividades!$D26,Listas!$A$2:$B$8,2,0),52))=0),"P",""))</f>
        <v/>
      </c>
      <c r="AJ51" s="25" t="str">
        <f aca="false">IF($A51="","",IF(AND(N(Actividades!$E26)&gt;0,AJ$4&gt;=Actividades!$E26,MOD(AJ$4-Actividades!$E26,IFERROR(VLOOKUP(Actividades!$D26,Listas!$A$2:$B$8,2,0),52))=0),"P",""))</f>
        <v/>
      </c>
      <c r="AK51" s="25" t="str">
        <f aca="false">IF($A51="","",IF(AND(N(Actividades!$E26)&gt;0,AK$4&gt;=Actividades!$E26,MOD(AK$4-Actividades!$E26,IFERROR(VLOOKUP(Actividades!$D26,Listas!$A$2:$B$8,2,0),52))=0),"P",""))</f>
        <v/>
      </c>
      <c r="AL51" s="25" t="str">
        <f aca="false">IF($A51="","",IF(AND(N(Actividades!$E26)&gt;0,AL$4&gt;=Actividades!$E26,MOD(AL$4-Actividades!$E26,IFERROR(VLOOKUP(Actividades!$D26,Listas!$A$2:$B$8,2,0),52))=0),"P",""))</f>
        <v/>
      </c>
      <c r="AM51" s="25" t="str">
        <f aca="false">IF($A51="","",IF(AND(N(Actividades!$E26)&gt;0,AM$4&gt;=Actividades!$E26,MOD(AM$4-Actividades!$E26,IFERROR(VLOOKUP(Actividades!$D26,Listas!$A$2:$B$8,2,0),52))=0),"P",""))</f>
        <v/>
      </c>
      <c r="AN51" s="25" t="str">
        <f aca="false">IF($A51="","",IF(AND(N(Actividades!$E26)&gt;0,AN$4&gt;=Actividades!$E26,MOD(AN$4-Actividades!$E26,IFERROR(VLOOKUP(Actividades!$D26,Listas!$A$2:$B$8,2,0),52))=0),"P",""))</f>
        <v/>
      </c>
      <c r="AO51" s="25" t="str">
        <f aca="false">IF($A51="","",IF(AND(N(Actividades!$E26)&gt;0,AO$4&gt;=Actividades!$E26,MOD(AO$4-Actividades!$E26,IFERROR(VLOOKUP(Actividades!$D26,Listas!$A$2:$B$8,2,0),52))=0),"P",""))</f>
        <v/>
      </c>
      <c r="AP51" s="25" t="str">
        <f aca="false">IF($A51="","",IF(AND(N(Actividades!$E26)&gt;0,AP$4&gt;=Actividades!$E26,MOD(AP$4-Actividades!$E26,IFERROR(VLOOKUP(Actividades!$D26,Listas!$A$2:$B$8,2,0),52))=0),"P",""))</f>
        <v/>
      </c>
      <c r="AQ51" s="25" t="str">
        <f aca="false">IF($A51="","",IF(AND(N(Actividades!$E26)&gt;0,AQ$4&gt;=Actividades!$E26,MOD(AQ$4-Actividades!$E26,IFERROR(VLOOKUP(Actividades!$D26,Listas!$A$2:$B$8,2,0),52))=0),"P",""))</f>
        <v/>
      </c>
      <c r="AR51" s="25" t="str">
        <f aca="false">IF($A51="","",IF(AND(N(Actividades!$E26)&gt;0,AR$4&gt;=Actividades!$E26,MOD(AR$4-Actividades!$E26,IFERROR(VLOOKUP(Actividades!$D26,Listas!$A$2:$B$8,2,0),52))=0),"P",""))</f>
        <v/>
      </c>
      <c r="AS51" s="25" t="str">
        <f aca="false">IF($A51="","",IF(AND(N(Actividades!$E26)&gt;0,AS$4&gt;=Actividades!$E26,MOD(AS$4-Actividades!$E26,IFERROR(VLOOKUP(Actividades!$D26,Listas!$A$2:$B$8,2,0),52))=0),"P",""))</f>
        <v/>
      </c>
      <c r="AT51" s="25" t="str">
        <f aca="false">IF($A51="","",IF(AND(N(Actividades!$E26)&gt;0,AT$4&gt;=Actividades!$E26,MOD(AT$4-Actividades!$E26,IFERROR(VLOOKUP(Actividades!$D26,Listas!$A$2:$B$8,2,0),52))=0),"P",""))</f>
        <v/>
      </c>
      <c r="AU51" s="25" t="str">
        <f aca="false">IF($A51="","",IF(AND(N(Actividades!$E26)&gt;0,AU$4&gt;=Actividades!$E26,MOD(AU$4-Actividades!$E26,IFERROR(VLOOKUP(Actividades!$D26,Listas!$A$2:$B$8,2,0),52))=0),"P",""))</f>
        <v/>
      </c>
      <c r="AV51" s="25" t="str">
        <f aca="false">IF($A51="","",IF(AND(N(Actividades!$E26)&gt;0,AV$4&gt;=Actividades!$E26,MOD(AV$4-Actividades!$E26,IFERROR(VLOOKUP(Actividades!$D26,Listas!$A$2:$B$8,2,0),52))=0),"P",""))</f>
        <v/>
      </c>
      <c r="AW51" s="25" t="str">
        <f aca="false">IF($A51="","",IF(AND(N(Actividades!$E26)&gt;0,AW$4&gt;=Actividades!$E26,MOD(AW$4-Actividades!$E26,IFERROR(VLOOKUP(Actividades!$D26,Listas!$A$2:$B$8,2,0),52))=0),"P",""))</f>
        <v/>
      </c>
      <c r="AX51" s="25" t="str">
        <f aca="false">IF($A51="","",IF(AND(N(Actividades!$E26)&gt;0,AX$4&gt;=Actividades!$E26,MOD(AX$4-Actividades!$E26,IFERROR(VLOOKUP(Actividades!$D26,Listas!$A$2:$B$8,2,0),52))=0),"P",""))</f>
        <v/>
      </c>
      <c r="AY51" s="25" t="str">
        <f aca="false">IF($A51="","",IF(AND(N(Actividades!$E26)&gt;0,AY$4&gt;=Actividades!$E26,MOD(AY$4-Actividades!$E26,IFERROR(VLOOKUP(Actividades!$D26,Listas!$A$2:$B$8,2,0),52))=0),"P",""))</f>
        <v/>
      </c>
      <c r="AZ51" s="25" t="str">
        <f aca="false">IF($A51="","",IF(AND(N(Actividades!$E26)&gt;0,AZ$4&gt;=Actividades!$E26,MOD(AZ$4-Actividades!$E26,IFERROR(VLOOKUP(Actividades!$D26,Listas!$A$2:$B$8,2,0),52))=0),"P",""))</f>
        <v/>
      </c>
      <c r="BA51" s="25" t="str">
        <f aca="false">IF($A51="","",IF(AND(N(Actividades!$E26)&gt;0,BA$4&gt;=Actividades!$E26,MOD(BA$4-Actividades!$E26,IFERROR(VLOOKUP(Actividades!$D26,Listas!$A$2:$B$8,2,0),52))=0),"P",""))</f>
        <v/>
      </c>
      <c r="BB51" s="25" t="str">
        <f aca="false">IF($A51="","",IF(AND(N(Actividades!$E26)&gt;0,BB$4&gt;=Actividades!$E26,MOD(BB$4-Actividades!$E26,IFERROR(VLOOKUP(Actividades!$D26,Listas!$A$2:$B$8,2,0),52))=0),"P",""))</f>
        <v/>
      </c>
      <c r="BC51" s="25" t="str">
        <f aca="false">IF($A51="","",IF(AND(N(Actividades!$E26)&gt;0,BC$4&gt;=Actividades!$E26,MOD(BC$4-Actividades!$E26,IFERROR(VLOOKUP(Actividades!$D26,Listas!$A$2:$B$8,2,0),52))=0),"P",""))</f>
        <v/>
      </c>
      <c r="BD51" s="26" t="str">
        <f aca="false">IF($A51="","",COUNTIF(D51:BC51,"P"))</f>
        <v/>
      </c>
      <c r="BE51" s="26" t="str">
        <f aca="false">IF($A51="","",SUMPRODUCT((D51:BC51="P")*(D52:BC52="✓")))</f>
        <v/>
      </c>
      <c r="BF51" s="27" t="str">
        <f aca="false">IF($A51="","",IF(BD51=0,"",BE51/BD51))</f>
        <v/>
      </c>
    </row>
    <row r="52" customFormat="false" ht="15" hidden="false" customHeight="false" outlineLevel="0" collapsed="false">
      <c r="A52" s="28"/>
      <c r="B52" s="28"/>
      <c r="C52" s="28" t="str">
        <f aca="false">IF($A51="","","Real")</f>
        <v/>
      </c>
      <c r="D52" s="29" t="str">
        <f aca="false">IF($A51="","",IF(COUNTIFS(Historial!$B$3:$B$502,$A51,Historial!$C$3:$C$502,$B51,Historial!$G$3:$G$502,D$4,Historial!$H$3:$H$502,$B$2)&gt;0,"✓",""))</f>
        <v/>
      </c>
      <c r="E52" s="29" t="str">
        <f aca="false">IF($A51="","",IF(COUNTIFS(Historial!$B$3:$B$502,$A51,Historial!$C$3:$C$502,$B51,Historial!$G$3:$G$502,E$4,Historial!$H$3:$H$502,$B$2)&gt;0,"✓",""))</f>
        <v/>
      </c>
      <c r="F52" s="29" t="str">
        <f aca="false">IF($A51="","",IF(COUNTIFS(Historial!$B$3:$B$502,$A51,Historial!$C$3:$C$502,$B51,Historial!$G$3:$G$502,F$4,Historial!$H$3:$H$502,$B$2)&gt;0,"✓",""))</f>
        <v/>
      </c>
      <c r="G52" s="29" t="str">
        <f aca="false">IF($A51="","",IF(COUNTIFS(Historial!$B$3:$B$502,$A51,Historial!$C$3:$C$502,$B51,Historial!$G$3:$G$502,G$4,Historial!$H$3:$H$502,$B$2)&gt;0,"✓",""))</f>
        <v/>
      </c>
      <c r="H52" s="29" t="str">
        <f aca="false">IF($A51="","",IF(COUNTIFS(Historial!$B$3:$B$502,$A51,Historial!$C$3:$C$502,$B51,Historial!$G$3:$G$502,H$4,Historial!$H$3:$H$502,$B$2)&gt;0,"✓",""))</f>
        <v/>
      </c>
      <c r="I52" s="29" t="str">
        <f aca="false">IF($A51="","",IF(COUNTIFS(Historial!$B$3:$B$502,$A51,Historial!$C$3:$C$502,$B51,Historial!$G$3:$G$502,I$4,Historial!$H$3:$H$502,$B$2)&gt;0,"✓",""))</f>
        <v/>
      </c>
      <c r="J52" s="29" t="str">
        <f aca="false">IF($A51="","",IF(COUNTIFS(Historial!$B$3:$B$502,$A51,Historial!$C$3:$C$502,$B51,Historial!$G$3:$G$502,J$4,Historial!$H$3:$H$502,$B$2)&gt;0,"✓",""))</f>
        <v/>
      </c>
      <c r="K52" s="29" t="str">
        <f aca="false">IF($A51="","",IF(COUNTIFS(Historial!$B$3:$B$502,$A51,Historial!$C$3:$C$502,$B51,Historial!$G$3:$G$502,K$4,Historial!$H$3:$H$502,$B$2)&gt;0,"✓",""))</f>
        <v/>
      </c>
      <c r="L52" s="29" t="str">
        <f aca="false">IF($A51="","",IF(COUNTIFS(Historial!$B$3:$B$502,$A51,Historial!$C$3:$C$502,$B51,Historial!$G$3:$G$502,L$4,Historial!$H$3:$H$502,$B$2)&gt;0,"✓",""))</f>
        <v/>
      </c>
      <c r="M52" s="29" t="str">
        <f aca="false">IF($A51="","",IF(COUNTIFS(Historial!$B$3:$B$502,$A51,Historial!$C$3:$C$502,$B51,Historial!$G$3:$G$502,M$4,Historial!$H$3:$H$502,$B$2)&gt;0,"✓",""))</f>
        <v/>
      </c>
      <c r="N52" s="29" t="str">
        <f aca="false">IF($A51="","",IF(COUNTIFS(Historial!$B$3:$B$502,$A51,Historial!$C$3:$C$502,$B51,Historial!$G$3:$G$502,N$4,Historial!$H$3:$H$502,$B$2)&gt;0,"✓",""))</f>
        <v/>
      </c>
      <c r="O52" s="29" t="str">
        <f aca="false">IF($A51="","",IF(COUNTIFS(Historial!$B$3:$B$502,$A51,Historial!$C$3:$C$502,$B51,Historial!$G$3:$G$502,O$4,Historial!$H$3:$H$502,$B$2)&gt;0,"✓",""))</f>
        <v/>
      </c>
      <c r="P52" s="29" t="str">
        <f aca="false">IF($A51="","",IF(COUNTIFS(Historial!$B$3:$B$502,$A51,Historial!$C$3:$C$502,$B51,Historial!$G$3:$G$502,P$4,Historial!$H$3:$H$502,$B$2)&gt;0,"✓",""))</f>
        <v/>
      </c>
      <c r="Q52" s="29" t="str">
        <f aca="false">IF($A51="","",IF(COUNTIFS(Historial!$B$3:$B$502,$A51,Historial!$C$3:$C$502,$B51,Historial!$G$3:$G$502,Q$4,Historial!$H$3:$H$502,$B$2)&gt;0,"✓",""))</f>
        <v/>
      </c>
      <c r="R52" s="29" t="str">
        <f aca="false">IF($A51="","",IF(COUNTIFS(Historial!$B$3:$B$502,$A51,Historial!$C$3:$C$502,$B51,Historial!$G$3:$G$502,R$4,Historial!$H$3:$H$502,$B$2)&gt;0,"✓",""))</f>
        <v/>
      </c>
      <c r="S52" s="29" t="str">
        <f aca="false">IF($A51="","",IF(COUNTIFS(Historial!$B$3:$B$502,$A51,Historial!$C$3:$C$502,$B51,Historial!$G$3:$G$502,S$4,Historial!$H$3:$H$502,$B$2)&gt;0,"✓",""))</f>
        <v/>
      </c>
      <c r="T52" s="29" t="str">
        <f aca="false">IF($A51="","",IF(COUNTIFS(Historial!$B$3:$B$502,$A51,Historial!$C$3:$C$502,$B51,Historial!$G$3:$G$502,T$4,Historial!$H$3:$H$502,$B$2)&gt;0,"✓",""))</f>
        <v/>
      </c>
      <c r="U52" s="29" t="str">
        <f aca="false">IF($A51="","",IF(COUNTIFS(Historial!$B$3:$B$502,$A51,Historial!$C$3:$C$502,$B51,Historial!$G$3:$G$502,U$4,Historial!$H$3:$H$502,$B$2)&gt;0,"✓",""))</f>
        <v/>
      </c>
      <c r="V52" s="29" t="str">
        <f aca="false">IF($A51="","",IF(COUNTIFS(Historial!$B$3:$B$502,$A51,Historial!$C$3:$C$502,$B51,Historial!$G$3:$G$502,V$4,Historial!$H$3:$H$502,$B$2)&gt;0,"✓",""))</f>
        <v/>
      </c>
      <c r="W52" s="29" t="str">
        <f aca="false">IF($A51="","",IF(COUNTIFS(Historial!$B$3:$B$502,$A51,Historial!$C$3:$C$502,$B51,Historial!$G$3:$G$502,W$4,Historial!$H$3:$H$502,$B$2)&gt;0,"✓",""))</f>
        <v/>
      </c>
      <c r="X52" s="29" t="str">
        <f aca="false">IF($A51="","",IF(COUNTIFS(Historial!$B$3:$B$502,$A51,Historial!$C$3:$C$502,$B51,Historial!$G$3:$G$502,X$4,Historial!$H$3:$H$502,$B$2)&gt;0,"✓",""))</f>
        <v/>
      </c>
      <c r="Y52" s="29" t="str">
        <f aca="false">IF($A51="","",IF(COUNTIFS(Historial!$B$3:$B$502,$A51,Historial!$C$3:$C$502,$B51,Historial!$G$3:$G$502,Y$4,Historial!$H$3:$H$502,$B$2)&gt;0,"✓",""))</f>
        <v/>
      </c>
      <c r="Z52" s="29" t="str">
        <f aca="false">IF($A51="","",IF(COUNTIFS(Historial!$B$3:$B$502,$A51,Historial!$C$3:$C$502,$B51,Historial!$G$3:$G$502,Z$4,Historial!$H$3:$H$502,$B$2)&gt;0,"✓",""))</f>
        <v/>
      </c>
      <c r="AA52" s="29" t="str">
        <f aca="false">IF($A51="","",IF(COUNTIFS(Historial!$B$3:$B$502,$A51,Historial!$C$3:$C$502,$B51,Historial!$G$3:$G$502,AA$4,Historial!$H$3:$H$502,$B$2)&gt;0,"✓",""))</f>
        <v/>
      </c>
      <c r="AB52" s="29" t="str">
        <f aca="false">IF($A51="","",IF(COUNTIFS(Historial!$B$3:$B$502,$A51,Historial!$C$3:$C$502,$B51,Historial!$G$3:$G$502,AB$4,Historial!$H$3:$H$502,$B$2)&gt;0,"✓",""))</f>
        <v/>
      </c>
      <c r="AC52" s="29" t="str">
        <f aca="false">IF($A51="","",IF(COUNTIFS(Historial!$B$3:$B$502,$A51,Historial!$C$3:$C$502,$B51,Historial!$G$3:$G$502,AC$4,Historial!$H$3:$H$502,$B$2)&gt;0,"✓",""))</f>
        <v/>
      </c>
      <c r="AD52" s="29" t="str">
        <f aca="false">IF($A51="","",IF(COUNTIFS(Historial!$B$3:$B$502,$A51,Historial!$C$3:$C$502,$B51,Historial!$G$3:$G$502,AD$4,Historial!$H$3:$H$502,$B$2)&gt;0,"✓",""))</f>
        <v/>
      </c>
      <c r="AE52" s="29" t="str">
        <f aca="false">IF($A51="","",IF(COUNTIFS(Historial!$B$3:$B$502,$A51,Historial!$C$3:$C$502,$B51,Historial!$G$3:$G$502,AE$4,Historial!$H$3:$H$502,$B$2)&gt;0,"✓",""))</f>
        <v/>
      </c>
      <c r="AF52" s="29" t="str">
        <f aca="false">IF($A51="","",IF(COUNTIFS(Historial!$B$3:$B$502,$A51,Historial!$C$3:$C$502,$B51,Historial!$G$3:$G$502,AF$4,Historial!$H$3:$H$502,$B$2)&gt;0,"✓",""))</f>
        <v/>
      </c>
      <c r="AG52" s="29" t="str">
        <f aca="false">IF($A51="","",IF(COUNTIFS(Historial!$B$3:$B$502,$A51,Historial!$C$3:$C$502,$B51,Historial!$G$3:$G$502,AG$4,Historial!$H$3:$H$502,$B$2)&gt;0,"✓",""))</f>
        <v/>
      </c>
      <c r="AH52" s="29" t="str">
        <f aca="false">IF($A51="","",IF(COUNTIFS(Historial!$B$3:$B$502,$A51,Historial!$C$3:$C$502,$B51,Historial!$G$3:$G$502,AH$4,Historial!$H$3:$H$502,$B$2)&gt;0,"✓",""))</f>
        <v/>
      </c>
      <c r="AI52" s="29" t="str">
        <f aca="false">IF($A51="","",IF(COUNTIFS(Historial!$B$3:$B$502,$A51,Historial!$C$3:$C$502,$B51,Historial!$G$3:$G$502,AI$4,Historial!$H$3:$H$502,$B$2)&gt;0,"✓",""))</f>
        <v/>
      </c>
      <c r="AJ52" s="29" t="str">
        <f aca="false">IF($A51="","",IF(COUNTIFS(Historial!$B$3:$B$502,$A51,Historial!$C$3:$C$502,$B51,Historial!$G$3:$G$502,AJ$4,Historial!$H$3:$H$502,$B$2)&gt;0,"✓",""))</f>
        <v/>
      </c>
      <c r="AK52" s="29" t="str">
        <f aca="false">IF($A51="","",IF(COUNTIFS(Historial!$B$3:$B$502,$A51,Historial!$C$3:$C$502,$B51,Historial!$G$3:$G$502,AK$4,Historial!$H$3:$H$502,$B$2)&gt;0,"✓",""))</f>
        <v/>
      </c>
      <c r="AL52" s="29" t="str">
        <f aca="false">IF($A51="","",IF(COUNTIFS(Historial!$B$3:$B$502,$A51,Historial!$C$3:$C$502,$B51,Historial!$G$3:$G$502,AL$4,Historial!$H$3:$H$502,$B$2)&gt;0,"✓",""))</f>
        <v/>
      </c>
      <c r="AM52" s="29" t="str">
        <f aca="false">IF($A51="","",IF(COUNTIFS(Historial!$B$3:$B$502,$A51,Historial!$C$3:$C$502,$B51,Historial!$G$3:$G$502,AM$4,Historial!$H$3:$H$502,$B$2)&gt;0,"✓",""))</f>
        <v/>
      </c>
      <c r="AN52" s="29" t="str">
        <f aca="false">IF($A51="","",IF(COUNTIFS(Historial!$B$3:$B$502,$A51,Historial!$C$3:$C$502,$B51,Historial!$G$3:$G$502,AN$4,Historial!$H$3:$H$502,$B$2)&gt;0,"✓",""))</f>
        <v/>
      </c>
      <c r="AO52" s="29" t="str">
        <f aca="false">IF($A51="","",IF(COUNTIFS(Historial!$B$3:$B$502,$A51,Historial!$C$3:$C$502,$B51,Historial!$G$3:$G$502,AO$4,Historial!$H$3:$H$502,$B$2)&gt;0,"✓",""))</f>
        <v/>
      </c>
      <c r="AP52" s="29" t="str">
        <f aca="false">IF($A51="","",IF(COUNTIFS(Historial!$B$3:$B$502,$A51,Historial!$C$3:$C$502,$B51,Historial!$G$3:$G$502,AP$4,Historial!$H$3:$H$502,$B$2)&gt;0,"✓",""))</f>
        <v/>
      </c>
      <c r="AQ52" s="29" t="str">
        <f aca="false">IF($A51="","",IF(COUNTIFS(Historial!$B$3:$B$502,$A51,Historial!$C$3:$C$502,$B51,Historial!$G$3:$G$502,AQ$4,Historial!$H$3:$H$502,$B$2)&gt;0,"✓",""))</f>
        <v/>
      </c>
      <c r="AR52" s="29" t="str">
        <f aca="false">IF($A51="","",IF(COUNTIFS(Historial!$B$3:$B$502,$A51,Historial!$C$3:$C$502,$B51,Historial!$G$3:$G$502,AR$4,Historial!$H$3:$H$502,$B$2)&gt;0,"✓",""))</f>
        <v/>
      </c>
      <c r="AS52" s="29" t="str">
        <f aca="false">IF($A51="","",IF(COUNTIFS(Historial!$B$3:$B$502,$A51,Historial!$C$3:$C$502,$B51,Historial!$G$3:$G$502,AS$4,Historial!$H$3:$H$502,$B$2)&gt;0,"✓",""))</f>
        <v/>
      </c>
      <c r="AT52" s="29" t="str">
        <f aca="false">IF($A51="","",IF(COUNTIFS(Historial!$B$3:$B$502,$A51,Historial!$C$3:$C$502,$B51,Historial!$G$3:$G$502,AT$4,Historial!$H$3:$H$502,$B$2)&gt;0,"✓",""))</f>
        <v/>
      </c>
      <c r="AU52" s="29" t="str">
        <f aca="false">IF($A51="","",IF(COUNTIFS(Historial!$B$3:$B$502,$A51,Historial!$C$3:$C$502,$B51,Historial!$G$3:$G$502,AU$4,Historial!$H$3:$H$502,$B$2)&gt;0,"✓",""))</f>
        <v/>
      </c>
      <c r="AV52" s="29" t="str">
        <f aca="false">IF($A51="","",IF(COUNTIFS(Historial!$B$3:$B$502,$A51,Historial!$C$3:$C$502,$B51,Historial!$G$3:$G$502,AV$4,Historial!$H$3:$H$502,$B$2)&gt;0,"✓",""))</f>
        <v/>
      </c>
      <c r="AW52" s="29" t="str">
        <f aca="false">IF($A51="","",IF(COUNTIFS(Historial!$B$3:$B$502,$A51,Historial!$C$3:$C$502,$B51,Historial!$G$3:$G$502,AW$4,Historial!$H$3:$H$502,$B$2)&gt;0,"✓",""))</f>
        <v/>
      </c>
      <c r="AX52" s="29" t="str">
        <f aca="false">IF($A51="","",IF(COUNTIFS(Historial!$B$3:$B$502,$A51,Historial!$C$3:$C$502,$B51,Historial!$G$3:$G$502,AX$4,Historial!$H$3:$H$502,$B$2)&gt;0,"✓",""))</f>
        <v/>
      </c>
      <c r="AY52" s="29" t="str">
        <f aca="false">IF($A51="","",IF(COUNTIFS(Historial!$B$3:$B$502,$A51,Historial!$C$3:$C$502,$B51,Historial!$G$3:$G$502,AY$4,Historial!$H$3:$H$502,$B$2)&gt;0,"✓",""))</f>
        <v/>
      </c>
      <c r="AZ52" s="29" t="str">
        <f aca="false">IF($A51="","",IF(COUNTIFS(Historial!$B$3:$B$502,$A51,Historial!$C$3:$C$502,$B51,Historial!$G$3:$G$502,AZ$4,Historial!$H$3:$H$502,$B$2)&gt;0,"✓",""))</f>
        <v/>
      </c>
      <c r="BA52" s="29" t="str">
        <f aca="false">IF($A51="","",IF(COUNTIFS(Historial!$B$3:$B$502,$A51,Historial!$C$3:$C$502,$B51,Historial!$G$3:$G$502,BA$4,Historial!$H$3:$H$502,$B$2)&gt;0,"✓",""))</f>
        <v/>
      </c>
      <c r="BB52" s="29" t="str">
        <f aca="false">IF($A51="","",IF(COUNTIFS(Historial!$B$3:$B$502,$A51,Historial!$C$3:$C$502,$B51,Historial!$G$3:$G$502,BB$4,Historial!$H$3:$H$502,$B$2)&gt;0,"✓",""))</f>
        <v/>
      </c>
      <c r="BC52" s="29" t="str">
        <f aca="false">IF($A51="","",IF(COUNTIFS(Historial!$B$3:$B$502,$A51,Historial!$C$3:$C$502,$B51,Historial!$G$3:$G$502,BC$4,Historial!$H$3:$H$502,$B$2)&gt;0,"✓",""))</f>
        <v/>
      </c>
      <c r="BD52" s="29"/>
      <c r="BE52" s="29"/>
      <c r="BF52" s="29"/>
    </row>
    <row r="53" customFormat="false" ht="15" hidden="false" customHeight="false" outlineLevel="0" collapsed="false">
      <c r="A53" s="24" t="str">
        <f aca="false">IF(Actividades!$B27="","",Actividades!$B27)</f>
        <v/>
      </c>
      <c r="B53" s="24" t="str">
        <f aca="false">IF(Actividades!$C27="","",Actividades!$C27)</f>
        <v/>
      </c>
      <c r="C53" s="24" t="str">
        <f aca="false">IF($A53="","","Plan")</f>
        <v/>
      </c>
      <c r="D53" s="25" t="str">
        <f aca="false">IF($A53="","",IF(AND(N(Actividades!$E27)&gt;0,D$4&gt;=Actividades!$E27,MOD(D$4-Actividades!$E27,IFERROR(VLOOKUP(Actividades!$D27,Listas!$A$2:$B$8,2,0),52))=0),"P",""))</f>
        <v/>
      </c>
      <c r="E53" s="25" t="str">
        <f aca="false">IF($A53="","",IF(AND(N(Actividades!$E27)&gt;0,E$4&gt;=Actividades!$E27,MOD(E$4-Actividades!$E27,IFERROR(VLOOKUP(Actividades!$D27,Listas!$A$2:$B$8,2,0),52))=0),"P",""))</f>
        <v/>
      </c>
      <c r="F53" s="25" t="str">
        <f aca="false">IF($A53="","",IF(AND(N(Actividades!$E27)&gt;0,F$4&gt;=Actividades!$E27,MOD(F$4-Actividades!$E27,IFERROR(VLOOKUP(Actividades!$D27,Listas!$A$2:$B$8,2,0),52))=0),"P",""))</f>
        <v/>
      </c>
      <c r="G53" s="25" t="str">
        <f aca="false">IF($A53="","",IF(AND(N(Actividades!$E27)&gt;0,G$4&gt;=Actividades!$E27,MOD(G$4-Actividades!$E27,IFERROR(VLOOKUP(Actividades!$D27,Listas!$A$2:$B$8,2,0),52))=0),"P",""))</f>
        <v/>
      </c>
      <c r="H53" s="25" t="str">
        <f aca="false">IF($A53="","",IF(AND(N(Actividades!$E27)&gt;0,H$4&gt;=Actividades!$E27,MOD(H$4-Actividades!$E27,IFERROR(VLOOKUP(Actividades!$D27,Listas!$A$2:$B$8,2,0),52))=0),"P",""))</f>
        <v/>
      </c>
      <c r="I53" s="25" t="str">
        <f aca="false">IF($A53="","",IF(AND(N(Actividades!$E27)&gt;0,I$4&gt;=Actividades!$E27,MOD(I$4-Actividades!$E27,IFERROR(VLOOKUP(Actividades!$D27,Listas!$A$2:$B$8,2,0),52))=0),"P",""))</f>
        <v/>
      </c>
      <c r="J53" s="25" t="str">
        <f aca="false">IF($A53="","",IF(AND(N(Actividades!$E27)&gt;0,J$4&gt;=Actividades!$E27,MOD(J$4-Actividades!$E27,IFERROR(VLOOKUP(Actividades!$D27,Listas!$A$2:$B$8,2,0),52))=0),"P",""))</f>
        <v/>
      </c>
      <c r="K53" s="25" t="str">
        <f aca="false">IF($A53="","",IF(AND(N(Actividades!$E27)&gt;0,K$4&gt;=Actividades!$E27,MOD(K$4-Actividades!$E27,IFERROR(VLOOKUP(Actividades!$D27,Listas!$A$2:$B$8,2,0),52))=0),"P",""))</f>
        <v/>
      </c>
      <c r="L53" s="25" t="str">
        <f aca="false">IF($A53="","",IF(AND(N(Actividades!$E27)&gt;0,L$4&gt;=Actividades!$E27,MOD(L$4-Actividades!$E27,IFERROR(VLOOKUP(Actividades!$D27,Listas!$A$2:$B$8,2,0),52))=0),"P",""))</f>
        <v/>
      </c>
      <c r="M53" s="25" t="str">
        <f aca="false">IF($A53="","",IF(AND(N(Actividades!$E27)&gt;0,M$4&gt;=Actividades!$E27,MOD(M$4-Actividades!$E27,IFERROR(VLOOKUP(Actividades!$D27,Listas!$A$2:$B$8,2,0),52))=0),"P",""))</f>
        <v/>
      </c>
      <c r="N53" s="25" t="str">
        <f aca="false">IF($A53="","",IF(AND(N(Actividades!$E27)&gt;0,N$4&gt;=Actividades!$E27,MOD(N$4-Actividades!$E27,IFERROR(VLOOKUP(Actividades!$D27,Listas!$A$2:$B$8,2,0),52))=0),"P",""))</f>
        <v/>
      </c>
      <c r="O53" s="25" t="str">
        <f aca="false">IF($A53="","",IF(AND(N(Actividades!$E27)&gt;0,O$4&gt;=Actividades!$E27,MOD(O$4-Actividades!$E27,IFERROR(VLOOKUP(Actividades!$D27,Listas!$A$2:$B$8,2,0),52))=0),"P",""))</f>
        <v/>
      </c>
      <c r="P53" s="25" t="str">
        <f aca="false">IF($A53="","",IF(AND(N(Actividades!$E27)&gt;0,P$4&gt;=Actividades!$E27,MOD(P$4-Actividades!$E27,IFERROR(VLOOKUP(Actividades!$D27,Listas!$A$2:$B$8,2,0),52))=0),"P",""))</f>
        <v/>
      </c>
      <c r="Q53" s="25" t="str">
        <f aca="false">IF($A53="","",IF(AND(N(Actividades!$E27)&gt;0,Q$4&gt;=Actividades!$E27,MOD(Q$4-Actividades!$E27,IFERROR(VLOOKUP(Actividades!$D27,Listas!$A$2:$B$8,2,0),52))=0),"P",""))</f>
        <v/>
      </c>
      <c r="R53" s="25" t="str">
        <f aca="false">IF($A53="","",IF(AND(N(Actividades!$E27)&gt;0,R$4&gt;=Actividades!$E27,MOD(R$4-Actividades!$E27,IFERROR(VLOOKUP(Actividades!$D27,Listas!$A$2:$B$8,2,0),52))=0),"P",""))</f>
        <v/>
      </c>
      <c r="S53" s="25" t="str">
        <f aca="false">IF($A53="","",IF(AND(N(Actividades!$E27)&gt;0,S$4&gt;=Actividades!$E27,MOD(S$4-Actividades!$E27,IFERROR(VLOOKUP(Actividades!$D27,Listas!$A$2:$B$8,2,0),52))=0),"P",""))</f>
        <v/>
      </c>
      <c r="T53" s="25" t="str">
        <f aca="false">IF($A53="","",IF(AND(N(Actividades!$E27)&gt;0,T$4&gt;=Actividades!$E27,MOD(T$4-Actividades!$E27,IFERROR(VLOOKUP(Actividades!$D27,Listas!$A$2:$B$8,2,0),52))=0),"P",""))</f>
        <v/>
      </c>
      <c r="U53" s="25" t="str">
        <f aca="false">IF($A53="","",IF(AND(N(Actividades!$E27)&gt;0,U$4&gt;=Actividades!$E27,MOD(U$4-Actividades!$E27,IFERROR(VLOOKUP(Actividades!$D27,Listas!$A$2:$B$8,2,0),52))=0),"P",""))</f>
        <v/>
      </c>
      <c r="V53" s="25" t="str">
        <f aca="false">IF($A53="","",IF(AND(N(Actividades!$E27)&gt;0,V$4&gt;=Actividades!$E27,MOD(V$4-Actividades!$E27,IFERROR(VLOOKUP(Actividades!$D27,Listas!$A$2:$B$8,2,0),52))=0),"P",""))</f>
        <v/>
      </c>
      <c r="W53" s="25" t="str">
        <f aca="false">IF($A53="","",IF(AND(N(Actividades!$E27)&gt;0,W$4&gt;=Actividades!$E27,MOD(W$4-Actividades!$E27,IFERROR(VLOOKUP(Actividades!$D27,Listas!$A$2:$B$8,2,0),52))=0),"P",""))</f>
        <v/>
      </c>
      <c r="X53" s="25" t="str">
        <f aca="false">IF($A53="","",IF(AND(N(Actividades!$E27)&gt;0,X$4&gt;=Actividades!$E27,MOD(X$4-Actividades!$E27,IFERROR(VLOOKUP(Actividades!$D27,Listas!$A$2:$B$8,2,0),52))=0),"P",""))</f>
        <v/>
      </c>
      <c r="Y53" s="25" t="str">
        <f aca="false">IF($A53="","",IF(AND(N(Actividades!$E27)&gt;0,Y$4&gt;=Actividades!$E27,MOD(Y$4-Actividades!$E27,IFERROR(VLOOKUP(Actividades!$D27,Listas!$A$2:$B$8,2,0),52))=0),"P",""))</f>
        <v/>
      </c>
      <c r="Z53" s="25" t="str">
        <f aca="false">IF($A53="","",IF(AND(N(Actividades!$E27)&gt;0,Z$4&gt;=Actividades!$E27,MOD(Z$4-Actividades!$E27,IFERROR(VLOOKUP(Actividades!$D27,Listas!$A$2:$B$8,2,0),52))=0),"P",""))</f>
        <v/>
      </c>
      <c r="AA53" s="25" t="str">
        <f aca="false">IF($A53="","",IF(AND(N(Actividades!$E27)&gt;0,AA$4&gt;=Actividades!$E27,MOD(AA$4-Actividades!$E27,IFERROR(VLOOKUP(Actividades!$D27,Listas!$A$2:$B$8,2,0),52))=0),"P",""))</f>
        <v/>
      </c>
      <c r="AB53" s="25" t="str">
        <f aca="false">IF($A53="","",IF(AND(N(Actividades!$E27)&gt;0,AB$4&gt;=Actividades!$E27,MOD(AB$4-Actividades!$E27,IFERROR(VLOOKUP(Actividades!$D27,Listas!$A$2:$B$8,2,0),52))=0),"P",""))</f>
        <v/>
      </c>
      <c r="AC53" s="25" t="str">
        <f aca="false">IF($A53="","",IF(AND(N(Actividades!$E27)&gt;0,AC$4&gt;=Actividades!$E27,MOD(AC$4-Actividades!$E27,IFERROR(VLOOKUP(Actividades!$D27,Listas!$A$2:$B$8,2,0),52))=0),"P",""))</f>
        <v/>
      </c>
      <c r="AD53" s="25" t="str">
        <f aca="false">IF($A53="","",IF(AND(N(Actividades!$E27)&gt;0,AD$4&gt;=Actividades!$E27,MOD(AD$4-Actividades!$E27,IFERROR(VLOOKUP(Actividades!$D27,Listas!$A$2:$B$8,2,0),52))=0),"P",""))</f>
        <v/>
      </c>
      <c r="AE53" s="25" t="str">
        <f aca="false">IF($A53="","",IF(AND(N(Actividades!$E27)&gt;0,AE$4&gt;=Actividades!$E27,MOD(AE$4-Actividades!$E27,IFERROR(VLOOKUP(Actividades!$D27,Listas!$A$2:$B$8,2,0),52))=0),"P",""))</f>
        <v/>
      </c>
      <c r="AF53" s="25" t="str">
        <f aca="false">IF($A53="","",IF(AND(N(Actividades!$E27)&gt;0,AF$4&gt;=Actividades!$E27,MOD(AF$4-Actividades!$E27,IFERROR(VLOOKUP(Actividades!$D27,Listas!$A$2:$B$8,2,0),52))=0),"P",""))</f>
        <v/>
      </c>
      <c r="AG53" s="25" t="str">
        <f aca="false">IF($A53="","",IF(AND(N(Actividades!$E27)&gt;0,AG$4&gt;=Actividades!$E27,MOD(AG$4-Actividades!$E27,IFERROR(VLOOKUP(Actividades!$D27,Listas!$A$2:$B$8,2,0),52))=0),"P",""))</f>
        <v/>
      </c>
      <c r="AH53" s="25" t="str">
        <f aca="false">IF($A53="","",IF(AND(N(Actividades!$E27)&gt;0,AH$4&gt;=Actividades!$E27,MOD(AH$4-Actividades!$E27,IFERROR(VLOOKUP(Actividades!$D27,Listas!$A$2:$B$8,2,0),52))=0),"P",""))</f>
        <v/>
      </c>
      <c r="AI53" s="25" t="str">
        <f aca="false">IF($A53="","",IF(AND(N(Actividades!$E27)&gt;0,AI$4&gt;=Actividades!$E27,MOD(AI$4-Actividades!$E27,IFERROR(VLOOKUP(Actividades!$D27,Listas!$A$2:$B$8,2,0),52))=0),"P",""))</f>
        <v/>
      </c>
      <c r="AJ53" s="25" t="str">
        <f aca="false">IF($A53="","",IF(AND(N(Actividades!$E27)&gt;0,AJ$4&gt;=Actividades!$E27,MOD(AJ$4-Actividades!$E27,IFERROR(VLOOKUP(Actividades!$D27,Listas!$A$2:$B$8,2,0),52))=0),"P",""))</f>
        <v/>
      </c>
      <c r="AK53" s="25" t="str">
        <f aca="false">IF($A53="","",IF(AND(N(Actividades!$E27)&gt;0,AK$4&gt;=Actividades!$E27,MOD(AK$4-Actividades!$E27,IFERROR(VLOOKUP(Actividades!$D27,Listas!$A$2:$B$8,2,0),52))=0),"P",""))</f>
        <v/>
      </c>
      <c r="AL53" s="25" t="str">
        <f aca="false">IF($A53="","",IF(AND(N(Actividades!$E27)&gt;0,AL$4&gt;=Actividades!$E27,MOD(AL$4-Actividades!$E27,IFERROR(VLOOKUP(Actividades!$D27,Listas!$A$2:$B$8,2,0),52))=0),"P",""))</f>
        <v/>
      </c>
      <c r="AM53" s="25" t="str">
        <f aca="false">IF($A53="","",IF(AND(N(Actividades!$E27)&gt;0,AM$4&gt;=Actividades!$E27,MOD(AM$4-Actividades!$E27,IFERROR(VLOOKUP(Actividades!$D27,Listas!$A$2:$B$8,2,0),52))=0),"P",""))</f>
        <v/>
      </c>
      <c r="AN53" s="25" t="str">
        <f aca="false">IF($A53="","",IF(AND(N(Actividades!$E27)&gt;0,AN$4&gt;=Actividades!$E27,MOD(AN$4-Actividades!$E27,IFERROR(VLOOKUP(Actividades!$D27,Listas!$A$2:$B$8,2,0),52))=0),"P",""))</f>
        <v/>
      </c>
      <c r="AO53" s="25" t="str">
        <f aca="false">IF($A53="","",IF(AND(N(Actividades!$E27)&gt;0,AO$4&gt;=Actividades!$E27,MOD(AO$4-Actividades!$E27,IFERROR(VLOOKUP(Actividades!$D27,Listas!$A$2:$B$8,2,0),52))=0),"P",""))</f>
        <v/>
      </c>
      <c r="AP53" s="25" t="str">
        <f aca="false">IF($A53="","",IF(AND(N(Actividades!$E27)&gt;0,AP$4&gt;=Actividades!$E27,MOD(AP$4-Actividades!$E27,IFERROR(VLOOKUP(Actividades!$D27,Listas!$A$2:$B$8,2,0),52))=0),"P",""))</f>
        <v/>
      </c>
      <c r="AQ53" s="25" t="str">
        <f aca="false">IF($A53="","",IF(AND(N(Actividades!$E27)&gt;0,AQ$4&gt;=Actividades!$E27,MOD(AQ$4-Actividades!$E27,IFERROR(VLOOKUP(Actividades!$D27,Listas!$A$2:$B$8,2,0),52))=0),"P",""))</f>
        <v/>
      </c>
      <c r="AR53" s="25" t="str">
        <f aca="false">IF($A53="","",IF(AND(N(Actividades!$E27)&gt;0,AR$4&gt;=Actividades!$E27,MOD(AR$4-Actividades!$E27,IFERROR(VLOOKUP(Actividades!$D27,Listas!$A$2:$B$8,2,0),52))=0),"P",""))</f>
        <v/>
      </c>
      <c r="AS53" s="25" t="str">
        <f aca="false">IF($A53="","",IF(AND(N(Actividades!$E27)&gt;0,AS$4&gt;=Actividades!$E27,MOD(AS$4-Actividades!$E27,IFERROR(VLOOKUP(Actividades!$D27,Listas!$A$2:$B$8,2,0),52))=0),"P",""))</f>
        <v/>
      </c>
      <c r="AT53" s="25" t="str">
        <f aca="false">IF($A53="","",IF(AND(N(Actividades!$E27)&gt;0,AT$4&gt;=Actividades!$E27,MOD(AT$4-Actividades!$E27,IFERROR(VLOOKUP(Actividades!$D27,Listas!$A$2:$B$8,2,0),52))=0),"P",""))</f>
        <v/>
      </c>
      <c r="AU53" s="25" t="str">
        <f aca="false">IF($A53="","",IF(AND(N(Actividades!$E27)&gt;0,AU$4&gt;=Actividades!$E27,MOD(AU$4-Actividades!$E27,IFERROR(VLOOKUP(Actividades!$D27,Listas!$A$2:$B$8,2,0),52))=0),"P",""))</f>
        <v/>
      </c>
      <c r="AV53" s="25" t="str">
        <f aca="false">IF($A53="","",IF(AND(N(Actividades!$E27)&gt;0,AV$4&gt;=Actividades!$E27,MOD(AV$4-Actividades!$E27,IFERROR(VLOOKUP(Actividades!$D27,Listas!$A$2:$B$8,2,0),52))=0),"P",""))</f>
        <v/>
      </c>
      <c r="AW53" s="25" t="str">
        <f aca="false">IF($A53="","",IF(AND(N(Actividades!$E27)&gt;0,AW$4&gt;=Actividades!$E27,MOD(AW$4-Actividades!$E27,IFERROR(VLOOKUP(Actividades!$D27,Listas!$A$2:$B$8,2,0),52))=0),"P",""))</f>
        <v/>
      </c>
      <c r="AX53" s="25" t="str">
        <f aca="false">IF($A53="","",IF(AND(N(Actividades!$E27)&gt;0,AX$4&gt;=Actividades!$E27,MOD(AX$4-Actividades!$E27,IFERROR(VLOOKUP(Actividades!$D27,Listas!$A$2:$B$8,2,0),52))=0),"P",""))</f>
        <v/>
      </c>
      <c r="AY53" s="25" t="str">
        <f aca="false">IF($A53="","",IF(AND(N(Actividades!$E27)&gt;0,AY$4&gt;=Actividades!$E27,MOD(AY$4-Actividades!$E27,IFERROR(VLOOKUP(Actividades!$D27,Listas!$A$2:$B$8,2,0),52))=0),"P",""))</f>
        <v/>
      </c>
      <c r="AZ53" s="25" t="str">
        <f aca="false">IF($A53="","",IF(AND(N(Actividades!$E27)&gt;0,AZ$4&gt;=Actividades!$E27,MOD(AZ$4-Actividades!$E27,IFERROR(VLOOKUP(Actividades!$D27,Listas!$A$2:$B$8,2,0),52))=0),"P",""))</f>
        <v/>
      </c>
      <c r="BA53" s="25" t="str">
        <f aca="false">IF($A53="","",IF(AND(N(Actividades!$E27)&gt;0,BA$4&gt;=Actividades!$E27,MOD(BA$4-Actividades!$E27,IFERROR(VLOOKUP(Actividades!$D27,Listas!$A$2:$B$8,2,0),52))=0),"P",""))</f>
        <v/>
      </c>
      <c r="BB53" s="25" t="str">
        <f aca="false">IF($A53="","",IF(AND(N(Actividades!$E27)&gt;0,BB$4&gt;=Actividades!$E27,MOD(BB$4-Actividades!$E27,IFERROR(VLOOKUP(Actividades!$D27,Listas!$A$2:$B$8,2,0),52))=0),"P",""))</f>
        <v/>
      </c>
      <c r="BC53" s="25" t="str">
        <f aca="false">IF($A53="","",IF(AND(N(Actividades!$E27)&gt;0,BC$4&gt;=Actividades!$E27,MOD(BC$4-Actividades!$E27,IFERROR(VLOOKUP(Actividades!$D27,Listas!$A$2:$B$8,2,0),52))=0),"P",""))</f>
        <v/>
      </c>
      <c r="BD53" s="26" t="str">
        <f aca="false">IF($A53="","",COUNTIF(D53:BC53,"P"))</f>
        <v/>
      </c>
      <c r="BE53" s="26" t="str">
        <f aca="false">IF($A53="","",SUMPRODUCT((D53:BC53="P")*(D54:BC54="✓")))</f>
        <v/>
      </c>
      <c r="BF53" s="27" t="str">
        <f aca="false">IF($A53="","",IF(BD53=0,"",BE53/BD53))</f>
        <v/>
      </c>
    </row>
    <row r="54" customFormat="false" ht="15" hidden="false" customHeight="false" outlineLevel="0" collapsed="false">
      <c r="A54" s="28"/>
      <c r="B54" s="28"/>
      <c r="C54" s="28" t="str">
        <f aca="false">IF($A53="","","Real")</f>
        <v/>
      </c>
      <c r="D54" s="29" t="str">
        <f aca="false">IF($A53="","",IF(COUNTIFS(Historial!$B$3:$B$502,$A53,Historial!$C$3:$C$502,$B53,Historial!$G$3:$G$502,D$4,Historial!$H$3:$H$502,$B$2)&gt;0,"✓",""))</f>
        <v/>
      </c>
      <c r="E54" s="29" t="str">
        <f aca="false">IF($A53="","",IF(COUNTIFS(Historial!$B$3:$B$502,$A53,Historial!$C$3:$C$502,$B53,Historial!$G$3:$G$502,E$4,Historial!$H$3:$H$502,$B$2)&gt;0,"✓",""))</f>
        <v/>
      </c>
      <c r="F54" s="29" t="str">
        <f aca="false">IF($A53="","",IF(COUNTIFS(Historial!$B$3:$B$502,$A53,Historial!$C$3:$C$502,$B53,Historial!$G$3:$G$502,F$4,Historial!$H$3:$H$502,$B$2)&gt;0,"✓",""))</f>
        <v/>
      </c>
      <c r="G54" s="29" t="str">
        <f aca="false">IF($A53="","",IF(COUNTIFS(Historial!$B$3:$B$502,$A53,Historial!$C$3:$C$502,$B53,Historial!$G$3:$G$502,G$4,Historial!$H$3:$H$502,$B$2)&gt;0,"✓",""))</f>
        <v/>
      </c>
      <c r="H54" s="29" t="str">
        <f aca="false">IF($A53="","",IF(COUNTIFS(Historial!$B$3:$B$502,$A53,Historial!$C$3:$C$502,$B53,Historial!$G$3:$G$502,H$4,Historial!$H$3:$H$502,$B$2)&gt;0,"✓",""))</f>
        <v/>
      </c>
      <c r="I54" s="29" t="str">
        <f aca="false">IF($A53="","",IF(COUNTIFS(Historial!$B$3:$B$502,$A53,Historial!$C$3:$C$502,$B53,Historial!$G$3:$G$502,I$4,Historial!$H$3:$H$502,$B$2)&gt;0,"✓",""))</f>
        <v/>
      </c>
      <c r="J54" s="29" t="str">
        <f aca="false">IF($A53="","",IF(COUNTIFS(Historial!$B$3:$B$502,$A53,Historial!$C$3:$C$502,$B53,Historial!$G$3:$G$502,J$4,Historial!$H$3:$H$502,$B$2)&gt;0,"✓",""))</f>
        <v/>
      </c>
      <c r="K54" s="29" t="str">
        <f aca="false">IF($A53="","",IF(COUNTIFS(Historial!$B$3:$B$502,$A53,Historial!$C$3:$C$502,$B53,Historial!$G$3:$G$502,K$4,Historial!$H$3:$H$502,$B$2)&gt;0,"✓",""))</f>
        <v/>
      </c>
      <c r="L54" s="29" t="str">
        <f aca="false">IF($A53="","",IF(COUNTIFS(Historial!$B$3:$B$502,$A53,Historial!$C$3:$C$502,$B53,Historial!$G$3:$G$502,L$4,Historial!$H$3:$H$502,$B$2)&gt;0,"✓",""))</f>
        <v/>
      </c>
      <c r="M54" s="29" t="str">
        <f aca="false">IF($A53="","",IF(COUNTIFS(Historial!$B$3:$B$502,$A53,Historial!$C$3:$C$502,$B53,Historial!$G$3:$G$502,M$4,Historial!$H$3:$H$502,$B$2)&gt;0,"✓",""))</f>
        <v/>
      </c>
      <c r="N54" s="29" t="str">
        <f aca="false">IF($A53="","",IF(COUNTIFS(Historial!$B$3:$B$502,$A53,Historial!$C$3:$C$502,$B53,Historial!$G$3:$G$502,N$4,Historial!$H$3:$H$502,$B$2)&gt;0,"✓",""))</f>
        <v/>
      </c>
      <c r="O54" s="29" t="str">
        <f aca="false">IF($A53="","",IF(COUNTIFS(Historial!$B$3:$B$502,$A53,Historial!$C$3:$C$502,$B53,Historial!$G$3:$G$502,O$4,Historial!$H$3:$H$502,$B$2)&gt;0,"✓",""))</f>
        <v/>
      </c>
      <c r="P54" s="29" t="str">
        <f aca="false">IF($A53="","",IF(COUNTIFS(Historial!$B$3:$B$502,$A53,Historial!$C$3:$C$502,$B53,Historial!$G$3:$G$502,P$4,Historial!$H$3:$H$502,$B$2)&gt;0,"✓",""))</f>
        <v/>
      </c>
      <c r="Q54" s="29" t="str">
        <f aca="false">IF($A53="","",IF(COUNTIFS(Historial!$B$3:$B$502,$A53,Historial!$C$3:$C$502,$B53,Historial!$G$3:$G$502,Q$4,Historial!$H$3:$H$502,$B$2)&gt;0,"✓",""))</f>
        <v/>
      </c>
      <c r="R54" s="29" t="str">
        <f aca="false">IF($A53="","",IF(COUNTIFS(Historial!$B$3:$B$502,$A53,Historial!$C$3:$C$502,$B53,Historial!$G$3:$G$502,R$4,Historial!$H$3:$H$502,$B$2)&gt;0,"✓",""))</f>
        <v/>
      </c>
      <c r="S54" s="29" t="str">
        <f aca="false">IF($A53="","",IF(COUNTIFS(Historial!$B$3:$B$502,$A53,Historial!$C$3:$C$502,$B53,Historial!$G$3:$G$502,S$4,Historial!$H$3:$H$502,$B$2)&gt;0,"✓",""))</f>
        <v/>
      </c>
      <c r="T54" s="29" t="str">
        <f aca="false">IF($A53="","",IF(COUNTIFS(Historial!$B$3:$B$502,$A53,Historial!$C$3:$C$502,$B53,Historial!$G$3:$G$502,T$4,Historial!$H$3:$H$502,$B$2)&gt;0,"✓",""))</f>
        <v/>
      </c>
      <c r="U54" s="29" t="str">
        <f aca="false">IF($A53="","",IF(COUNTIFS(Historial!$B$3:$B$502,$A53,Historial!$C$3:$C$502,$B53,Historial!$G$3:$G$502,U$4,Historial!$H$3:$H$502,$B$2)&gt;0,"✓",""))</f>
        <v/>
      </c>
      <c r="V54" s="29" t="str">
        <f aca="false">IF($A53="","",IF(COUNTIFS(Historial!$B$3:$B$502,$A53,Historial!$C$3:$C$502,$B53,Historial!$G$3:$G$502,V$4,Historial!$H$3:$H$502,$B$2)&gt;0,"✓",""))</f>
        <v/>
      </c>
      <c r="W54" s="29" t="str">
        <f aca="false">IF($A53="","",IF(COUNTIFS(Historial!$B$3:$B$502,$A53,Historial!$C$3:$C$502,$B53,Historial!$G$3:$G$502,W$4,Historial!$H$3:$H$502,$B$2)&gt;0,"✓",""))</f>
        <v/>
      </c>
      <c r="X54" s="29" t="str">
        <f aca="false">IF($A53="","",IF(COUNTIFS(Historial!$B$3:$B$502,$A53,Historial!$C$3:$C$502,$B53,Historial!$G$3:$G$502,X$4,Historial!$H$3:$H$502,$B$2)&gt;0,"✓",""))</f>
        <v/>
      </c>
      <c r="Y54" s="29" t="str">
        <f aca="false">IF($A53="","",IF(COUNTIFS(Historial!$B$3:$B$502,$A53,Historial!$C$3:$C$502,$B53,Historial!$G$3:$G$502,Y$4,Historial!$H$3:$H$502,$B$2)&gt;0,"✓",""))</f>
        <v/>
      </c>
      <c r="Z54" s="29" t="str">
        <f aca="false">IF($A53="","",IF(COUNTIFS(Historial!$B$3:$B$502,$A53,Historial!$C$3:$C$502,$B53,Historial!$G$3:$G$502,Z$4,Historial!$H$3:$H$502,$B$2)&gt;0,"✓",""))</f>
        <v/>
      </c>
      <c r="AA54" s="29" t="str">
        <f aca="false">IF($A53="","",IF(COUNTIFS(Historial!$B$3:$B$502,$A53,Historial!$C$3:$C$502,$B53,Historial!$G$3:$G$502,AA$4,Historial!$H$3:$H$502,$B$2)&gt;0,"✓",""))</f>
        <v/>
      </c>
      <c r="AB54" s="29" t="str">
        <f aca="false">IF($A53="","",IF(COUNTIFS(Historial!$B$3:$B$502,$A53,Historial!$C$3:$C$502,$B53,Historial!$G$3:$G$502,AB$4,Historial!$H$3:$H$502,$B$2)&gt;0,"✓",""))</f>
        <v/>
      </c>
      <c r="AC54" s="29" t="str">
        <f aca="false">IF($A53="","",IF(COUNTIFS(Historial!$B$3:$B$502,$A53,Historial!$C$3:$C$502,$B53,Historial!$G$3:$G$502,AC$4,Historial!$H$3:$H$502,$B$2)&gt;0,"✓",""))</f>
        <v/>
      </c>
      <c r="AD54" s="29" t="str">
        <f aca="false">IF($A53="","",IF(COUNTIFS(Historial!$B$3:$B$502,$A53,Historial!$C$3:$C$502,$B53,Historial!$G$3:$G$502,AD$4,Historial!$H$3:$H$502,$B$2)&gt;0,"✓",""))</f>
        <v/>
      </c>
      <c r="AE54" s="29" t="str">
        <f aca="false">IF($A53="","",IF(COUNTIFS(Historial!$B$3:$B$502,$A53,Historial!$C$3:$C$502,$B53,Historial!$G$3:$G$502,AE$4,Historial!$H$3:$H$502,$B$2)&gt;0,"✓",""))</f>
        <v/>
      </c>
      <c r="AF54" s="29" t="str">
        <f aca="false">IF($A53="","",IF(COUNTIFS(Historial!$B$3:$B$502,$A53,Historial!$C$3:$C$502,$B53,Historial!$G$3:$G$502,AF$4,Historial!$H$3:$H$502,$B$2)&gt;0,"✓",""))</f>
        <v/>
      </c>
      <c r="AG54" s="29" t="str">
        <f aca="false">IF($A53="","",IF(COUNTIFS(Historial!$B$3:$B$502,$A53,Historial!$C$3:$C$502,$B53,Historial!$G$3:$G$502,AG$4,Historial!$H$3:$H$502,$B$2)&gt;0,"✓",""))</f>
        <v/>
      </c>
      <c r="AH54" s="29" t="str">
        <f aca="false">IF($A53="","",IF(COUNTIFS(Historial!$B$3:$B$502,$A53,Historial!$C$3:$C$502,$B53,Historial!$G$3:$G$502,AH$4,Historial!$H$3:$H$502,$B$2)&gt;0,"✓",""))</f>
        <v/>
      </c>
      <c r="AI54" s="29" t="str">
        <f aca="false">IF($A53="","",IF(COUNTIFS(Historial!$B$3:$B$502,$A53,Historial!$C$3:$C$502,$B53,Historial!$G$3:$G$502,AI$4,Historial!$H$3:$H$502,$B$2)&gt;0,"✓",""))</f>
        <v/>
      </c>
      <c r="AJ54" s="29" t="str">
        <f aca="false">IF($A53="","",IF(COUNTIFS(Historial!$B$3:$B$502,$A53,Historial!$C$3:$C$502,$B53,Historial!$G$3:$G$502,AJ$4,Historial!$H$3:$H$502,$B$2)&gt;0,"✓",""))</f>
        <v/>
      </c>
      <c r="AK54" s="29" t="str">
        <f aca="false">IF($A53="","",IF(COUNTIFS(Historial!$B$3:$B$502,$A53,Historial!$C$3:$C$502,$B53,Historial!$G$3:$G$502,AK$4,Historial!$H$3:$H$502,$B$2)&gt;0,"✓",""))</f>
        <v/>
      </c>
      <c r="AL54" s="29" t="str">
        <f aca="false">IF($A53="","",IF(COUNTIFS(Historial!$B$3:$B$502,$A53,Historial!$C$3:$C$502,$B53,Historial!$G$3:$G$502,AL$4,Historial!$H$3:$H$502,$B$2)&gt;0,"✓",""))</f>
        <v/>
      </c>
      <c r="AM54" s="29" t="str">
        <f aca="false">IF($A53="","",IF(COUNTIFS(Historial!$B$3:$B$502,$A53,Historial!$C$3:$C$502,$B53,Historial!$G$3:$G$502,AM$4,Historial!$H$3:$H$502,$B$2)&gt;0,"✓",""))</f>
        <v/>
      </c>
      <c r="AN54" s="29" t="str">
        <f aca="false">IF($A53="","",IF(COUNTIFS(Historial!$B$3:$B$502,$A53,Historial!$C$3:$C$502,$B53,Historial!$G$3:$G$502,AN$4,Historial!$H$3:$H$502,$B$2)&gt;0,"✓",""))</f>
        <v/>
      </c>
      <c r="AO54" s="29" t="str">
        <f aca="false">IF($A53="","",IF(COUNTIFS(Historial!$B$3:$B$502,$A53,Historial!$C$3:$C$502,$B53,Historial!$G$3:$G$502,AO$4,Historial!$H$3:$H$502,$B$2)&gt;0,"✓",""))</f>
        <v/>
      </c>
      <c r="AP54" s="29" t="str">
        <f aca="false">IF($A53="","",IF(COUNTIFS(Historial!$B$3:$B$502,$A53,Historial!$C$3:$C$502,$B53,Historial!$G$3:$G$502,AP$4,Historial!$H$3:$H$502,$B$2)&gt;0,"✓",""))</f>
        <v/>
      </c>
      <c r="AQ54" s="29" t="str">
        <f aca="false">IF($A53="","",IF(COUNTIFS(Historial!$B$3:$B$502,$A53,Historial!$C$3:$C$502,$B53,Historial!$G$3:$G$502,AQ$4,Historial!$H$3:$H$502,$B$2)&gt;0,"✓",""))</f>
        <v/>
      </c>
      <c r="AR54" s="29" t="str">
        <f aca="false">IF($A53="","",IF(COUNTIFS(Historial!$B$3:$B$502,$A53,Historial!$C$3:$C$502,$B53,Historial!$G$3:$G$502,AR$4,Historial!$H$3:$H$502,$B$2)&gt;0,"✓",""))</f>
        <v/>
      </c>
      <c r="AS54" s="29" t="str">
        <f aca="false">IF($A53="","",IF(COUNTIFS(Historial!$B$3:$B$502,$A53,Historial!$C$3:$C$502,$B53,Historial!$G$3:$G$502,AS$4,Historial!$H$3:$H$502,$B$2)&gt;0,"✓",""))</f>
        <v/>
      </c>
      <c r="AT54" s="29" t="str">
        <f aca="false">IF($A53="","",IF(COUNTIFS(Historial!$B$3:$B$502,$A53,Historial!$C$3:$C$502,$B53,Historial!$G$3:$G$502,AT$4,Historial!$H$3:$H$502,$B$2)&gt;0,"✓",""))</f>
        <v/>
      </c>
      <c r="AU54" s="29" t="str">
        <f aca="false">IF($A53="","",IF(COUNTIFS(Historial!$B$3:$B$502,$A53,Historial!$C$3:$C$502,$B53,Historial!$G$3:$G$502,AU$4,Historial!$H$3:$H$502,$B$2)&gt;0,"✓",""))</f>
        <v/>
      </c>
      <c r="AV54" s="29" t="str">
        <f aca="false">IF($A53="","",IF(COUNTIFS(Historial!$B$3:$B$502,$A53,Historial!$C$3:$C$502,$B53,Historial!$G$3:$G$502,AV$4,Historial!$H$3:$H$502,$B$2)&gt;0,"✓",""))</f>
        <v/>
      </c>
      <c r="AW54" s="29" t="str">
        <f aca="false">IF($A53="","",IF(COUNTIFS(Historial!$B$3:$B$502,$A53,Historial!$C$3:$C$502,$B53,Historial!$G$3:$G$502,AW$4,Historial!$H$3:$H$502,$B$2)&gt;0,"✓",""))</f>
        <v/>
      </c>
      <c r="AX54" s="29" t="str">
        <f aca="false">IF($A53="","",IF(COUNTIFS(Historial!$B$3:$B$502,$A53,Historial!$C$3:$C$502,$B53,Historial!$G$3:$G$502,AX$4,Historial!$H$3:$H$502,$B$2)&gt;0,"✓",""))</f>
        <v/>
      </c>
      <c r="AY54" s="29" t="str">
        <f aca="false">IF($A53="","",IF(COUNTIFS(Historial!$B$3:$B$502,$A53,Historial!$C$3:$C$502,$B53,Historial!$G$3:$G$502,AY$4,Historial!$H$3:$H$502,$B$2)&gt;0,"✓",""))</f>
        <v/>
      </c>
      <c r="AZ54" s="29" t="str">
        <f aca="false">IF($A53="","",IF(COUNTIFS(Historial!$B$3:$B$502,$A53,Historial!$C$3:$C$502,$B53,Historial!$G$3:$G$502,AZ$4,Historial!$H$3:$H$502,$B$2)&gt;0,"✓",""))</f>
        <v/>
      </c>
      <c r="BA54" s="29" t="str">
        <f aca="false">IF($A53="","",IF(COUNTIFS(Historial!$B$3:$B$502,$A53,Historial!$C$3:$C$502,$B53,Historial!$G$3:$G$502,BA$4,Historial!$H$3:$H$502,$B$2)&gt;0,"✓",""))</f>
        <v/>
      </c>
      <c r="BB54" s="29" t="str">
        <f aca="false">IF($A53="","",IF(COUNTIFS(Historial!$B$3:$B$502,$A53,Historial!$C$3:$C$502,$B53,Historial!$G$3:$G$502,BB$4,Historial!$H$3:$H$502,$B$2)&gt;0,"✓",""))</f>
        <v/>
      </c>
      <c r="BC54" s="29" t="str">
        <f aca="false">IF($A53="","",IF(COUNTIFS(Historial!$B$3:$B$502,$A53,Historial!$C$3:$C$502,$B53,Historial!$G$3:$G$502,BC$4,Historial!$H$3:$H$502,$B$2)&gt;0,"✓",""))</f>
        <v/>
      </c>
      <c r="BD54" s="29"/>
      <c r="BE54" s="29"/>
      <c r="BF54" s="29"/>
    </row>
    <row r="55" customFormat="false" ht="15" hidden="false" customHeight="false" outlineLevel="0" collapsed="false">
      <c r="A55" s="24" t="str">
        <f aca="false">IF(Actividades!$B28="","",Actividades!$B28)</f>
        <v/>
      </c>
      <c r="B55" s="24" t="str">
        <f aca="false">IF(Actividades!$C28="","",Actividades!$C28)</f>
        <v/>
      </c>
      <c r="C55" s="24" t="str">
        <f aca="false">IF($A55="","","Plan")</f>
        <v/>
      </c>
      <c r="D55" s="25" t="str">
        <f aca="false">IF($A55="","",IF(AND(N(Actividades!$E28)&gt;0,D$4&gt;=Actividades!$E28,MOD(D$4-Actividades!$E28,IFERROR(VLOOKUP(Actividades!$D28,Listas!$A$2:$B$8,2,0),52))=0),"P",""))</f>
        <v/>
      </c>
      <c r="E55" s="25" t="str">
        <f aca="false">IF($A55="","",IF(AND(N(Actividades!$E28)&gt;0,E$4&gt;=Actividades!$E28,MOD(E$4-Actividades!$E28,IFERROR(VLOOKUP(Actividades!$D28,Listas!$A$2:$B$8,2,0),52))=0),"P",""))</f>
        <v/>
      </c>
      <c r="F55" s="25" t="str">
        <f aca="false">IF($A55="","",IF(AND(N(Actividades!$E28)&gt;0,F$4&gt;=Actividades!$E28,MOD(F$4-Actividades!$E28,IFERROR(VLOOKUP(Actividades!$D28,Listas!$A$2:$B$8,2,0),52))=0),"P",""))</f>
        <v/>
      </c>
      <c r="G55" s="25" t="str">
        <f aca="false">IF($A55="","",IF(AND(N(Actividades!$E28)&gt;0,G$4&gt;=Actividades!$E28,MOD(G$4-Actividades!$E28,IFERROR(VLOOKUP(Actividades!$D28,Listas!$A$2:$B$8,2,0),52))=0),"P",""))</f>
        <v/>
      </c>
      <c r="H55" s="25" t="str">
        <f aca="false">IF($A55="","",IF(AND(N(Actividades!$E28)&gt;0,H$4&gt;=Actividades!$E28,MOD(H$4-Actividades!$E28,IFERROR(VLOOKUP(Actividades!$D28,Listas!$A$2:$B$8,2,0),52))=0),"P",""))</f>
        <v/>
      </c>
      <c r="I55" s="25" t="str">
        <f aca="false">IF($A55="","",IF(AND(N(Actividades!$E28)&gt;0,I$4&gt;=Actividades!$E28,MOD(I$4-Actividades!$E28,IFERROR(VLOOKUP(Actividades!$D28,Listas!$A$2:$B$8,2,0),52))=0),"P",""))</f>
        <v/>
      </c>
      <c r="J55" s="25" t="str">
        <f aca="false">IF($A55="","",IF(AND(N(Actividades!$E28)&gt;0,J$4&gt;=Actividades!$E28,MOD(J$4-Actividades!$E28,IFERROR(VLOOKUP(Actividades!$D28,Listas!$A$2:$B$8,2,0),52))=0),"P",""))</f>
        <v/>
      </c>
      <c r="K55" s="25" t="str">
        <f aca="false">IF($A55="","",IF(AND(N(Actividades!$E28)&gt;0,K$4&gt;=Actividades!$E28,MOD(K$4-Actividades!$E28,IFERROR(VLOOKUP(Actividades!$D28,Listas!$A$2:$B$8,2,0),52))=0),"P",""))</f>
        <v/>
      </c>
      <c r="L55" s="25" t="str">
        <f aca="false">IF($A55="","",IF(AND(N(Actividades!$E28)&gt;0,L$4&gt;=Actividades!$E28,MOD(L$4-Actividades!$E28,IFERROR(VLOOKUP(Actividades!$D28,Listas!$A$2:$B$8,2,0),52))=0),"P",""))</f>
        <v/>
      </c>
      <c r="M55" s="25" t="str">
        <f aca="false">IF($A55="","",IF(AND(N(Actividades!$E28)&gt;0,M$4&gt;=Actividades!$E28,MOD(M$4-Actividades!$E28,IFERROR(VLOOKUP(Actividades!$D28,Listas!$A$2:$B$8,2,0),52))=0),"P",""))</f>
        <v/>
      </c>
      <c r="N55" s="25" t="str">
        <f aca="false">IF($A55="","",IF(AND(N(Actividades!$E28)&gt;0,N$4&gt;=Actividades!$E28,MOD(N$4-Actividades!$E28,IFERROR(VLOOKUP(Actividades!$D28,Listas!$A$2:$B$8,2,0),52))=0),"P",""))</f>
        <v/>
      </c>
      <c r="O55" s="25" t="str">
        <f aca="false">IF($A55="","",IF(AND(N(Actividades!$E28)&gt;0,O$4&gt;=Actividades!$E28,MOD(O$4-Actividades!$E28,IFERROR(VLOOKUP(Actividades!$D28,Listas!$A$2:$B$8,2,0),52))=0),"P",""))</f>
        <v/>
      </c>
      <c r="P55" s="25" t="str">
        <f aca="false">IF($A55="","",IF(AND(N(Actividades!$E28)&gt;0,P$4&gt;=Actividades!$E28,MOD(P$4-Actividades!$E28,IFERROR(VLOOKUP(Actividades!$D28,Listas!$A$2:$B$8,2,0),52))=0),"P",""))</f>
        <v/>
      </c>
      <c r="Q55" s="25" t="str">
        <f aca="false">IF($A55="","",IF(AND(N(Actividades!$E28)&gt;0,Q$4&gt;=Actividades!$E28,MOD(Q$4-Actividades!$E28,IFERROR(VLOOKUP(Actividades!$D28,Listas!$A$2:$B$8,2,0),52))=0),"P",""))</f>
        <v/>
      </c>
      <c r="R55" s="25" t="str">
        <f aca="false">IF($A55="","",IF(AND(N(Actividades!$E28)&gt;0,R$4&gt;=Actividades!$E28,MOD(R$4-Actividades!$E28,IFERROR(VLOOKUP(Actividades!$D28,Listas!$A$2:$B$8,2,0),52))=0),"P",""))</f>
        <v/>
      </c>
      <c r="S55" s="25" t="str">
        <f aca="false">IF($A55="","",IF(AND(N(Actividades!$E28)&gt;0,S$4&gt;=Actividades!$E28,MOD(S$4-Actividades!$E28,IFERROR(VLOOKUP(Actividades!$D28,Listas!$A$2:$B$8,2,0),52))=0),"P",""))</f>
        <v/>
      </c>
      <c r="T55" s="25" t="str">
        <f aca="false">IF($A55="","",IF(AND(N(Actividades!$E28)&gt;0,T$4&gt;=Actividades!$E28,MOD(T$4-Actividades!$E28,IFERROR(VLOOKUP(Actividades!$D28,Listas!$A$2:$B$8,2,0),52))=0),"P",""))</f>
        <v/>
      </c>
      <c r="U55" s="25" t="str">
        <f aca="false">IF($A55="","",IF(AND(N(Actividades!$E28)&gt;0,U$4&gt;=Actividades!$E28,MOD(U$4-Actividades!$E28,IFERROR(VLOOKUP(Actividades!$D28,Listas!$A$2:$B$8,2,0),52))=0),"P",""))</f>
        <v/>
      </c>
      <c r="V55" s="25" t="str">
        <f aca="false">IF($A55="","",IF(AND(N(Actividades!$E28)&gt;0,V$4&gt;=Actividades!$E28,MOD(V$4-Actividades!$E28,IFERROR(VLOOKUP(Actividades!$D28,Listas!$A$2:$B$8,2,0),52))=0),"P",""))</f>
        <v/>
      </c>
      <c r="W55" s="25" t="str">
        <f aca="false">IF($A55="","",IF(AND(N(Actividades!$E28)&gt;0,W$4&gt;=Actividades!$E28,MOD(W$4-Actividades!$E28,IFERROR(VLOOKUP(Actividades!$D28,Listas!$A$2:$B$8,2,0),52))=0),"P",""))</f>
        <v/>
      </c>
      <c r="X55" s="25" t="str">
        <f aca="false">IF($A55="","",IF(AND(N(Actividades!$E28)&gt;0,X$4&gt;=Actividades!$E28,MOD(X$4-Actividades!$E28,IFERROR(VLOOKUP(Actividades!$D28,Listas!$A$2:$B$8,2,0),52))=0),"P",""))</f>
        <v/>
      </c>
      <c r="Y55" s="25" t="str">
        <f aca="false">IF($A55="","",IF(AND(N(Actividades!$E28)&gt;0,Y$4&gt;=Actividades!$E28,MOD(Y$4-Actividades!$E28,IFERROR(VLOOKUP(Actividades!$D28,Listas!$A$2:$B$8,2,0),52))=0),"P",""))</f>
        <v/>
      </c>
      <c r="Z55" s="25" t="str">
        <f aca="false">IF($A55="","",IF(AND(N(Actividades!$E28)&gt;0,Z$4&gt;=Actividades!$E28,MOD(Z$4-Actividades!$E28,IFERROR(VLOOKUP(Actividades!$D28,Listas!$A$2:$B$8,2,0),52))=0),"P",""))</f>
        <v/>
      </c>
      <c r="AA55" s="25" t="str">
        <f aca="false">IF($A55="","",IF(AND(N(Actividades!$E28)&gt;0,AA$4&gt;=Actividades!$E28,MOD(AA$4-Actividades!$E28,IFERROR(VLOOKUP(Actividades!$D28,Listas!$A$2:$B$8,2,0),52))=0),"P",""))</f>
        <v/>
      </c>
      <c r="AB55" s="25" t="str">
        <f aca="false">IF($A55="","",IF(AND(N(Actividades!$E28)&gt;0,AB$4&gt;=Actividades!$E28,MOD(AB$4-Actividades!$E28,IFERROR(VLOOKUP(Actividades!$D28,Listas!$A$2:$B$8,2,0),52))=0),"P",""))</f>
        <v/>
      </c>
      <c r="AC55" s="25" t="str">
        <f aca="false">IF($A55="","",IF(AND(N(Actividades!$E28)&gt;0,AC$4&gt;=Actividades!$E28,MOD(AC$4-Actividades!$E28,IFERROR(VLOOKUP(Actividades!$D28,Listas!$A$2:$B$8,2,0),52))=0),"P",""))</f>
        <v/>
      </c>
      <c r="AD55" s="25" t="str">
        <f aca="false">IF($A55="","",IF(AND(N(Actividades!$E28)&gt;0,AD$4&gt;=Actividades!$E28,MOD(AD$4-Actividades!$E28,IFERROR(VLOOKUP(Actividades!$D28,Listas!$A$2:$B$8,2,0),52))=0),"P",""))</f>
        <v/>
      </c>
      <c r="AE55" s="25" t="str">
        <f aca="false">IF($A55="","",IF(AND(N(Actividades!$E28)&gt;0,AE$4&gt;=Actividades!$E28,MOD(AE$4-Actividades!$E28,IFERROR(VLOOKUP(Actividades!$D28,Listas!$A$2:$B$8,2,0),52))=0),"P",""))</f>
        <v/>
      </c>
      <c r="AF55" s="25" t="str">
        <f aca="false">IF($A55="","",IF(AND(N(Actividades!$E28)&gt;0,AF$4&gt;=Actividades!$E28,MOD(AF$4-Actividades!$E28,IFERROR(VLOOKUP(Actividades!$D28,Listas!$A$2:$B$8,2,0),52))=0),"P",""))</f>
        <v/>
      </c>
      <c r="AG55" s="25" t="str">
        <f aca="false">IF($A55="","",IF(AND(N(Actividades!$E28)&gt;0,AG$4&gt;=Actividades!$E28,MOD(AG$4-Actividades!$E28,IFERROR(VLOOKUP(Actividades!$D28,Listas!$A$2:$B$8,2,0),52))=0),"P",""))</f>
        <v/>
      </c>
      <c r="AH55" s="25" t="str">
        <f aca="false">IF($A55="","",IF(AND(N(Actividades!$E28)&gt;0,AH$4&gt;=Actividades!$E28,MOD(AH$4-Actividades!$E28,IFERROR(VLOOKUP(Actividades!$D28,Listas!$A$2:$B$8,2,0),52))=0),"P",""))</f>
        <v/>
      </c>
      <c r="AI55" s="25" t="str">
        <f aca="false">IF($A55="","",IF(AND(N(Actividades!$E28)&gt;0,AI$4&gt;=Actividades!$E28,MOD(AI$4-Actividades!$E28,IFERROR(VLOOKUP(Actividades!$D28,Listas!$A$2:$B$8,2,0),52))=0),"P",""))</f>
        <v/>
      </c>
      <c r="AJ55" s="25" t="str">
        <f aca="false">IF($A55="","",IF(AND(N(Actividades!$E28)&gt;0,AJ$4&gt;=Actividades!$E28,MOD(AJ$4-Actividades!$E28,IFERROR(VLOOKUP(Actividades!$D28,Listas!$A$2:$B$8,2,0),52))=0),"P",""))</f>
        <v/>
      </c>
      <c r="AK55" s="25" t="str">
        <f aca="false">IF($A55="","",IF(AND(N(Actividades!$E28)&gt;0,AK$4&gt;=Actividades!$E28,MOD(AK$4-Actividades!$E28,IFERROR(VLOOKUP(Actividades!$D28,Listas!$A$2:$B$8,2,0),52))=0),"P",""))</f>
        <v/>
      </c>
      <c r="AL55" s="25" t="str">
        <f aca="false">IF($A55="","",IF(AND(N(Actividades!$E28)&gt;0,AL$4&gt;=Actividades!$E28,MOD(AL$4-Actividades!$E28,IFERROR(VLOOKUP(Actividades!$D28,Listas!$A$2:$B$8,2,0),52))=0),"P",""))</f>
        <v/>
      </c>
      <c r="AM55" s="25" t="str">
        <f aca="false">IF($A55="","",IF(AND(N(Actividades!$E28)&gt;0,AM$4&gt;=Actividades!$E28,MOD(AM$4-Actividades!$E28,IFERROR(VLOOKUP(Actividades!$D28,Listas!$A$2:$B$8,2,0),52))=0),"P",""))</f>
        <v/>
      </c>
      <c r="AN55" s="25" t="str">
        <f aca="false">IF($A55="","",IF(AND(N(Actividades!$E28)&gt;0,AN$4&gt;=Actividades!$E28,MOD(AN$4-Actividades!$E28,IFERROR(VLOOKUP(Actividades!$D28,Listas!$A$2:$B$8,2,0),52))=0),"P",""))</f>
        <v/>
      </c>
      <c r="AO55" s="25" t="str">
        <f aca="false">IF($A55="","",IF(AND(N(Actividades!$E28)&gt;0,AO$4&gt;=Actividades!$E28,MOD(AO$4-Actividades!$E28,IFERROR(VLOOKUP(Actividades!$D28,Listas!$A$2:$B$8,2,0),52))=0),"P",""))</f>
        <v/>
      </c>
      <c r="AP55" s="25" t="str">
        <f aca="false">IF($A55="","",IF(AND(N(Actividades!$E28)&gt;0,AP$4&gt;=Actividades!$E28,MOD(AP$4-Actividades!$E28,IFERROR(VLOOKUP(Actividades!$D28,Listas!$A$2:$B$8,2,0),52))=0),"P",""))</f>
        <v/>
      </c>
      <c r="AQ55" s="25" t="str">
        <f aca="false">IF($A55="","",IF(AND(N(Actividades!$E28)&gt;0,AQ$4&gt;=Actividades!$E28,MOD(AQ$4-Actividades!$E28,IFERROR(VLOOKUP(Actividades!$D28,Listas!$A$2:$B$8,2,0),52))=0),"P",""))</f>
        <v/>
      </c>
      <c r="AR55" s="25" t="str">
        <f aca="false">IF($A55="","",IF(AND(N(Actividades!$E28)&gt;0,AR$4&gt;=Actividades!$E28,MOD(AR$4-Actividades!$E28,IFERROR(VLOOKUP(Actividades!$D28,Listas!$A$2:$B$8,2,0),52))=0),"P",""))</f>
        <v/>
      </c>
      <c r="AS55" s="25" t="str">
        <f aca="false">IF($A55="","",IF(AND(N(Actividades!$E28)&gt;0,AS$4&gt;=Actividades!$E28,MOD(AS$4-Actividades!$E28,IFERROR(VLOOKUP(Actividades!$D28,Listas!$A$2:$B$8,2,0),52))=0),"P",""))</f>
        <v/>
      </c>
      <c r="AT55" s="25" t="str">
        <f aca="false">IF($A55="","",IF(AND(N(Actividades!$E28)&gt;0,AT$4&gt;=Actividades!$E28,MOD(AT$4-Actividades!$E28,IFERROR(VLOOKUP(Actividades!$D28,Listas!$A$2:$B$8,2,0),52))=0),"P",""))</f>
        <v/>
      </c>
      <c r="AU55" s="25" t="str">
        <f aca="false">IF($A55="","",IF(AND(N(Actividades!$E28)&gt;0,AU$4&gt;=Actividades!$E28,MOD(AU$4-Actividades!$E28,IFERROR(VLOOKUP(Actividades!$D28,Listas!$A$2:$B$8,2,0),52))=0),"P",""))</f>
        <v/>
      </c>
      <c r="AV55" s="25" t="str">
        <f aca="false">IF($A55="","",IF(AND(N(Actividades!$E28)&gt;0,AV$4&gt;=Actividades!$E28,MOD(AV$4-Actividades!$E28,IFERROR(VLOOKUP(Actividades!$D28,Listas!$A$2:$B$8,2,0),52))=0),"P",""))</f>
        <v/>
      </c>
      <c r="AW55" s="25" t="str">
        <f aca="false">IF($A55="","",IF(AND(N(Actividades!$E28)&gt;0,AW$4&gt;=Actividades!$E28,MOD(AW$4-Actividades!$E28,IFERROR(VLOOKUP(Actividades!$D28,Listas!$A$2:$B$8,2,0),52))=0),"P",""))</f>
        <v/>
      </c>
      <c r="AX55" s="25" t="str">
        <f aca="false">IF($A55="","",IF(AND(N(Actividades!$E28)&gt;0,AX$4&gt;=Actividades!$E28,MOD(AX$4-Actividades!$E28,IFERROR(VLOOKUP(Actividades!$D28,Listas!$A$2:$B$8,2,0),52))=0),"P",""))</f>
        <v/>
      </c>
      <c r="AY55" s="25" t="str">
        <f aca="false">IF($A55="","",IF(AND(N(Actividades!$E28)&gt;0,AY$4&gt;=Actividades!$E28,MOD(AY$4-Actividades!$E28,IFERROR(VLOOKUP(Actividades!$D28,Listas!$A$2:$B$8,2,0),52))=0),"P",""))</f>
        <v/>
      </c>
      <c r="AZ55" s="25" t="str">
        <f aca="false">IF($A55="","",IF(AND(N(Actividades!$E28)&gt;0,AZ$4&gt;=Actividades!$E28,MOD(AZ$4-Actividades!$E28,IFERROR(VLOOKUP(Actividades!$D28,Listas!$A$2:$B$8,2,0),52))=0),"P",""))</f>
        <v/>
      </c>
      <c r="BA55" s="25" t="str">
        <f aca="false">IF($A55="","",IF(AND(N(Actividades!$E28)&gt;0,BA$4&gt;=Actividades!$E28,MOD(BA$4-Actividades!$E28,IFERROR(VLOOKUP(Actividades!$D28,Listas!$A$2:$B$8,2,0),52))=0),"P",""))</f>
        <v/>
      </c>
      <c r="BB55" s="25" t="str">
        <f aca="false">IF($A55="","",IF(AND(N(Actividades!$E28)&gt;0,BB$4&gt;=Actividades!$E28,MOD(BB$4-Actividades!$E28,IFERROR(VLOOKUP(Actividades!$D28,Listas!$A$2:$B$8,2,0),52))=0),"P",""))</f>
        <v/>
      </c>
      <c r="BC55" s="25" t="str">
        <f aca="false">IF($A55="","",IF(AND(N(Actividades!$E28)&gt;0,BC$4&gt;=Actividades!$E28,MOD(BC$4-Actividades!$E28,IFERROR(VLOOKUP(Actividades!$D28,Listas!$A$2:$B$8,2,0),52))=0),"P",""))</f>
        <v/>
      </c>
      <c r="BD55" s="26" t="str">
        <f aca="false">IF($A55="","",COUNTIF(D55:BC55,"P"))</f>
        <v/>
      </c>
      <c r="BE55" s="26" t="str">
        <f aca="false">IF($A55="","",SUMPRODUCT((D55:BC55="P")*(D56:BC56="✓")))</f>
        <v/>
      </c>
      <c r="BF55" s="27" t="str">
        <f aca="false">IF($A55="","",IF(BD55=0,"",BE55/BD55))</f>
        <v/>
      </c>
    </row>
    <row r="56" customFormat="false" ht="15" hidden="false" customHeight="false" outlineLevel="0" collapsed="false">
      <c r="A56" s="28"/>
      <c r="B56" s="28"/>
      <c r="C56" s="28" t="str">
        <f aca="false">IF($A55="","","Real")</f>
        <v/>
      </c>
      <c r="D56" s="29" t="str">
        <f aca="false">IF($A55="","",IF(COUNTIFS(Historial!$B$3:$B$502,$A55,Historial!$C$3:$C$502,$B55,Historial!$G$3:$G$502,D$4,Historial!$H$3:$H$502,$B$2)&gt;0,"✓",""))</f>
        <v/>
      </c>
      <c r="E56" s="29" t="str">
        <f aca="false">IF($A55="","",IF(COUNTIFS(Historial!$B$3:$B$502,$A55,Historial!$C$3:$C$502,$B55,Historial!$G$3:$G$502,E$4,Historial!$H$3:$H$502,$B$2)&gt;0,"✓",""))</f>
        <v/>
      </c>
      <c r="F56" s="29" t="str">
        <f aca="false">IF($A55="","",IF(COUNTIFS(Historial!$B$3:$B$502,$A55,Historial!$C$3:$C$502,$B55,Historial!$G$3:$G$502,F$4,Historial!$H$3:$H$502,$B$2)&gt;0,"✓",""))</f>
        <v/>
      </c>
      <c r="G56" s="29" t="str">
        <f aca="false">IF($A55="","",IF(COUNTIFS(Historial!$B$3:$B$502,$A55,Historial!$C$3:$C$502,$B55,Historial!$G$3:$G$502,G$4,Historial!$H$3:$H$502,$B$2)&gt;0,"✓",""))</f>
        <v/>
      </c>
      <c r="H56" s="29" t="str">
        <f aca="false">IF($A55="","",IF(COUNTIFS(Historial!$B$3:$B$502,$A55,Historial!$C$3:$C$502,$B55,Historial!$G$3:$G$502,H$4,Historial!$H$3:$H$502,$B$2)&gt;0,"✓",""))</f>
        <v/>
      </c>
      <c r="I56" s="29" t="str">
        <f aca="false">IF($A55="","",IF(COUNTIFS(Historial!$B$3:$B$502,$A55,Historial!$C$3:$C$502,$B55,Historial!$G$3:$G$502,I$4,Historial!$H$3:$H$502,$B$2)&gt;0,"✓",""))</f>
        <v/>
      </c>
      <c r="J56" s="29" t="str">
        <f aca="false">IF($A55="","",IF(COUNTIFS(Historial!$B$3:$B$502,$A55,Historial!$C$3:$C$502,$B55,Historial!$G$3:$G$502,J$4,Historial!$H$3:$H$502,$B$2)&gt;0,"✓",""))</f>
        <v/>
      </c>
      <c r="K56" s="29" t="str">
        <f aca="false">IF($A55="","",IF(COUNTIFS(Historial!$B$3:$B$502,$A55,Historial!$C$3:$C$502,$B55,Historial!$G$3:$G$502,K$4,Historial!$H$3:$H$502,$B$2)&gt;0,"✓",""))</f>
        <v/>
      </c>
      <c r="L56" s="29" t="str">
        <f aca="false">IF($A55="","",IF(COUNTIFS(Historial!$B$3:$B$502,$A55,Historial!$C$3:$C$502,$B55,Historial!$G$3:$G$502,L$4,Historial!$H$3:$H$502,$B$2)&gt;0,"✓",""))</f>
        <v/>
      </c>
      <c r="M56" s="29" t="str">
        <f aca="false">IF($A55="","",IF(COUNTIFS(Historial!$B$3:$B$502,$A55,Historial!$C$3:$C$502,$B55,Historial!$G$3:$G$502,M$4,Historial!$H$3:$H$502,$B$2)&gt;0,"✓",""))</f>
        <v/>
      </c>
      <c r="N56" s="29" t="str">
        <f aca="false">IF($A55="","",IF(COUNTIFS(Historial!$B$3:$B$502,$A55,Historial!$C$3:$C$502,$B55,Historial!$G$3:$G$502,N$4,Historial!$H$3:$H$502,$B$2)&gt;0,"✓",""))</f>
        <v/>
      </c>
      <c r="O56" s="29" t="str">
        <f aca="false">IF($A55="","",IF(COUNTIFS(Historial!$B$3:$B$502,$A55,Historial!$C$3:$C$502,$B55,Historial!$G$3:$G$502,O$4,Historial!$H$3:$H$502,$B$2)&gt;0,"✓",""))</f>
        <v/>
      </c>
      <c r="P56" s="29" t="str">
        <f aca="false">IF($A55="","",IF(COUNTIFS(Historial!$B$3:$B$502,$A55,Historial!$C$3:$C$502,$B55,Historial!$G$3:$G$502,P$4,Historial!$H$3:$H$502,$B$2)&gt;0,"✓",""))</f>
        <v/>
      </c>
      <c r="Q56" s="29" t="str">
        <f aca="false">IF($A55="","",IF(COUNTIFS(Historial!$B$3:$B$502,$A55,Historial!$C$3:$C$502,$B55,Historial!$G$3:$G$502,Q$4,Historial!$H$3:$H$502,$B$2)&gt;0,"✓",""))</f>
        <v/>
      </c>
      <c r="R56" s="29" t="str">
        <f aca="false">IF($A55="","",IF(COUNTIFS(Historial!$B$3:$B$502,$A55,Historial!$C$3:$C$502,$B55,Historial!$G$3:$G$502,R$4,Historial!$H$3:$H$502,$B$2)&gt;0,"✓",""))</f>
        <v/>
      </c>
      <c r="S56" s="29" t="str">
        <f aca="false">IF($A55="","",IF(COUNTIFS(Historial!$B$3:$B$502,$A55,Historial!$C$3:$C$502,$B55,Historial!$G$3:$G$502,S$4,Historial!$H$3:$H$502,$B$2)&gt;0,"✓",""))</f>
        <v/>
      </c>
      <c r="T56" s="29" t="str">
        <f aca="false">IF($A55="","",IF(COUNTIFS(Historial!$B$3:$B$502,$A55,Historial!$C$3:$C$502,$B55,Historial!$G$3:$G$502,T$4,Historial!$H$3:$H$502,$B$2)&gt;0,"✓",""))</f>
        <v/>
      </c>
      <c r="U56" s="29" t="str">
        <f aca="false">IF($A55="","",IF(COUNTIFS(Historial!$B$3:$B$502,$A55,Historial!$C$3:$C$502,$B55,Historial!$G$3:$G$502,U$4,Historial!$H$3:$H$502,$B$2)&gt;0,"✓",""))</f>
        <v/>
      </c>
      <c r="V56" s="29" t="str">
        <f aca="false">IF($A55="","",IF(COUNTIFS(Historial!$B$3:$B$502,$A55,Historial!$C$3:$C$502,$B55,Historial!$G$3:$G$502,V$4,Historial!$H$3:$H$502,$B$2)&gt;0,"✓",""))</f>
        <v/>
      </c>
      <c r="W56" s="29" t="str">
        <f aca="false">IF($A55="","",IF(COUNTIFS(Historial!$B$3:$B$502,$A55,Historial!$C$3:$C$502,$B55,Historial!$G$3:$G$502,W$4,Historial!$H$3:$H$502,$B$2)&gt;0,"✓",""))</f>
        <v/>
      </c>
      <c r="X56" s="29" t="str">
        <f aca="false">IF($A55="","",IF(COUNTIFS(Historial!$B$3:$B$502,$A55,Historial!$C$3:$C$502,$B55,Historial!$G$3:$G$502,X$4,Historial!$H$3:$H$502,$B$2)&gt;0,"✓",""))</f>
        <v/>
      </c>
      <c r="Y56" s="29" t="str">
        <f aca="false">IF($A55="","",IF(COUNTIFS(Historial!$B$3:$B$502,$A55,Historial!$C$3:$C$502,$B55,Historial!$G$3:$G$502,Y$4,Historial!$H$3:$H$502,$B$2)&gt;0,"✓",""))</f>
        <v/>
      </c>
      <c r="Z56" s="29" t="str">
        <f aca="false">IF($A55="","",IF(COUNTIFS(Historial!$B$3:$B$502,$A55,Historial!$C$3:$C$502,$B55,Historial!$G$3:$G$502,Z$4,Historial!$H$3:$H$502,$B$2)&gt;0,"✓",""))</f>
        <v/>
      </c>
      <c r="AA56" s="29" t="str">
        <f aca="false">IF($A55="","",IF(COUNTIFS(Historial!$B$3:$B$502,$A55,Historial!$C$3:$C$502,$B55,Historial!$G$3:$G$502,AA$4,Historial!$H$3:$H$502,$B$2)&gt;0,"✓",""))</f>
        <v/>
      </c>
      <c r="AB56" s="29" t="str">
        <f aca="false">IF($A55="","",IF(COUNTIFS(Historial!$B$3:$B$502,$A55,Historial!$C$3:$C$502,$B55,Historial!$G$3:$G$502,AB$4,Historial!$H$3:$H$502,$B$2)&gt;0,"✓",""))</f>
        <v/>
      </c>
      <c r="AC56" s="29" t="str">
        <f aca="false">IF($A55="","",IF(COUNTIFS(Historial!$B$3:$B$502,$A55,Historial!$C$3:$C$502,$B55,Historial!$G$3:$G$502,AC$4,Historial!$H$3:$H$502,$B$2)&gt;0,"✓",""))</f>
        <v/>
      </c>
      <c r="AD56" s="29" t="str">
        <f aca="false">IF($A55="","",IF(COUNTIFS(Historial!$B$3:$B$502,$A55,Historial!$C$3:$C$502,$B55,Historial!$G$3:$G$502,AD$4,Historial!$H$3:$H$502,$B$2)&gt;0,"✓",""))</f>
        <v/>
      </c>
      <c r="AE56" s="29" t="str">
        <f aca="false">IF($A55="","",IF(COUNTIFS(Historial!$B$3:$B$502,$A55,Historial!$C$3:$C$502,$B55,Historial!$G$3:$G$502,AE$4,Historial!$H$3:$H$502,$B$2)&gt;0,"✓",""))</f>
        <v/>
      </c>
      <c r="AF56" s="29" t="str">
        <f aca="false">IF($A55="","",IF(COUNTIFS(Historial!$B$3:$B$502,$A55,Historial!$C$3:$C$502,$B55,Historial!$G$3:$G$502,AF$4,Historial!$H$3:$H$502,$B$2)&gt;0,"✓",""))</f>
        <v/>
      </c>
      <c r="AG56" s="29" t="str">
        <f aca="false">IF($A55="","",IF(COUNTIFS(Historial!$B$3:$B$502,$A55,Historial!$C$3:$C$502,$B55,Historial!$G$3:$G$502,AG$4,Historial!$H$3:$H$502,$B$2)&gt;0,"✓",""))</f>
        <v/>
      </c>
      <c r="AH56" s="29" t="str">
        <f aca="false">IF($A55="","",IF(COUNTIFS(Historial!$B$3:$B$502,$A55,Historial!$C$3:$C$502,$B55,Historial!$G$3:$G$502,AH$4,Historial!$H$3:$H$502,$B$2)&gt;0,"✓",""))</f>
        <v/>
      </c>
      <c r="AI56" s="29" t="str">
        <f aca="false">IF($A55="","",IF(COUNTIFS(Historial!$B$3:$B$502,$A55,Historial!$C$3:$C$502,$B55,Historial!$G$3:$G$502,AI$4,Historial!$H$3:$H$502,$B$2)&gt;0,"✓",""))</f>
        <v/>
      </c>
      <c r="AJ56" s="29" t="str">
        <f aca="false">IF($A55="","",IF(COUNTIFS(Historial!$B$3:$B$502,$A55,Historial!$C$3:$C$502,$B55,Historial!$G$3:$G$502,AJ$4,Historial!$H$3:$H$502,$B$2)&gt;0,"✓",""))</f>
        <v/>
      </c>
      <c r="AK56" s="29" t="str">
        <f aca="false">IF($A55="","",IF(COUNTIFS(Historial!$B$3:$B$502,$A55,Historial!$C$3:$C$502,$B55,Historial!$G$3:$G$502,AK$4,Historial!$H$3:$H$502,$B$2)&gt;0,"✓",""))</f>
        <v/>
      </c>
      <c r="AL56" s="29" t="str">
        <f aca="false">IF($A55="","",IF(COUNTIFS(Historial!$B$3:$B$502,$A55,Historial!$C$3:$C$502,$B55,Historial!$G$3:$G$502,AL$4,Historial!$H$3:$H$502,$B$2)&gt;0,"✓",""))</f>
        <v/>
      </c>
      <c r="AM56" s="29" t="str">
        <f aca="false">IF($A55="","",IF(COUNTIFS(Historial!$B$3:$B$502,$A55,Historial!$C$3:$C$502,$B55,Historial!$G$3:$G$502,AM$4,Historial!$H$3:$H$502,$B$2)&gt;0,"✓",""))</f>
        <v/>
      </c>
      <c r="AN56" s="29" t="str">
        <f aca="false">IF($A55="","",IF(COUNTIFS(Historial!$B$3:$B$502,$A55,Historial!$C$3:$C$502,$B55,Historial!$G$3:$G$502,AN$4,Historial!$H$3:$H$502,$B$2)&gt;0,"✓",""))</f>
        <v/>
      </c>
      <c r="AO56" s="29" t="str">
        <f aca="false">IF($A55="","",IF(COUNTIFS(Historial!$B$3:$B$502,$A55,Historial!$C$3:$C$502,$B55,Historial!$G$3:$G$502,AO$4,Historial!$H$3:$H$502,$B$2)&gt;0,"✓",""))</f>
        <v/>
      </c>
      <c r="AP56" s="29" t="str">
        <f aca="false">IF($A55="","",IF(COUNTIFS(Historial!$B$3:$B$502,$A55,Historial!$C$3:$C$502,$B55,Historial!$G$3:$G$502,AP$4,Historial!$H$3:$H$502,$B$2)&gt;0,"✓",""))</f>
        <v/>
      </c>
      <c r="AQ56" s="29" t="str">
        <f aca="false">IF($A55="","",IF(COUNTIFS(Historial!$B$3:$B$502,$A55,Historial!$C$3:$C$502,$B55,Historial!$G$3:$G$502,AQ$4,Historial!$H$3:$H$502,$B$2)&gt;0,"✓",""))</f>
        <v/>
      </c>
      <c r="AR56" s="29" t="str">
        <f aca="false">IF($A55="","",IF(COUNTIFS(Historial!$B$3:$B$502,$A55,Historial!$C$3:$C$502,$B55,Historial!$G$3:$G$502,AR$4,Historial!$H$3:$H$502,$B$2)&gt;0,"✓",""))</f>
        <v/>
      </c>
      <c r="AS56" s="29" t="str">
        <f aca="false">IF($A55="","",IF(COUNTIFS(Historial!$B$3:$B$502,$A55,Historial!$C$3:$C$502,$B55,Historial!$G$3:$G$502,AS$4,Historial!$H$3:$H$502,$B$2)&gt;0,"✓",""))</f>
        <v/>
      </c>
      <c r="AT56" s="29" t="str">
        <f aca="false">IF($A55="","",IF(COUNTIFS(Historial!$B$3:$B$502,$A55,Historial!$C$3:$C$502,$B55,Historial!$G$3:$G$502,AT$4,Historial!$H$3:$H$502,$B$2)&gt;0,"✓",""))</f>
        <v/>
      </c>
      <c r="AU56" s="29" t="str">
        <f aca="false">IF($A55="","",IF(COUNTIFS(Historial!$B$3:$B$502,$A55,Historial!$C$3:$C$502,$B55,Historial!$G$3:$G$502,AU$4,Historial!$H$3:$H$502,$B$2)&gt;0,"✓",""))</f>
        <v/>
      </c>
      <c r="AV56" s="29" t="str">
        <f aca="false">IF($A55="","",IF(COUNTIFS(Historial!$B$3:$B$502,$A55,Historial!$C$3:$C$502,$B55,Historial!$G$3:$G$502,AV$4,Historial!$H$3:$H$502,$B$2)&gt;0,"✓",""))</f>
        <v/>
      </c>
      <c r="AW56" s="29" t="str">
        <f aca="false">IF($A55="","",IF(COUNTIFS(Historial!$B$3:$B$502,$A55,Historial!$C$3:$C$502,$B55,Historial!$G$3:$G$502,AW$4,Historial!$H$3:$H$502,$B$2)&gt;0,"✓",""))</f>
        <v/>
      </c>
      <c r="AX56" s="29" t="str">
        <f aca="false">IF($A55="","",IF(COUNTIFS(Historial!$B$3:$B$502,$A55,Historial!$C$3:$C$502,$B55,Historial!$G$3:$G$502,AX$4,Historial!$H$3:$H$502,$B$2)&gt;0,"✓",""))</f>
        <v/>
      </c>
      <c r="AY56" s="29" t="str">
        <f aca="false">IF($A55="","",IF(COUNTIFS(Historial!$B$3:$B$502,$A55,Historial!$C$3:$C$502,$B55,Historial!$G$3:$G$502,AY$4,Historial!$H$3:$H$502,$B$2)&gt;0,"✓",""))</f>
        <v/>
      </c>
      <c r="AZ56" s="29" t="str">
        <f aca="false">IF($A55="","",IF(COUNTIFS(Historial!$B$3:$B$502,$A55,Historial!$C$3:$C$502,$B55,Historial!$G$3:$G$502,AZ$4,Historial!$H$3:$H$502,$B$2)&gt;0,"✓",""))</f>
        <v/>
      </c>
      <c r="BA56" s="29" t="str">
        <f aca="false">IF($A55="","",IF(COUNTIFS(Historial!$B$3:$B$502,$A55,Historial!$C$3:$C$502,$B55,Historial!$G$3:$G$502,BA$4,Historial!$H$3:$H$502,$B$2)&gt;0,"✓",""))</f>
        <v/>
      </c>
      <c r="BB56" s="29" t="str">
        <f aca="false">IF($A55="","",IF(COUNTIFS(Historial!$B$3:$B$502,$A55,Historial!$C$3:$C$502,$B55,Historial!$G$3:$G$502,BB$4,Historial!$H$3:$H$502,$B$2)&gt;0,"✓",""))</f>
        <v/>
      </c>
      <c r="BC56" s="29" t="str">
        <f aca="false">IF($A55="","",IF(COUNTIFS(Historial!$B$3:$B$502,$A55,Historial!$C$3:$C$502,$B55,Historial!$G$3:$G$502,BC$4,Historial!$H$3:$H$502,$B$2)&gt;0,"✓",""))</f>
        <v/>
      </c>
      <c r="BD56" s="29"/>
      <c r="BE56" s="29"/>
      <c r="BF56" s="29"/>
    </row>
    <row r="57" customFormat="false" ht="15" hidden="false" customHeight="false" outlineLevel="0" collapsed="false">
      <c r="A57" s="24" t="str">
        <f aca="false">IF(Actividades!$B29="","",Actividades!$B29)</f>
        <v/>
      </c>
      <c r="B57" s="24" t="str">
        <f aca="false">IF(Actividades!$C29="","",Actividades!$C29)</f>
        <v/>
      </c>
      <c r="C57" s="24" t="str">
        <f aca="false">IF($A57="","","Plan")</f>
        <v/>
      </c>
      <c r="D57" s="25" t="str">
        <f aca="false">IF($A57="","",IF(AND(N(Actividades!$E29)&gt;0,D$4&gt;=Actividades!$E29,MOD(D$4-Actividades!$E29,IFERROR(VLOOKUP(Actividades!$D29,Listas!$A$2:$B$8,2,0),52))=0),"P",""))</f>
        <v/>
      </c>
      <c r="E57" s="25" t="str">
        <f aca="false">IF($A57="","",IF(AND(N(Actividades!$E29)&gt;0,E$4&gt;=Actividades!$E29,MOD(E$4-Actividades!$E29,IFERROR(VLOOKUP(Actividades!$D29,Listas!$A$2:$B$8,2,0),52))=0),"P",""))</f>
        <v/>
      </c>
      <c r="F57" s="25" t="str">
        <f aca="false">IF($A57="","",IF(AND(N(Actividades!$E29)&gt;0,F$4&gt;=Actividades!$E29,MOD(F$4-Actividades!$E29,IFERROR(VLOOKUP(Actividades!$D29,Listas!$A$2:$B$8,2,0),52))=0),"P",""))</f>
        <v/>
      </c>
      <c r="G57" s="25" t="str">
        <f aca="false">IF($A57="","",IF(AND(N(Actividades!$E29)&gt;0,G$4&gt;=Actividades!$E29,MOD(G$4-Actividades!$E29,IFERROR(VLOOKUP(Actividades!$D29,Listas!$A$2:$B$8,2,0),52))=0),"P",""))</f>
        <v/>
      </c>
      <c r="H57" s="25" t="str">
        <f aca="false">IF($A57="","",IF(AND(N(Actividades!$E29)&gt;0,H$4&gt;=Actividades!$E29,MOD(H$4-Actividades!$E29,IFERROR(VLOOKUP(Actividades!$D29,Listas!$A$2:$B$8,2,0),52))=0),"P",""))</f>
        <v/>
      </c>
      <c r="I57" s="25" t="str">
        <f aca="false">IF($A57="","",IF(AND(N(Actividades!$E29)&gt;0,I$4&gt;=Actividades!$E29,MOD(I$4-Actividades!$E29,IFERROR(VLOOKUP(Actividades!$D29,Listas!$A$2:$B$8,2,0),52))=0),"P",""))</f>
        <v/>
      </c>
      <c r="J57" s="25" t="str">
        <f aca="false">IF($A57="","",IF(AND(N(Actividades!$E29)&gt;0,J$4&gt;=Actividades!$E29,MOD(J$4-Actividades!$E29,IFERROR(VLOOKUP(Actividades!$D29,Listas!$A$2:$B$8,2,0),52))=0),"P",""))</f>
        <v/>
      </c>
      <c r="K57" s="25" t="str">
        <f aca="false">IF($A57="","",IF(AND(N(Actividades!$E29)&gt;0,K$4&gt;=Actividades!$E29,MOD(K$4-Actividades!$E29,IFERROR(VLOOKUP(Actividades!$D29,Listas!$A$2:$B$8,2,0),52))=0),"P",""))</f>
        <v/>
      </c>
      <c r="L57" s="25" t="str">
        <f aca="false">IF($A57="","",IF(AND(N(Actividades!$E29)&gt;0,L$4&gt;=Actividades!$E29,MOD(L$4-Actividades!$E29,IFERROR(VLOOKUP(Actividades!$D29,Listas!$A$2:$B$8,2,0),52))=0),"P",""))</f>
        <v/>
      </c>
      <c r="M57" s="25" t="str">
        <f aca="false">IF($A57="","",IF(AND(N(Actividades!$E29)&gt;0,M$4&gt;=Actividades!$E29,MOD(M$4-Actividades!$E29,IFERROR(VLOOKUP(Actividades!$D29,Listas!$A$2:$B$8,2,0),52))=0),"P",""))</f>
        <v/>
      </c>
      <c r="N57" s="25" t="str">
        <f aca="false">IF($A57="","",IF(AND(N(Actividades!$E29)&gt;0,N$4&gt;=Actividades!$E29,MOD(N$4-Actividades!$E29,IFERROR(VLOOKUP(Actividades!$D29,Listas!$A$2:$B$8,2,0),52))=0),"P",""))</f>
        <v/>
      </c>
      <c r="O57" s="25" t="str">
        <f aca="false">IF($A57="","",IF(AND(N(Actividades!$E29)&gt;0,O$4&gt;=Actividades!$E29,MOD(O$4-Actividades!$E29,IFERROR(VLOOKUP(Actividades!$D29,Listas!$A$2:$B$8,2,0),52))=0),"P",""))</f>
        <v/>
      </c>
      <c r="P57" s="25" t="str">
        <f aca="false">IF($A57="","",IF(AND(N(Actividades!$E29)&gt;0,P$4&gt;=Actividades!$E29,MOD(P$4-Actividades!$E29,IFERROR(VLOOKUP(Actividades!$D29,Listas!$A$2:$B$8,2,0),52))=0),"P",""))</f>
        <v/>
      </c>
      <c r="Q57" s="25" t="str">
        <f aca="false">IF($A57="","",IF(AND(N(Actividades!$E29)&gt;0,Q$4&gt;=Actividades!$E29,MOD(Q$4-Actividades!$E29,IFERROR(VLOOKUP(Actividades!$D29,Listas!$A$2:$B$8,2,0),52))=0),"P",""))</f>
        <v/>
      </c>
      <c r="R57" s="25" t="str">
        <f aca="false">IF($A57="","",IF(AND(N(Actividades!$E29)&gt;0,R$4&gt;=Actividades!$E29,MOD(R$4-Actividades!$E29,IFERROR(VLOOKUP(Actividades!$D29,Listas!$A$2:$B$8,2,0),52))=0),"P",""))</f>
        <v/>
      </c>
      <c r="S57" s="25" t="str">
        <f aca="false">IF($A57="","",IF(AND(N(Actividades!$E29)&gt;0,S$4&gt;=Actividades!$E29,MOD(S$4-Actividades!$E29,IFERROR(VLOOKUP(Actividades!$D29,Listas!$A$2:$B$8,2,0),52))=0),"P",""))</f>
        <v/>
      </c>
      <c r="T57" s="25" t="str">
        <f aca="false">IF($A57="","",IF(AND(N(Actividades!$E29)&gt;0,T$4&gt;=Actividades!$E29,MOD(T$4-Actividades!$E29,IFERROR(VLOOKUP(Actividades!$D29,Listas!$A$2:$B$8,2,0),52))=0),"P",""))</f>
        <v/>
      </c>
      <c r="U57" s="25" t="str">
        <f aca="false">IF($A57="","",IF(AND(N(Actividades!$E29)&gt;0,U$4&gt;=Actividades!$E29,MOD(U$4-Actividades!$E29,IFERROR(VLOOKUP(Actividades!$D29,Listas!$A$2:$B$8,2,0),52))=0),"P",""))</f>
        <v/>
      </c>
      <c r="V57" s="25" t="str">
        <f aca="false">IF($A57="","",IF(AND(N(Actividades!$E29)&gt;0,V$4&gt;=Actividades!$E29,MOD(V$4-Actividades!$E29,IFERROR(VLOOKUP(Actividades!$D29,Listas!$A$2:$B$8,2,0),52))=0),"P",""))</f>
        <v/>
      </c>
      <c r="W57" s="25" t="str">
        <f aca="false">IF($A57="","",IF(AND(N(Actividades!$E29)&gt;0,W$4&gt;=Actividades!$E29,MOD(W$4-Actividades!$E29,IFERROR(VLOOKUP(Actividades!$D29,Listas!$A$2:$B$8,2,0),52))=0),"P",""))</f>
        <v/>
      </c>
      <c r="X57" s="25" t="str">
        <f aca="false">IF($A57="","",IF(AND(N(Actividades!$E29)&gt;0,X$4&gt;=Actividades!$E29,MOD(X$4-Actividades!$E29,IFERROR(VLOOKUP(Actividades!$D29,Listas!$A$2:$B$8,2,0),52))=0),"P",""))</f>
        <v/>
      </c>
      <c r="Y57" s="25" t="str">
        <f aca="false">IF($A57="","",IF(AND(N(Actividades!$E29)&gt;0,Y$4&gt;=Actividades!$E29,MOD(Y$4-Actividades!$E29,IFERROR(VLOOKUP(Actividades!$D29,Listas!$A$2:$B$8,2,0),52))=0),"P",""))</f>
        <v/>
      </c>
      <c r="Z57" s="25" t="str">
        <f aca="false">IF($A57="","",IF(AND(N(Actividades!$E29)&gt;0,Z$4&gt;=Actividades!$E29,MOD(Z$4-Actividades!$E29,IFERROR(VLOOKUP(Actividades!$D29,Listas!$A$2:$B$8,2,0),52))=0),"P",""))</f>
        <v/>
      </c>
      <c r="AA57" s="25" t="str">
        <f aca="false">IF($A57="","",IF(AND(N(Actividades!$E29)&gt;0,AA$4&gt;=Actividades!$E29,MOD(AA$4-Actividades!$E29,IFERROR(VLOOKUP(Actividades!$D29,Listas!$A$2:$B$8,2,0),52))=0),"P",""))</f>
        <v/>
      </c>
      <c r="AB57" s="25" t="str">
        <f aca="false">IF($A57="","",IF(AND(N(Actividades!$E29)&gt;0,AB$4&gt;=Actividades!$E29,MOD(AB$4-Actividades!$E29,IFERROR(VLOOKUP(Actividades!$D29,Listas!$A$2:$B$8,2,0),52))=0),"P",""))</f>
        <v/>
      </c>
      <c r="AC57" s="25" t="str">
        <f aca="false">IF($A57="","",IF(AND(N(Actividades!$E29)&gt;0,AC$4&gt;=Actividades!$E29,MOD(AC$4-Actividades!$E29,IFERROR(VLOOKUP(Actividades!$D29,Listas!$A$2:$B$8,2,0),52))=0),"P",""))</f>
        <v/>
      </c>
      <c r="AD57" s="25" t="str">
        <f aca="false">IF($A57="","",IF(AND(N(Actividades!$E29)&gt;0,AD$4&gt;=Actividades!$E29,MOD(AD$4-Actividades!$E29,IFERROR(VLOOKUP(Actividades!$D29,Listas!$A$2:$B$8,2,0),52))=0),"P",""))</f>
        <v/>
      </c>
      <c r="AE57" s="25" t="str">
        <f aca="false">IF($A57="","",IF(AND(N(Actividades!$E29)&gt;0,AE$4&gt;=Actividades!$E29,MOD(AE$4-Actividades!$E29,IFERROR(VLOOKUP(Actividades!$D29,Listas!$A$2:$B$8,2,0),52))=0),"P",""))</f>
        <v/>
      </c>
      <c r="AF57" s="25" t="str">
        <f aca="false">IF($A57="","",IF(AND(N(Actividades!$E29)&gt;0,AF$4&gt;=Actividades!$E29,MOD(AF$4-Actividades!$E29,IFERROR(VLOOKUP(Actividades!$D29,Listas!$A$2:$B$8,2,0),52))=0),"P",""))</f>
        <v/>
      </c>
      <c r="AG57" s="25" t="str">
        <f aca="false">IF($A57="","",IF(AND(N(Actividades!$E29)&gt;0,AG$4&gt;=Actividades!$E29,MOD(AG$4-Actividades!$E29,IFERROR(VLOOKUP(Actividades!$D29,Listas!$A$2:$B$8,2,0),52))=0),"P",""))</f>
        <v/>
      </c>
      <c r="AH57" s="25" t="str">
        <f aca="false">IF($A57="","",IF(AND(N(Actividades!$E29)&gt;0,AH$4&gt;=Actividades!$E29,MOD(AH$4-Actividades!$E29,IFERROR(VLOOKUP(Actividades!$D29,Listas!$A$2:$B$8,2,0),52))=0),"P",""))</f>
        <v/>
      </c>
      <c r="AI57" s="25" t="str">
        <f aca="false">IF($A57="","",IF(AND(N(Actividades!$E29)&gt;0,AI$4&gt;=Actividades!$E29,MOD(AI$4-Actividades!$E29,IFERROR(VLOOKUP(Actividades!$D29,Listas!$A$2:$B$8,2,0),52))=0),"P",""))</f>
        <v/>
      </c>
      <c r="AJ57" s="25" t="str">
        <f aca="false">IF($A57="","",IF(AND(N(Actividades!$E29)&gt;0,AJ$4&gt;=Actividades!$E29,MOD(AJ$4-Actividades!$E29,IFERROR(VLOOKUP(Actividades!$D29,Listas!$A$2:$B$8,2,0),52))=0),"P",""))</f>
        <v/>
      </c>
      <c r="AK57" s="25" t="str">
        <f aca="false">IF($A57="","",IF(AND(N(Actividades!$E29)&gt;0,AK$4&gt;=Actividades!$E29,MOD(AK$4-Actividades!$E29,IFERROR(VLOOKUP(Actividades!$D29,Listas!$A$2:$B$8,2,0),52))=0),"P",""))</f>
        <v/>
      </c>
      <c r="AL57" s="25" t="str">
        <f aca="false">IF($A57="","",IF(AND(N(Actividades!$E29)&gt;0,AL$4&gt;=Actividades!$E29,MOD(AL$4-Actividades!$E29,IFERROR(VLOOKUP(Actividades!$D29,Listas!$A$2:$B$8,2,0),52))=0),"P",""))</f>
        <v/>
      </c>
      <c r="AM57" s="25" t="str">
        <f aca="false">IF($A57="","",IF(AND(N(Actividades!$E29)&gt;0,AM$4&gt;=Actividades!$E29,MOD(AM$4-Actividades!$E29,IFERROR(VLOOKUP(Actividades!$D29,Listas!$A$2:$B$8,2,0),52))=0),"P",""))</f>
        <v/>
      </c>
      <c r="AN57" s="25" t="str">
        <f aca="false">IF($A57="","",IF(AND(N(Actividades!$E29)&gt;0,AN$4&gt;=Actividades!$E29,MOD(AN$4-Actividades!$E29,IFERROR(VLOOKUP(Actividades!$D29,Listas!$A$2:$B$8,2,0),52))=0),"P",""))</f>
        <v/>
      </c>
      <c r="AO57" s="25" t="str">
        <f aca="false">IF($A57="","",IF(AND(N(Actividades!$E29)&gt;0,AO$4&gt;=Actividades!$E29,MOD(AO$4-Actividades!$E29,IFERROR(VLOOKUP(Actividades!$D29,Listas!$A$2:$B$8,2,0),52))=0),"P",""))</f>
        <v/>
      </c>
      <c r="AP57" s="25" t="str">
        <f aca="false">IF($A57="","",IF(AND(N(Actividades!$E29)&gt;0,AP$4&gt;=Actividades!$E29,MOD(AP$4-Actividades!$E29,IFERROR(VLOOKUP(Actividades!$D29,Listas!$A$2:$B$8,2,0),52))=0),"P",""))</f>
        <v/>
      </c>
      <c r="AQ57" s="25" t="str">
        <f aca="false">IF($A57="","",IF(AND(N(Actividades!$E29)&gt;0,AQ$4&gt;=Actividades!$E29,MOD(AQ$4-Actividades!$E29,IFERROR(VLOOKUP(Actividades!$D29,Listas!$A$2:$B$8,2,0),52))=0),"P",""))</f>
        <v/>
      </c>
      <c r="AR57" s="25" t="str">
        <f aca="false">IF($A57="","",IF(AND(N(Actividades!$E29)&gt;0,AR$4&gt;=Actividades!$E29,MOD(AR$4-Actividades!$E29,IFERROR(VLOOKUP(Actividades!$D29,Listas!$A$2:$B$8,2,0),52))=0),"P",""))</f>
        <v/>
      </c>
      <c r="AS57" s="25" t="str">
        <f aca="false">IF($A57="","",IF(AND(N(Actividades!$E29)&gt;0,AS$4&gt;=Actividades!$E29,MOD(AS$4-Actividades!$E29,IFERROR(VLOOKUP(Actividades!$D29,Listas!$A$2:$B$8,2,0),52))=0),"P",""))</f>
        <v/>
      </c>
      <c r="AT57" s="25" t="str">
        <f aca="false">IF($A57="","",IF(AND(N(Actividades!$E29)&gt;0,AT$4&gt;=Actividades!$E29,MOD(AT$4-Actividades!$E29,IFERROR(VLOOKUP(Actividades!$D29,Listas!$A$2:$B$8,2,0),52))=0),"P",""))</f>
        <v/>
      </c>
      <c r="AU57" s="25" t="str">
        <f aca="false">IF($A57="","",IF(AND(N(Actividades!$E29)&gt;0,AU$4&gt;=Actividades!$E29,MOD(AU$4-Actividades!$E29,IFERROR(VLOOKUP(Actividades!$D29,Listas!$A$2:$B$8,2,0),52))=0),"P",""))</f>
        <v/>
      </c>
      <c r="AV57" s="25" t="str">
        <f aca="false">IF($A57="","",IF(AND(N(Actividades!$E29)&gt;0,AV$4&gt;=Actividades!$E29,MOD(AV$4-Actividades!$E29,IFERROR(VLOOKUP(Actividades!$D29,Listas!$A$2:$B$8,2,0),52))=0),"P",""))</f>
        <v/>
      </c>
      <c r="AW57" s="25" t="str">
        <f aca="false">IF($A57="","",IF(AND(N(Actividades!$E29)&gt;0,AW$4&gt;=Actividades!$E29,MOD(AW$4-Actividades!$E29,IFERROR(VLOOKUP(Actividades!$D29,Listas!$A$2:$B$8,2,0),52))=0),"P",""))</f>
        <v/>
      </c>
      <c r="AX57" s="25" t="str">
        <f aca="false">IF($A57="","",IF(AND(N(Actividades!$E29)&gt;0,AX$4&gt;=Actividades!$E29,MOD(AX$4-Actividades!$E29,IFERROR(VLOOKUP(Actividades!$D29,Listas!$A$2:$B$8,2,0),52))=0),"P",""))</f>
        <v/>
      </c>
      <c r="AY57" s="25" t="str">
        <f aca="false">IF($A57="","",IF(AND(N(Actividades!$E29)&gt;0,AY$4&gt;=Actividades!$E29,MOD(AY$4-Actividades!$E29,IFERROR(VLOOKUP(Actividades!$D29,Listas!$A$2:$B$8,2,0),52))=0),"P",""))</f>
        <v/>
      </c>
      <c r="AZ57" s="25" t="str">
        <f aca="false">IF($A57="","",IF(AND(N(Actividades!$E29)&gt;0,AZ$4&gt;=Actividades!$E29,MOD(AZ$4-Actividades!$E29,IFERROR(VLOOKUP(Actividades!$D29,Listas!$A$2:$B$8,2,0),52))=0),"P",""))</f>
        <v/>
      </c>
      <c r="BA57" s="25" t="str">
        <f aca="false">IF($A57="","",IF(AND(N(Actividades!$E29)&gt;0,BA$4&gt;=Actividades!$E29,MOD(BA$4-Actividades!$E29,IFERROR(VLOOKUP(Actividades!$D29,Listas!$A$2:$B$8,2,0),52))=0),"P",""))</f>
        <v/>
      </c>
      <c r="BB57" s="25" t="str">
        <f aca="false">IF($A57="","",IF(AND(N(Actividades!$E29)&gt;0,BB$4&gt;=Actividades!$E29,MOD(BB$4-Actividades!$E29,IFERROR(VLOOKUP(Actividades!$D29,Listas!$A$2:$B$8,2,0),52))=0),"P",""))</f>
        <v/>
      </c>
      <c r="BC57" s="25" t="str">
        <f aca="false">IF($A57="","",IF(AND(N(Actividades!$E29)&gt;0,BC$4&gt;=Actividades!$E29,MOD(BC$4-Actividades!$E29,IFERROR(VLOOKUP(Actividades!$D29,Listas!$A$2:$B$8,2,0),52))=0),"P",""))</f>
        <v/>
      </c>
      <c r="BD57" s="26" t="str">
        <f aca="false">IF($A57="","",COUNTIF(D57:BC57,"P"))</f>
        <v/>
      </c>
      <c r="BE57" s="26" t="str">
        <f aca="false">IF($A57="","",SUMPRODUCT((D57:BC57="P")*(D58:BC58="✓")))</f>
        <v/>
      </c>
      <c r="BF57" s="27" t="str">
        <f aca="false">IF($A57="","",IF(BD57=0,"",BE57/BD57))</f>
        <v/>
      </c>
    </row>
    <row r="58" customFormat="false" ht="15" hidden="false" customHeight="false" outlineLevel="0" collapsed="false">
      <c r="A58" s="28"/>
      <c r="B58" s="28"/>
      <c r="C58" s="28" t="str">
        <f aca="false">IF($A57="","","Real")</f>
        <v/>
      </c>
      <c r="D58" s="29" t="str">
        <f aca="false">IF($A57="","",IF(COUNTIFS(Historial!$B$3:$B$502,$A57,Historial!$C$3:$C$502,$B57,Historial!$G$3:$G$502,D$4,Historial!$H$3:$H$502,$B$2)&gt;0,"✓",""))</f>
        <v/>
      </c>
      <c r="E58" s="29" t="str">
        <f aca="false">IF($A57="","",IF(COUNTIFS(Historial!$B$3:$B$502,$A57,Historial!$C$3:$C$502,$B57,Historial!$G$3:$G$502,E$4,Historial!$H$3:$H$502,$B$2)&gt;0,"✓",""))</f>
        <v/>
      </c>
      <c r="F58" s="29" t="str">
        <f aca="false">IF($A57="","",IF(COUNTIFS(Historial!$B$3:$B$502,$A57,Historial!$C$3:$C$502,$B57,Historial!$G$3:$G$502,F$4,Historial!$H$3:$H$502,$B$2)&gt;0,"✓",""))</f>
        <v/>
      </c>
      <c r="G58" s="29" t="str">
        <f aca="false">IF($A57="","",IF(COUNTIFS(Historial!$B$3:$B$502,$A57,Historial!$C$3:$C$502,$B57,Historial!$G$3:$G$502,G$4,Historial!$H$3:$H$502,$B$2)&gt;0,"✓",""))</f>
        <v/>
      </c>
      <c r="H58" s="29" t="str">
        <f aca="false">IF($A57="","",IF(COUNTIFS(Historial!$B$3:$B$502,$A57,Historial!$C$3:$C$502,$B57,Historial!$G$3:$G$502,H$4,Historial!$H$3:$H$502,$B$2)&gt;0,"✓",""))</f>
        <v/>
      </c>
      <c r="I58" s="29" t="str">
        <f aca="false">IF($A57="","",IF(COUNTIFS(Historial!$B$3:$B$502,$A57,Historial!$C$3:$C$502,$B57,Historial!$G$3:$G$502,I$4,Historial!$H$3:$H$502,$B$2)&gt;0,"✓",""))</f>
        <v/>
      </c>
      <c r="J58" s="29" t="str">
        <f aca="false">IF($A57="","",IF(COUNTIFS(Historial!$B$3:$B$502,$A57,Historial!$C$3:$C$502,$B57,Historial!$G$3:$G$502,J$4,Historial!$H$3:$H$502,$B$2)&gt;0,"✓",""))</f>
        <v/>
      </c>
      <c r="K58" s="29" t="str">
        <f aca="false">IF($A57="","",IF(COUNTIFS(Historial!$B$3:$B$502,$A57,Historial!$C$3:$C$502,$B57,Historial!$G$3:$G$502,K$4,Historial!$H$3:$H$502,$B$2)&gt;0,"✓",""))</f>
        <v/>
      </c>
      <c r="L58" s="29" t="str">
        <f aca="false">IF($A57="","",IF(COUNTIFS(Historial!$B$3:$B$502,$A57,Historial!$C$3:$C$502,$B57,Historial!$G$3:$G$502,L$4,Historial!$H$3:$H$502,$B$2)&gt;0,"✓",""))</f>
        <v/>
      </c>
      <c r="M58" s="29" t="str">
        <f aca="false">IF($A57="","",IF(COUNTIFS(Historial!$B$3:$B$502,$A57,Historial!$C$3:$C$502,$B57,Historial!$G$3:$G$502,M$4,Historial!$H$3:$H$502,$B$2)&gt;0,"✓",""))</f>
        <v/>
      </c>
      <c r="N58" s="29" t="str">
        <f aca="false">IF($A57="","",IF(COUNTIFS(Historial!$B$3:$B$502,$A57,Historial!$C$3:$C$502,$B57,Historial!$G$3:$G$502,N$4,Historial!$H$3:$H$502,$B$2)&gt;0,"✓",""))</f>
        <v/>
      </c>
      <c r="O58" s="29" t="str">
        <f aca="false">IF($A57="","",IF(COUNTIFS(Historial!$B$3:$B$502,$A57,Historial!$C$3:$C$502,$B57,Historial!$G$3:$G$502,O$4,Historial!$H$3:$H$502,$B$2)&gt;0,"✓",""))</f>
        <v/>
      </c>
      <c r="P58" s="29" t="str">
        <f aca="false">IF($A57="","",IF(COUNTIFS(Historial!$B$3:$B$502,$A57,Historial!$C$3:$C$502,$B57,Historial!$G$3:$G$502,P$4,Historial!$H$3:$H$502,$B$2)&gt;0,"✓",""))</f>
        <v/>
      </c>
      <c r="Q58" s="29" t="str">
        <f aca="false">IF($A57="","",IF(COUNTIFS(Historial!$B$3:$B$502,$A57,Historial!$C$3:$C$502,$B57,Historial!$G$3:$G$502,Q$4,Historial!$H$3:$H$502,$B$2)&gt;0,"✓",""))</f>
        <v/>
      </c>
      <c r="R58" s="29" t="str">
        <f aca="false">IF($A57="","",IF(COUNTIFS(Historial!$B$3:$B$502,$A57,Historial!$C$3:$C$502,$B57,Historial!$G$3:$G$502,R$4,Historial!$H$3:$H$502,$B$2)&gt;0,"✓",""))</f>
        <v/>
      </c>
      <c r="S58" s="29" t="str">
        <f aca="false">IF($A57="","",IF(COUNTIFS(Historial!$B$3:$B$502,$A57,Historial!$C$3:$C$502,$B57,Historial!$G$3:$G$502,S$4,Historial!$H$3:$H$502,$B$2)&gt;0,"✓",""))</f>
        <v/>
      </c>
      <c r="T58" s="29" t="str">
        <f aca="false">IF($A57="","",IF(COUNTIFS(Historial!$B$3:$B$502,$A57,Historial!$C$3:$C$502,$B57,Historial!$G$3:$G$502,T$4,Historial!$H$3:$H$502,$B$2)&gt;0,"✓",""))</f>
        <v/>
      </c>
      <c r="U58" s="29" t="str">
        <f aca="false">IF($A57="","",IF(COUNTIFS(Historial!$B$3:$B$502,$A57,Historial!$C$3:$C$502,$B57,Historial!$G$3:$G$502,U$4,Historial!$H$3:$H$502,$B$2)&gt;0,"✓",""))</f>
        <v/>
      </c>
      <c r="V58" s="29" t="str">
        <f aca="false">IF($A57="","",IF(COUNTIFS(Historial!$B$3:$B$502,$A57,Historial!$C$3:$C$502,$B57,Historial!$G$3:$G$502,V$4,Historial!$H$3:$H$502,$B$2)&gt;0,"✓",""))</f>
        <v/>
      </c>
      <c r="W58" s="29" t="str">
        <f aca="false">IF($A57="","",IF(COUNTIFS(Historial!$B$3:$B$502,$A57,Historial!$C$3:$C$502,$B57,Historial!$G$3:$G$502,W$4,Historial!$H$3:$H$502,$B$2)&gt;0,"✓",""))</f>
        <v/>
      </c>
      <c r="X58" s="29" t="str">
        <f aca="false">IF($A57="","",IF(COUNTIFS(Historial!$B$3:$B$502,$A57,Historial!$C$3:$C$502,$B57,Historial!$G$3:$G$502,X$4,Historial!$H$3:$H$502,$B$2)&gt;0,"✓",""))</f>
        <v/>
      </c>
      <c r="Y58" s="29" t="str">
        <f aca="false">IF($A57="","",IF(COUNTIFS(Historial!$B$3:$B$502,$A57,Historial!$C$3:$C$502,$B57,Historial!$G$3:$G$502,Y$4,Historial!$H$3:$H$502,$B$2)&gt;0,"✓",""))</f>
        <v/>
      </c>
      <c r="Z58" s="29" t="str">
        <f aca="false">IF($A57="","",IF(COUNTIFS(Historial!$B$3:$B$502,$A57,Historial!$C$3:$C$502,$B57,Historial!$G$3:$G$502,Z$4,Historial!$H$3:$H$502,$B$2)&gt;0,"✓",""))</f>
        <v/>
      </c>
      <c r="AA58" s="29" t="str">
        <f aca="false">IF($A57="","",IF(COUNTIFS(Historial!$B$3:$B$502,$A57,Historial!$C$3:$C$502,$B57,Historial!$G$3:$G$502,AA$4,Historial!$H$3:$H$502,$B$2)&gt;0,"✓",""))</f>
        <v/>
      </c>
      <c r="AB58" s="29" t="str">
        <f aca="false">IF($A57="","",IF(COUNTIFS(Historial!$B$3:$B$502,$A57,Historial!$C$3:$C$502,$B57,Historial!$G$3:$G$502,AB$4,Historial!$H$3:$H$502,$B$2)&gt;0,"✓",""))</f>
        <v/>
      </c>
      <c r="AC58" s="29" t="str">
        <f aca="false">IF($A57="","",IF(COUNTIFS(Historial!$B$3:$B$502,$A57,Historial!$C$3:$C$502,$B57,Historial!$G$3:$G$502,AC$4,Historial!$H$3:$H$502,$B$2)&gt;0,"✓",""))</f>
        <v/>
      </c>
      <c r="AD58" s="29" t="str">
        <f aca="false">IF($A57="","",IF(COUNTIFS(Historial!$B$3:$B$502,$A57,Historial!$C$3:$C$502,$B57,Historial!$G$3:$G$502,AD$4,Historial!$H$3:$H$502,$B$2)&gt;0,"✓",""))</f>
        <v/>
      </c>
      <c r="AE58" s="29" t="str">
        <f aca="false">IF($A57="","",IF(COUNTIFS(Historial!$B$3:$B$502,$A57,Historial!$C$3:$C$502,$B57,Historial!$G$3:$G$502,AE$4,Historial!$H$3:$H$502,$B$2)&gt;0,"✓",""))</f>
        <v/>
      </c>
      <c r="AF58" s="29" t="str">
        <f aca="false">IF($A57="","",IF(COUNTIFS(Historial!$B$3:$B$502,$A57,Historial!$C$3:$C$502,$B57,Historial!$G$3:$G$502,AF$4,Historial!$H$3:$H$502,$B$2)&gt;0,"✓",""))</f>
        <v/>
      </c>
      <c r="AG58" s="29" t="str">
        <f aca="false">IF($A57="","",IF(COUNTIFS(Historial!$B$3:$B$502,$A57,Historial!$C$3:$C$502,$B57,Historial!$G$3:$G$502,AG$4,Historial!$H$3:$H$502,$B$2)&gt;0,"✓",""))</f>
        <v/>
      </c>
      <c r="AH58" s="29" t="str">
        <f aca="false">IF($A57="","",IF(COUNTIFS(Historial!$B$3:$B$502,$A57,Historial!$C$3:$C$502,$B57,Historial!$G$3:$G$502,AH$4,Historial!$H$3:$H$502,$B$2)&gt;0,"✓",""))</f>
        <v/>
      </c>
      <c r="AI58" s="29" t="str">
        <f aca="false">IF($A57="","",IF(COUNTIFS(Historial!$B$3:$B$502,$A57,Historial!$C$3:$C$502,$B57,Historial!$G$3:$G$502,AI$4,Historial!$H$3:$H$502,$B$2)&gt;0,"✓",""))</f>
        <v/>
      </c>
      <c r="AJ58" s="29" t="str">
        <f aca="false">IF($A57="","",IF(COUNTIFS(Historial!$B$3:$B$502,$A57,Historial!$C$3:$C$502,$B57,Historial!$G$3:$G$502,AJ$4,Historial!$H$3:$H$502,$B$2)&gt;0,"✓",""))</f>
        <v/>
      </c>
      <c r="AK58" s="29" t="str">
        <f aca="false">IF($A57="","",IF(COUNTIFS(Historial!$B$3:$B$502,$A57,Historial!$C$3:$C$502,$B57,Historial!$G$3:$G$502,AK$4,Historial!$H$3:$H$502,$B$2)&gt;0,"✓",""))</f>
        <v/>
      </c>
      <c r="AL58" s="29" t="str">
        <f aca="false">IF($A57="","",IF(COUNTIFS(Historial!$B$3:$B$502,$A57,Historial!$C$3:$C$502,$B57,Historial!$G$3:$G$502,AL$4,Historial!$H$3:$H$502,$B$2)&gt;0,"✓",""))</f>
        <v/>
      </c>
      <c r="AM58" s="29" t="str">
        <f aca="false">IF($A57="","",IF(COUNTIFS(Historial!$B$3:$B$502,$A57,Historial!$C$3:$C$502,$B57,Historial!$G$3:$G$502,AM$4,Historial!$H$3:$H$502,$B$2)&gt;0,"✓",""))</f>
        <v/>
      </c>
      <c r="AN58" s="29" t="str">
        <f aca="false">IF($A57="","",IF(COUNTIFS(Historial!$B$3:$B$502,$A57,Historial!$C$3:$C$502,$B57,Historial!$G$3:$G$502,AN$4,Historial!$H$3:$H$502,$B$2)&gt;0,"✓",""))</f>
        <v/>
      </c>
      <c r="AO58" s="29" t="str">
        <f aca="false">IF($A57="","",IF(COUNTIFS(Historial!$B$3:$B$502,$A57,Historial!$C$3:$C$502,$B57,Historial!$G$3:$G$502,AO$4,Historial!$H$3:$H$502,$B$2)&gt;0,"✓",""))</f>
        <v/>
      </c>
      <c r="AP58" s="29" t="str">
        <f aca="false">IF($A57="","",IF(COUNTIFS(Historial!$B$3:$B$502,$A57,Historial!$C$3:$C$502,$B57,Historial!$G$3:$G$502,AP$4,Historial!$H$3:$H$502,$B$2)&gt;0,"✓",""))</f>
        <v/>
      </c>
      <c r="AQ58" s="29" t="str">
        <f aca="false">IF($A57="","",IF(COUNTIFS(Historial!$B$3:$B$502,$A57,Historial!$C$3:$C$502,$B57,Historial!$G$3:$G$502,AQ$4,Historial!$H$3:$H$502,$B$2)&gt;0,"✓",""))</f>
        <v/>
      </c>
      <c r="AR58" s="29" t="str">
        <f aca="false">IF($A57="","",IF(COUNTIFS(Historial!$B$3:$B$502,$A57,Historial!$C$3:$C$502,$B57,Historial!$G$3:$G$502,AR$4,Historial!$H$3:$H$502,$B$2)&gt;0,"✓",""))</f>
        <v/>
      </c>
      <c r="AS58" s="29" t="str">
        <f aca="false">IF($A57="","",IF(COUNTIFS(Historial!$B$3:$B$502,$A57,Historial!$C$3:$C$502,$B57,Historial!$G$3:$G$502,AS$4,Historial!$H$3:$H$502,$B$2)&gt;0,"✓",""))</f>
        <v/>
      </c>
      <c r="AT58" s="29" t="str">
        <f aca="false">IF($A57="","",IF(COUNTIFS(Historial!$B$3:$B$502,$A57,Historial!$C$3:$C$502,$B57,Historial!$G$3:$G$502,AT$4,Historial!$H$3:$H$502,$B$2)&gt;0,"✓",""))</f>
        <v/>
      </c>
      <c r="AU58" s="29" t="str">
        <f aca="false">IF($A57="","",IF(COUNTIFS(Historial!$B$3:$B$502,$A57,Historial!$C$3:$C$502,$B57,Historial!$G$3:$G$502,AU$4,Historial!$H$3:$H$502,$B$2)&gt;0,"✓",""))</f>
        <v/>
      </c>
      <c r="AV58" s="29" t="str">
        <f aca="false">IF($A57="","",IF(COUNTIFS(Historial!$B$3:$B$502,$A57,Historial!$C$3:$C$502,$B57,Historial!$G$3:$G$502,AV$4,Historial!$H$3:$H$502,$B$2)&gt;0,"✓",""))</f>
        <v/>
      </c>
      <c r="AW58" s="29" t="str">
        <f aca="false">IF($A57="","",IF(COUNTIFS(Historial!$B$3:$B$502,$A57,Historial!$C$3:$C$502,$B57,Historial!$G$3:$G$502,AW$4,Historial!$H$3:$H$502,$B$2)&gt;0,"✓",""))</f>
        <v/>
      </c>
      <c r="AX58" s="29" t="str">
        <f aca="false">IF($A57="","",IF(COUNTIFS(Historial!$B$3:$B$502,$A57,Historial!$C$3:$C$502,$B57,Historial!$G$3:$G$502,AX$4,Historial!$H$3:$H$502,$B$2)&gt;0,"✓",""))</f>
        <v/>
      </c>
      <c r="AY58" s="29" t="str">
        <f aca="false">IF($A57="","",IF(COUNTIFS(Historial!$B$3:$B$502,$A57,Historial!$C$3:$C$502,$B57,Historial!$G$3:$G$502,AY$4,Historial!$H$3:$H$502,$B$2)&gt;0,"✓",""))</f>
        <v/>
      </c>
      <c r="AZ58" s="29" t="str">
        <f aca="false">IF($A57="","",IF(COUNTIFS(Historial!$B$3:$B$502,$A57,Historial!$C$3:$C$502,$B57,Historial!$G$3:$G$502,AZ$4,Historial!$H$3:$H$502,$B$2)&gt;0,"✓",""))</f>
        <v/>
      </c>
      <c r="BA58" s="29" t="str">
        <f aca="false">IF($A57="","",IF(COUNTIFS(Historial!$B$3:$B$502,$A57,Historial!$C$3:$C$502,$B57,Historial!$G$3:$G$502,BA$4,Historial!$H$3:$H$502,$B$2)&gt;0,"✓",""))</f>
        <v/>
      </c>
      <c r="BB58" s="29" t="str">
        <f aca="false">IF($A57="","",IF(COUNTIFS(Historial!$B$3:$B$502,$A57,Historial!$C$3:$C$502,$B57,Historial!$G$3:$G$502,BB$4,Historial!$H$3:$H$502,$B$2)&gt;0,"✓",""))</f>
        <v/>
      </c>
      <c r="BC58" s="29" t="str">
        <f aca="false">IF($A57="","",IF(COUNTIFS(Historial!$B$3:$B$502,$A57,Historial!$C$3:$C$502,$B57,Historial!$G$3:$G$502,BC$4,Historial!$H$3:$H$502,$B$2)&gt;0,"✓",""))</f>
        <v/>
      </c>
      <c r="BD58" s="29"/>
      <c r="BE58" s="29"/>
      <c r="BF58" s="29"/>
    </row>
    <row r="59" customFormat="false" ht="15" hidden="false" customHeight="false" outlineLevel="0" collapsed="false">
      <c r="A59" s="24" t="str">
        <f aca="false">IF(Actividades!$B30="","",Actividades!$B30)</f>
        <v/>
      </c>
      <c r="B59" s="24" t="str">
        <f aca="false">IF(Actividades!$C30="","",Actividades!$C30)</f>
        <v/>
      </c>
      <c r="C59" s="24" t="str">
        <f aca="false">IF($A59="","","Plan")</f>
        <v/>
      </c>
      <c r="D59" s="25" t="str">
        <f aca="false">IF($A59="","",IF(AND(N(Actividades!$E30)&gt;0,D$4&gt;=Actividades!$E30,MOD(D$4-Actividades!$E30,IFERROR(VLOOKUP(Actividades!$D30,Listas!$A$2:$B$8,2,0),52))=0),"P",""))</f>
        <v/>
      </c>
      <c r="E59" s="25" t="str">
        <f aca="false">IF($A59="","",IF(AND(N(Actividades!$E30)&gt;0,E$4&gt;=Actividades!$E30,MOD(E$4-Actividades!$E30,IFERROR(VLOOKUP(Actividades!$D30,Listas!$A$2:$B$8,2,0),52))=0),"P",""))</f>
        <v/>
      </c>
      <c r="F59" s="25" t="str">
        <f aca="false">IF($A59="","",IF(AND(N(Actividades!$E30)&gt;0,F$4&gt;=Actividades!$E30,MOD(F$4-Actividades!$E30,IFERROR(VLOOKUP(Actividades!$D30,Listas!$A$2:$B$8,2,0),52))=0),"P",""))</f>
        <v/>
      </c>
      <c r="G59" s="25" t="str">
        <f aca="false">IF($A59="","",IF(AND(N(Actividades!$E30)&gt;0,G$4&gt;=Actividades!$E30,MOD(G$4-Actividades!$E30,IFERROR(VLOOKUP(Actividades!$D30,Listas!$A$2:$B$8,2,0),52))=0),"P",""))</f>
        <v/>
      </c>
      <c r="H59" s="25" t="str">
        <f aca="false">IF($A59="","",IF(AND(N(Actividades!$E30)&gt;0,H$4&gt;=Actividades!$E30,MOD(H$4-Actividades!$E30,IFERROR(VLOOKUP(Actividades!$D30,Listas!$A$2:$B$8,2,0),52))=0),"P",""))</f>
        <v/>
      </c>
      <c r="I59" s="25" t="str">
        <f aca="false">IF($A59="","",IF(AND(N(Actividades!$E30)&gt;0,I$4&gt;=Actividades!$E30,MOD(I$4-Actividades!$E30,IFERROR(VLOOKUP(Actividades!$D30,Listas!$A$2:$B$8,2,0),52))=0),"P",""))</f>
        <v/>
      </c>
      <c r="J59" s="25" t="str">
        <f aca="false">IF($A59="","",IF(AND(N(Actividades!$E30)&gt;0,J$4&gt;=Actividades!$E30,MOD(J$4-Actividades!$E30,IFERROR(VLOOKUP(Actividades!$D30,Listas!$A$2:$B$8,2,0),52))=0),"P",""))</f>
        <v/>
      </c>
      <c r="K59" s="25" t="str">
        <f aca="false">IF($A59="","",IF(AND(N(Actividades!$E30)&gt;0,K$4&gt;=Actividades!$E30,MOD(K$4-Actividades!$E30,IFERROR(VLOOKUP(Actividades!$D30,Listas!$A$2:$B$8,2,0),52))=0),"P",""))</f>
        <v/>
      </c>
      <c r="L59" s="25" t="str">
        <f aca="false">IF($A59="","",IF(AND(N(Actividades!$E30)&gt;0,L$4&gt;=Actividades!$E30,MOD(L$4-Actividades!$E30,IFERROR(VLOOKUP(Actividades!$D30,Listas!$A$2:$B$8,2,0),52))=0),"P",""))</f>
        <v/>
      </c>
      <c r="M59" s="25" t="str">
        <f aca="false">IF($A59="","",IF(AND(N(Actividades!$E30)&gt;0,M$4&gt;=Actividades!$E30,MOD(M$4-Actividades!$E30,IFERROR(VLOOKUP(Actividades!$D30,Listas!$A$2:$B$8,2,0),52))=0),"P",""))</f>
        <v/>
      </c>
      <c r="N59" s="25" t="str">
        <f aca="false">IF($A59="","",IF(AND(N(Actividades!$E30)&gt;0,N$4&gt;=Actividades!$E30,MOD(N$4-Actividades!$E30,IFERROR(VLOOKUP(Actividades!$D30,Listas!$A$2:$B$8,2,0),52))=0),"P",""))</f>
        <v/>
      </c>
      <c r="O59" s="25" t="str">
        <f aca="false">IF($A59="","",IF(AND(N(Actividades!$E30)&gt;0,O$4&gt;=Actividades!$E30,MOD(O$4-Actividades!$E30,IFERROR(VLOOKUP(Actividades!$D30,Listas!$A$2:$B$8,2,0),52))=0),"P",""))</f>
        <v/>
      </c>
      <c r="P59" s="25" t="str">
        <f aca="false">IF($A59="","",IF(AND(N(Actividades!$E30)&gt;0,P$4&gt;=Actividades!$E30,MOD(P$4-Actividades!$E30,IFERROR(VLOOKUP(Actividades!$D30,Listas!$A$2:$B$8,2,0),52))=0),"P",""))</f>
        <v/>
      </c>
      <c r="Q59" s="25" t="str">
        <f aca="false">IF($A59="","",IF(AND(N(Actividades!$E30)&gt;0,Q$4&gt;=Actividades!$E30,MOD(Q$4-Actividades!$E30,IFERROR(VLOOKUP(Actividades!$D30,Listas!$A$2:$B$8,2,0),52))=0),"P",""))</f>
        <v/>
      </c>
      <c r="R59" s="25" t="str">
        <f aca="false">IF($A59="","",IF(AND(N(Actividades!$E30)&gt;0,R$4&gt;=Actividades!$E30,MOD(R$4-Actividades!$E30,IFERROR(VLOOKUP(Actividades!$D30,Listas!$A$2:$B$8,2,0),52))=0),"P",""))</f>
        <v/>
      </c>
      <c r="S59" s="25" t="str">
        <f aca="false">IF($A59="","",IF(AND(N(Actividades!$E30)&gt;0,S$4&gt;=Actividades!$E30,MOD(S$4-Actividades!$E30,IFERROR(VLOOKUP(Actividades!$D30,Listas!$A$2:$B$8,2,0),52))=0),"P",""))</f>
        <v/>
      </c>
      <c r="T59" s="25" t="str">
        <f aca="false">IF($A59="","",IF(AND(N(Actividades!$E30)&gt;0,T$4&gt;=Actividades!$E30,MOD(T$4-Actividades!$E30,IFERROR(VLOOKUP(Actividades!$D30,Listas!$A$2:$B$8,2,0),52))=0),"P",""))</f>
        <v/>
      </c>
      <c r="U59" s="25" t="str">
        <f aca="false">IF($A59="","",IF(AND(N(Actividades!$E30)&gt;0,U$4&gt;=Actividades!$E30,MOD(U$4-Actividades!$E30,IFERROR(VLOOKUP(Actividades!$D30,Listas!$A$2:$B$8,2,0),52))=0),"P",""))</f>
        <v/>
      </c>
      <c r="V59" s="25" t="str">
        <f aca="false">IF($A59="","",IF(AND(N(Actividades!$E30)&gt;0,V$4&gt;=Actividades!$E30,MOD(V$4-Actividades!$E30,IFERROR(VLOOKUP(Actividades!$D30,Listas!$A$2:$B$8,2,0),52))=0),"P",""))</f>
        <v/>
      </c>
      <c r="W59" s="25" t="str">
        <f aca="false">IF($A59="","",IF(AND(N(Actividades!$E30)&gt;0,W$4&gt;=Actividades!$E30,MOD(W$4-Actividades!$E30,IFERROR(VLOOKUP(Actividades!$D30,Listas!$A$2:$B$8,2,0),52))=0),"P",""))</f>
        <v/>
      </c>
      <c r="X59" s="25" t="str">
        <f aca="false">IF($A59="","",IF(AND(N(Actividades!$E30)&gt;0,X$4&gt;=Actividades!$E30,MOD(X$4-Actividades!$E30,IFERROR(VLOOKUP(Actividades!$D30,Listas!$A$2:$B$8,2,0),52))=0),"P",""))</f>
        <v/>
      </c>
      <c r="Y59" s="25" t="str">
        <f aca="false">IF($A59="","",IF(AND(N(Actividades!$E30)&gt;0,Y$4&gt;=Actividades!$E30,MOD(Y$4-Actividades!$E30,IFERROR(VLOOKUP(Actividades!$D30,Listas!$A$2:$B$8,2,0),52))=0),"P",""))</f>
        <v/>
      </c>
      <c r="Z59" s="25" t="str">
        <f aca="false">IF($A59="","",IF(AND(N(Actividades!$E30)&gt;0,Z$4&gt;=Actividades!$E30,MOD(Z$4-Actividades!$E30,IFERROR(VLOOKUP(Actividades!$D30,Listas!$A$2:$B$8,2,0),52))=0),"P",""))</f>
        <v/>
      </c>
      <c r="AA59" s="25" t="str">
        <f aca="false">IF($A59="","",IF(AND(N(Actividades!$E30)&gt;0,AA$4&gt;=Actividades!$E30,MOD(AA$4-Actividades!$E30,IFERROR(VLOOKUP(Actividades!$D30,Listas!$A$2:$B$8,2,0),52))=0),"P",""))</f>
        <v/>
      </c>
      <c r="AB59" s="25" t="str">
        <f aca="false">IF($A59="","",IF(AND(N(Actividades!$E30)&gt;0,AB$4&gt;=Actividades!$E30,MOD(AB$4-Actividades!$E30,IFERROR(VLOOKUP(Actividades!$D30,Listas!$A$2:$B$8,2,0),52))=0),"P",""))</f>
        <v/>
      </c>
      <c r="AC59" s="25" t="str">
        <f aca="false">IF($A59="","",IF(AND(N(Actividades!$E30)&gt;0,AC$4&gt;=Actividades!$E30,MOD(AC$4-Actividades!$E30,IFERROR(VLOOKUP(Actividades!$D30,Listas!$A$2:$B$8,2,0),52))=0),"P",""))</f>
        <v/>
      </c>
      <c r="AD59" s="25" t="str">
        <f aca="false">IF($A59="","",IF(AND(N(Actividades!$E30)&gt;0,AD$4&gt;=Actividades!$E30,MOD(AD$4-Actividades!$E30,IFERROR(VLOOKUP(Actividades!$D30,Listas!$A$2:$B$8,2,0),52))=0),"P",""))</f>
        <v/>
      </c>
      <c r="AE59" s="25" t="str">
        <f aca="false">IF($A59="","",IF(AND(N(Actividades!$E30)&gt;0,AE$4&gt;=Actividades!$E30,MOD(AE$4-Actividades!$E30,IFERROR(VLOOKUP(Actividades!$D30,Listas!$A$2:$B$8,2,0),52))=0),"P",""))</f>
        <v/>
      </c>
      <c r="AF59" s="25" t="str">
        <f aca="false">IF($A59="","",IF(AND(N(Actividades!$E30)&gt;0,AF$4&gt;=Actividades!$E30,MOD(AF$4-Actividades!$E30,IFERROR(VLOOKUP(Actividades!$D30,Listas!$A$2:$B$8,2,0),52))=0),"P",""))</f>
        <v/>
      </c>
      <c r="AG59" s="25" t="str">
        <f aca="false">IF($A59="","",IF(AND(N(Actividades!$E30)&gt;0,AG$4&gt;=Actividades!$E30,MOD(AG$4-Actividades!$E30,IFERROR(VLOOKUP(Actividades!$D30,Listas!$A$2:$B$8,2,0),52))=0),"P",""))</f>
        <v/>
      </c>
      <c r="AH59" s="25" t="str">
        <f aca="false">IF($A59="","",IF(AND(N(Actividades!$E30)&gt;0,AH$4&gt;=Actividades!$E30,MOD(AH$4-Actividades!$E30,IFERROR(VLOOKUP(Actividades!$D30,Listas!$A$2:$B$8,2,0),52))=0),"P",""))</f>
        <v/>
      </c>
      <c r="AI59" s="25" t="str">
        <f aca="false">IF($A59="","",IF(AND(N(Actividades!$E30)&gt;0,AI$4&gt;=Actividades!$E30,MOD(AI$4-Actividades!$E30,IFERROR(VLOOKUP(Actividades!$D30,Listas!$A$2:$B$8,2,0),52))=0),"P",""))</f>
        <v/>
      </c>
      <c r="AJ59" s="25" t="str">
        <f aca="false">IF($A59="","",IF(AND(N(Actividades!$E30)&gt;0,AJ$4&gt;=Actividades!$E30,MOD(AJ$4-Actividades!$E30,IFERROR(VLOOKUP(Actividades!$D30,Listas!$A$2:$B$8,2,0),52))=0),"P",""))</f>
        <v/>
      </c>
      <c r="AK59" s="25" t="str">
        <f aca="false">IF($A59="","",IF(AND(N(Actividades!$E30)&gt;0,AK$4&gt;=Actividades!$E30,MOD(AK$4-Actividades!$E30,IFERROR(VLOOKUP(Actividades!$D30,Listas!$A$2:$B$8,2,0),52))=0),"P",""))</f>
        <v/>
      </c>
      <c r="AL59" s="25" t="str">
        <f aca="false">IF($A59="","",IF(AND(N(Actividades!$E30)&gt;0,AL$4&gt;=Actividades!$E30,MOD(AL$4-Actividades!$E30,IFERROR(VLOOKUP(Actividades!$D30,Listas!$A$2:$B$8,2,0),52))=0),"P",""))</f>
        <v/>
      </c>
      <c r="AM59" s="25" t="str">
        <f aca="false">IF($A59="","",IF(AND(N(Actividades!$E30)&gt;0,AM$4&gt;=Actividades!$E30,MOD(AM$4-Actividades!$E30,IFERROR(VLOOKUP(Actividades!$D30,Listas!$A$2:$B$8,2,0),52))=0),"P",""))</f>
        <v/>
      </c>
      <c r="AN59" s="25" t="str">
        <f aca="false">IF($A59="","",IF(AND(N(Actividades!$E30)&gt;0,AN$4&gt;=Actividades!$E30,MOD(AN$4-Actividades!$E30,IFERROR(VLOOKUP(Actividades!$D30,Listas!$A$2:$B$8,2,0),52))=0),"P",""))</f>
        <v/>
      </c>
      <c r="AO59" s="25" t="str">
        <f aca="false">IF($A59="","",IF(AND(N(Actividades!$E30)&gt;0,AO$4&gt;=Actividades!$E30,MOD(AO$4-Actividades!$E30,IFERROR(VLOOKUP(Actividades!$D30,Listas!$A$2:$B$8,2,0),52))=0),"P",""))</f>
        <v/>
      </c>
      <c r="AP59" s="25" t="str">
        <f aca="false">IF($A59="","",IF(AND(N(Actividades!$E30)&gt;0,AP$4&gt;=Actividades!$E30,MOD(AP$4-Actividades!$E30,IFERROR(VLOOKUP(Actividades!$D30,Listas!$A$2:$B$8,2,0),52))=0),"P",""))</f>
        <v/>
      </c>
      <c r="AQ59" s="25" t="str">
        <f aca="false">IF($A59="","",IF(AND(N(Actividades!$E30)&gt;0,AQ$4&gt;=Actividades!$E30,MOD(AQ$4-Actividades!$E30,IFERROR(VLOOKUP(Actividades!$D30,Listas!$A$2:$B$8,2,0),52))=0),"P",""))</f>
        <v/>
      </c>
      <c r="AR59" s="25" t="str">
        <f aca="false">IF($A59="","",IF(AND(N(Actividades!$E30)&gt;0,AR$4&gt;=Actividades!$E30,MOD(AR$4-Actividades!$E30,IFERROR(VLOOKUP(Actividades!$D30,Listas!$A$2:$B$8,2,0),52))=0),"P",""))</f>
        <v/>
      </c>
      <c r="AS59" s="25" t="str">
        <f aca="false">IF($A59="","",IF(AND(N(Actividades!$E30)&gt;0,AS$4&gt;=Actividades!$E30,MOD(AS$4-Actividades!$E30,IFERROR(VLOOKUP(Actividades!$D30,Listas!$A$2:$B$8,2,0),52))=0),"P",""))</f>
        <v/>
      </c>
      <c r="AT59" s="25" t="str">
        <f aca="false">IF($A59="","",IF(AND(N(Actividades!$E30)&gt;0,AT$4&gt;=Actividades!$E30,MOD(AT$4-Actividades!$E30,IFERROR(VLOOKUP(Actividades!$D30,Listas!$A$2:$B$8,2,0),52))=0),"P",""))</f>
        <v/>
      </c>
      <c r="AU59" s="25" t="str">
        <f aca="false">IF($A59="","",IF(AND(N(Actividades!$E30)&gt;0,AU$4&gt;=Actividades!$E30,MOD(AU$4-Actividades!$E30,IFERROR(VLOOKUP(Actividades!$D30,Listas!$A$2:$B$8,2,0),52))=0),"P",""))</f>
        <v/>
      </c>
      <c r="AV59" s="25" t="str">
        <f aca="false">IF($A59="","",IF(AND(N(Actividades!$E30)&gt;0,AV$4&gt;=Actividades!$E30,MOD(AV$4-Actividades!$E30,IFERROR(VLOOKUP(Actividades!$D30,Listas!$A$2:$B$8,2,0),52))=0),"P",""))</f>
        <v/>
      </c>
      <c r="AW59" s="25" t="str">
        <f aca="false">IF($A59="","",IF(AND(N(Actividades!$E30)&gt;0,AW$4&gt;=Actividades!$E30,MOD(AW$4-Actividades!$E30,IFERROR(VLOOKUP(Actividades!$D30,Listas!$A$2:$B$8,2,0),52))=0),"P",""))</f>
        <v/>
      </c>
      <c r="AX59" s="25" t="str">
        <f aca="false">IF($A59="","",IF(AND(N(Actividades!$E30)&gt;0,AX$4&gt;=Actividades!$E30,MOD(AX$4-Actividades!$E30,IFERROR(VLOOKUP(Actividades!$D30,Listas!$A$2:$B$8,2,0),52))=0),"P",""))</f>
        <v/>
      </c>
      <c r="AY59" s="25" t="str">
        <f aca="false">IF($A59="","",IF(AND(N(Actividades!$E30)&gt;0,AY$4&gt;=Actividades!$E30,MOD(AY$4-Actividades!$E30,IFERROR(VLOOKUP(Actividades!$D30,Listas!$A$2:$B$8,2,0),52))=0),"P",""))</f>
        <v/>
      </c>
      <c r="AZ59" s="25" t="str">
        <f aca="false">IF($A59="","",IF(AND(N(Actividades!$E30)&gt;0,AZ$4&gt;=Actividades!$E30,MOD(AZ$4-Actividades!$E30,IFERROR(VLOOKUP(Actividades!$D30,Listas!$A$2:$B$8,2,0),52))=0),"P",""))</f>
        <v/>
      </c>
      <c r="BA59" s="25" t="str">
        <f aca="false">IF($A59="","",IF(AND(N(Actividades!$E30)&gt;0,BA$4&gt;=Actividades!$E30,MOD(BA$4-Actividades!$E30,IFERROR(VLOOKUP(Actividades!$D30,Listas!$A$2:$B$8,2,0),52))=0),"P",""))</f>
        <v/>
      </c>
      <c r="BB59" s="25" t="str">
        <f aca="false">IF($A59="","",IF(AND(N(Actividades!$E30)&gt;0,BB$4&gt;=Actividades!$E30,MOD(BB$4-Actividades!$E30,IFERROR(VLOOKUP(Actividades!$D30,Listas!$A$2:$B$8,2,0),52))=0),"P",""))</f>
        <v/>
      </c>
      <c r="BC59" s="25" t="str">
        <f aca="false">IF($A59="","",IF(AND(N(Actividades!$E30)&gt;0,BC$4&gt;=Actividades!$E30,MOD(BC$4-Actividades!$E30,IFERROR(VLOOKUP(Actividades!$D30,Listas!$A$2:$B$8,2,0),52))=0),"P",""))</f>
        <v/>
      </c>
      <c r="BD59" s="26" t="str">
        <f aca="false">IF($A59="","",COUNTIF(D59:BC59,"P"))</f>
        <v/>
      </c>
      <c r="BE59" s="26" t="str">
        <f aca="false">IF($A59="","",SUMPRODUCT((D59:BC59="P")*(D60:BC60="✓")))</f>
        <v/>
      </c>
      <c r="BF59" s="27" t="str">
        <f aca="false">IF($A59="","",IF(BD59=0,"",BE59/BD59))</f>
        <v/>
      </c>
    </row>
    <row r="60" customFormat="false" ht="15" hidden="false" customHeight="false" outlineLevel="0" collapsed="false">
      <c r="A60" s="28"/>
      <c r="B60" s="28"/>
      <c r="C60" s="28" t="str">
        <f aca="false">IF($A59="","","Real")</f>
        <v/>
      </c>
      <c r="D60" s="29" t="str">
        <f aca="false">IF($A59="","",IF(COUNTIFS(Historial!$B$3:$B$502,$A59,Historial!$C$3:$C$502,$B59,Historial!$G$3:$G$502,D$4,Historial!$H$3:$H$502,$B$2)&gt;0,"✓",""))</f>
        <v/>
      </c>
      <c r="E60" s="29" t="str">
        <f aca="false">IF($A59="","",IF(COUNTIFS(Historial!$B$3:$B$502,$A59,Historial!$C$3:$C$502,$B59,Historial!$G$3:$G$502,E$4,Historial!$H$3:$H$502,$B$2)&gt;0,"✓",""))</f>
        <v/>
      </c>
      <c r="F60" s="29" t="str">
        <f aca="false">IF($A59="","",IF(COUNTIFS(Historial!$B$3:$B$502,$A59,Historial!$C$3:$C$502,$B59,Historial!$G$3:$G$502,F$4,Historial!$H$3:$H$502,$B$2)&gt;0,"✓",""))</f>
        <v/>
      </c>
      <c r="G60" s="29" t="str">
        <f aca="false">IF($A59="","",IF(COUNTIFS(Historial!$B$3:$B$502,$A59,Historial!$C$3:$C$502,$B59,Historial!$G$3:$G$502,G$4,Historial!$H$3:$H$502,$B$2)&gt;0,"✓",""))</f>
        <v/>
      </c>
      <c r="H60" s="29" t="str">
        <f aca="false">IF($A59="","",IF(COUNTIFS(Historial!$B$3:$B$502,$A59,Historial!$C$3:$C$502,$B59,Historial!$G$3:$G$502,H$4,Historial!$H$3:$H$502,$B$2)&gt;0,"✓",""))</f>
        <v/>
      </c>
      <c r="I60" s="29" t="str">
        <f aca="false">IF($A59="","",IF(COUNTIFS(Historial!$B$3:$B$502,$A59,Historial!$C$3:$C$502,$B59,Historial!$G$3:$G$502,I$4,Historial!$H$3:$H$502,$B$2)&gt;0,"✓",""))</f>
        <v/>
      </c>
      <c r="J60" s="29" t="str">
        <f aca="false">IF($A59="","",IF(COUNTIFS(Historial!$B$3:$B$502,$A59,Historial!$C$3:$C$502,$B59,Historial!$G$3:$G$502,J$4,Historial!$H$3:$H$502,$B$2)&gt;0,"✓",""))</f>
        <v/>
      </c>
      <c r="K60" s="29" t="str">
        <f aca="false">IF($A59="","",IF(COUNTIFS(Historial!$B$3:$B$502,$A59,Historial!$C$3:$C$502,$B59,Historial!$G$3:$G$502,K$4,Historial!$H$3:$H$502,$B$2)&gt;0,"✓",""))</f>
        <v/>
      </c>
      <c r="L60" s="29" t="str">
        <f aca="false">IF($A59="","",IF(COUNTIFS(Historial!$B$3:$B$502,$A59,Historial!$C$3:$C$502,$B59,Historial!$G$3:$G$502,L$4,Historial!$H$3:$H$502,$B$2)&gt;0,"✓",""))</f>
        <v/>
      </c>
      <c r="M60" s="29" t="str">
        <f aca="false">IF($A59="","",IF(COUNTIFS(Historial!$B$3:$B$502,$A59,Historial!$C$3:$C$502,$B59,Historial!$G$3:$G$502,M$4,Historial!$H$3:$H$502,$B$2)&gt;0,"✓",""))</f>
        <v/>
      </c>
      <c r="N60" s="29" t="str">
        <f aca="false">IF($A59="","",IF(COUNTIFS(Historial!$B$3:$B$502,$A59,Historial!$C$3:$C$502,$B59,Historial!$G$3:$G$502,N$4,Historial!$H$3:$H$502,$B$2)&gt;0,"✓",""))</f>
        <v/>
      </c>
      <c r="O60" s="29" t="str">
        <f aca="false">IF($A59="","",IF(COUNTIFS(Historial!$B$3:$B$502,$A59,Historial!$C$3:$C$502,$B59,Historial!$G$3:$G$502,O$4,Historial!$H$3:$H$502,$B$2)&gt;0,"✓",""))</f>
        <v/>
      </c>
      <c r="P60" s="29" t="str">
        <f aca="false">IF($A59="","",IF(COUNTIFS(Historial!$B$3:$B$502,$A59,Historial!$C$3:$C$502,$B59,Historial!$G$3:$G$502,P$4,Historial!$H$3:$H$502,$B$2)&gt;0,"✓",""))</f>
        <v/>
      </c>
      <c r="Q60" s="29" t="str">
        <f aca="false">IF($A59="","",IF(COUNTIFS(Historial!$B$3:$B$502,$A59,Historial!$C$3:$C$502,$B59,Historial!$G$3:$G$502,Q$4,Historial!$H$3:$H$502,$B$2)&gt;0,"✓",""))</f>
        <v/>
      </c>
      <c r="R60" s="29" t="str">
        <f aca="false">IF($A59="","",IF(COUNTIFS(Historial!$B$3:$B$502,$A59,Historial!$C$3:$C$502,$B59,Historial!$G$3:$G$502,R$4,Historial!$H$3:$H$502,$B$2)&gt;0,"✓",""))</f>
        <v/>
      </c>
      <c r="S60" s="29" t="str">
        <f aca="false">IF($A59="","",IF(COUNTIFS(Historial!$B$3:$B$502,$A59,Historial!$C$3:$C$502,$B59,Historial!$G$3:$G$502,S$4,Historial!$H$3:$H$502,$B$2)&gt;0,"✓",""))</f>
        <v/>
      </c>
      <c r="T60" s="29" t="str">
        <f aca="false">IF($A59="","",IF(COUNTIFS(Historial!$B$3:$B$502,$A59,Historial!$C$3:$C$502,$B59,Historial!$G$3:$G$502,T$4,Historial!$H$3:$H$502,$B$2)&gt;0,"✓",""))</f>
        <v/>
      </c>
      <c r="U60" s="29" t="str">
        <f aca="false">IF($A59="","",IF(COUNTIFS(Historial!$B$3:$B$502,$A59,Historial!$C$3:$C$502,$B59,Historial!$G$3:$G$502,U$4,Historial!$H$3:$H$502,$B$2)&gt;0,"✓",""))</f>
        <v/>
      </c>
      <c r="V60" s="29" t="str">
        <f aca="false">IF($A59="","",IF(COUNTIFS(Historial!$B$3:$B$502,$A59,Historial!$C$3:$C$502,$B59,Historial!$G$3:$G$502,V$4,Historial!$H$3:$H$502,$B$2)&gt;0,"✓",""))</f>
        <v/>
      </c>
      <c r="W60" s="29" t="str">
        <f aca="false">IF($A59="","",IF(COUNTIFS(Historial!$B$3:$B$502,$A59,Historial!$C$3:$C$502,$B59,Historial!$G$3:$G$502,W$4,Historial!$H$3:$H$502,$B$2)&gt;0,"✓",""))</f>
        <v/>
      </c>
      <c r="X60" s="29" t="str">
        <f aca="false">IF($A59="","",IF(COUNTIFS(Historial!$B$3:$B$502,$A59,Historial!$C$3:$C$502,$B59,Historial!$G$3:$G$502,X$4,Historial!$H$3:$H$502,$B$2)&gt;0,"✓",""))</f>
        <v/>
      </c>
      <c r="Y60" s="29" t="str">
        <f aca="false">IF($A59="","",IF(COUNTIFS(Historial!$B$3:$B$502,$A59,Historial!$C$3:$C$502,$B59,Historial!$G$3:$G$502,Y$4,Historial!$H$3:$H$502,$B$2)&gt;0,"✓",""))</f>
        <v/>
      </c>
      <c r="Z60" s="29" t="str">
        <f aca="false">IF($A59="","",IF(COUNTIFS(Historial!$B$3:$B$502,$A59,Historial!$C$3:$C$502,$B59,Historial!$G$3:$G$502,Z$4,Historial!$H$3:$H$502,$B$2)&gt;0,"✓",""))</f>
        <v/>
      </c>
      <c r="AA60" s="29" t="str">
        <f aca="false">IF($A59="","",IF(COUNTIFS(Historial!$B$3:$B$502,$A59,Historial!$C$3:$C$502,$B59,Historial!$G$3:$G$502,AA$4,Historial!$H$3:$H$502,$B$2)&gt;0,"✓",""))</f>
        <v/>
      </c>
      <c r="AB60" s="29" t="str">
        <f aca="false">IF($A59="","",IF(COUNTIFS(Historial!$B$3:$B$502,$A59,Historial!$C$3:$C$502,$B59,Historial!$G$3:$G$502,AB$4,Historial!$H$3:$H$502,$B$2)&gt;0,"✓",""))</f>
        <v/>
      </c>
      <c r="AC60" s="29" t="str">
        <f aca="false">IF($A59="","",IF(COUNTIFS(Historial!$B$3:$B$502,$A59,Historial!$C$3:$C$502,$B59,Historial!$G$3:$G$502,AC$4,Historial!$H$3:$H$502,$B$2)&gt;0,"✓",""))</f>
        <v/>
      </c>
      <c r="AD60" s="29" t="str">
        <f aca="false">IF($A59="","",IF(COUNTIFS(Historial!$B$3:$B$502,$A59,Historial!$C$3:$C$502,$B59,Historial!$G$3:$G$502,AD$4,Historial!$H$3:$H$502,$B$2)&gt;0,"✓",""))</f>
        <v/>
      </c>
      <c r="AE60" s="29" t="str">
        <f aca="false">IF($A59="","",IF(COUNTIFS(Historial!$B$3:$B$502,$A59,Historial!$C$3:$C$502,$B59,Historial!$G$3:$G$502,AE$4,Historial!$H$3:$H$502,$B$2)&gt;0,"✓",""))</f>
        <v/>
      </c>
      <c r="AF60" s="29" t="str">
        <f aca="false">IF($A59="","",IF(COUNTIFS(Historial!$B$3:$B$502,$A59,Historial!$C$3:$C$502,$B59,Historial!$G$3:$G$502,AF$4,Historial!$H$3:$H$502,$B$2)&gt;0,"✓",""))</f>
        <v/>
      </c>
      <c r="AG60" s="29" t="str">
        <f aca="false">IF($A59="","",IF(COUNTIFS(Historial!$B$3:$B$502,$A59,Historial!$C$3:$C$502,$B59,Historial!$G$3:$G$502,AG$4,Historial!$H$3:$H$502,$B$2)&gt;0,"✓",""))</f>
        <v/>
      </c>
      <c r="AH60" s="29" t="str">
        <f aca="false">IF($A59="","",IF(COUNTIFS(Historial!$B$3:$B$502,$A59,Historial!$C$3:$C$502,$B59,Historial!$G$3:$G$502,AH$4,Historial!$H$3:$H$502,$B$2)&gt;0,"✓",""))</f>
        <v/>
      </c>
      <c r="AI60" s="29" t="str">
        <f aca="false">IF($A59="","",IF(COUNTIFS(Historial!$B$3:$B$502,$A59,Historial!$C$3:$C$502,$B59,Historial!$G$3:$G$502,AI$4,Historial!$H$3:$H$502,$B$2)&gt;0,"✓",""))</f>
        <v/>
      </c>
      <c r="AJ60" s="29" t="str">
        <f aca="false">IF($A59="","",IF(COUNTIFS(Historial!$B$3:$B$502,$A59,Historial!$C$3:$C$502,$B59,Historial!$G$3:$G$502,AJ$4,Historial!$H$3:$H$502,$B$2)&gt;0,"✓",""))</f>
        <v/>
      </c>
      <c r="AK60" s="29" t="str">
        <f aca="false">IF($A59="","",IF(COUNTIFS(Historial!$B$3:$B$502,$A59,Historial!$C$3:$C$502,$B59,Historial!$G$3:$G$502,AK$4,Historial!$H$3:$H$502,$B$2)&gt;0,"✓",""))</f>
        <v/>
      </c>
      <c r="AL60" s="29" t="str">
        <f aca="false">IF($A59="","",IF(COUNTIFS(Historial!$B$3:$B$502,$A59,Historial!$C$3:$C$502,$B59,Historial!$G$3:$G$502,AL$4,Historial!$H$3:$H$502,$B$2)&gt;0,"✓",""))</f>
        <v/>
      </c>
      <c r="AM60" s="29" t="str">
        <f aca="false">IF($A59="","",IF(COUNTIFS(Historial!$B$3:$B$502,$A59,Historial!$C$3:$C$502,$B59,Historial!$G$3:$G$502,AM$4,Historial!$H$3:$H$502,$B$2)&gt;0,"✓",""))</f>
        <v/>
      </c>
      <c r="AN60" s="29" t="str">
        <f aca="false">IF($A59="","",IF(COUNTIFS(Historial!$B$3:$B$502,$A59,Historial!$C$3:$C$502,$B59,Historial!$G$3:$G$502,AN$4,Historial!$H$3:$H$502,$B$2)&gt;0,"✓",""))</f>
        <v/>
      </c>
      <c r="AO60" s="29" t="str">
        <f aca="false">IF($A59="","",IF(COUNTIFS(Historial!$B$3:$B$502,$A59,Historial!$C$3:$C$502,$B59,Historial!$G$3:$G$502,AO$4,Historial!$H$3:$H$502,$B$2)&gt;0,"✓",""))</f>
        <v/>
      </c>
      <c r="AP60" s="29" t="str">
        <f aca="false">IF($A59="","",IF(COUNTIFS(Historial!$B$3:$B$502,$A59,Historial!$C$3:$C$502,$B59,Historial!$G$3:$G$502,AP$4,Historial!$H$3:$H$502,$B$2)&gt;0,"✓",""))</f>
        <v/>
      </c>
      <c r="AQ60" s="29" t="str">
        <f aca="false">IF($A59="","",IF(COUNTIFS(Historial!$B$3:$B$502,$A59,Historial!$C$3:$C$502,$B59,Historial!$G$3:$G$502,AQ$4,Historial!$H$3:$H$502,$B$2)&gt;0,"✓",""))</f>
        <v/>
      </c>
      <c r="AR60" s="29" t="str">
        <f aca="false">IF($A59="","",IF(COUNTIFS(Historial!$B$3:$B$502,$A59,Historial!$C$3:$C$502,$B59,Historial!$G$3:$G$502,AR$4,Historial!$H$3:$H$502,$B$2)&gt;0,"✓",""))</f>
        <v/>
      </c>
      <c r="AS60" s="29" t="str">
        <f aca="false">IF($A59="","",IF(COUNTIFS(Historial!$B$3:$B$502,$A59,Historial!$C$3:$C$502,$B59,Historial!$G$3:$G$502,AS$4,Historial!$H$3:$H$502,$B$2)&gt;0,"✓",""))</f>
        <v/>
      </c>
      <c r="AT60" s="29" t="str">
        <f aca="false">IF($A59="","",IF(COUNTIFS(Historial!$B$3:$B$502,$A59,Historial!$C$3:$C$502,$B59,Historial!$G$3:$G$502,AT$4,Historial!$H$3:$H$502,$B$2)&gt;0,"✓",""))</f>
        <v/>
      </c>
      <c r="AU60" s="29" t="str">
        <f aca="false">IF($A59="","",IF(COUNTIFS(Historial!$B$3:$B$502,$A59,Historial!$C$3:$C$502,$B59,Historial!$G$3:$G$502,AU$4,Historial!$H$3:$H$502,$B$2)&gt;0,"✓",""))</f>
        <v/>
      </c>
      <c r="AV60" s="29" t="str">
        <f aca="false">IF($A59="","",IF(COUNTIFS(Historial!$B$3:$B$502,$A59,Historial!$C$3:$C$502,$B59,Historial!$G$3:$G$502,AV$4,Historial!$H$3:$H$502,$B$2)&gt;0,"✓",""))</f>
        <v/>
      </c>
      <c r="AW60" s="29" t="str">
        <f aca="false">IF($A59="","",IF(COUNTIFS(Historial!$B$3:$B$502,$A59,Historial!$C$3:$C$502,$B59,Historial!$G$3:$G$502,AW$4,Historial!$H$3:$H$502,$B$2)&gt;0,"✓",""))</f>
        <v/>
      </c>
      <c r="AX60" s="29" t="str">
        <f aca="false">IF($A59="","",IF(COUNTIFS(Historial!$B$3:$B$502,$A59,Historial!$C$3:$C$502,$B59,Historial!$G$3:$G$502,AX$4,Historial!$H$3:$H$502,$B$2)&gt;0,"✓",""))</f>
        <v/>
      </c>
      <c r="AY60" s="29" t="str">
        <f aca="false">IF($A59="","",IF(COUNTIFS(Historial!$B$3:$B$502,$A59,Historial!$C$3:$C$502,$B59,Historial!$G$3:$G$502,AY$4,Historial!$H$3:$H$502,$B$2)&gt;0,"✓",""))</f>
        <v/>
      </c>
      <c r="AZ60" s="29" t="str">
        <f aca="false">IF($A59="","",IF(COUNTIFS(Historial!$B$3:$B$502,$A59,Historial!$C$3:$C$502,$B59,Historial!$G$3:$G$502,AZ$4,Historial!$H$3:$H$502,$B$2)&gt;0,"✓",""))</f>
        <v/>
      </c>
      <c r="BA60" s="29" t="str">
        <f aca="false">IF($A59="","",IF(COUNTIFS(Historial!$B$3:$B$502,$A59,Historial!$C$3:$C$502,$B59,Historial!$G$3:$G$502,BA$4,Historial!$H$3:$H$502,$B$2)&gt;0,"✓",""))</f>
        <v/>
      </c>
      <c r="BB60" s="29" t="str">
        <f aca="false">IF($A59="","",IF(COUNTIFS(Historial!$B$3:$B$502,$A59,Historial!$C$3:$C$502,$B59,Historial!$G$3:$G$502,BB$4,Historial!$H$3:$H$502,$B$2)&gt;0,"✓",""))</f>
        <v/>
      </c>
      <c r="BC60" s="29" t="str">
        <f aca="false">IF($A59="","",IF(COUNTIFS(Historial!$B$3:$B$502,$A59,Historial!$C$3:$C$502,$B59,Historial!$G$3:$G$502,BC$4,Historial!$H$3:$H$502,$B$2)&gt;0,"✓",""))</f>
        <v/>
      </c>
      <c r="BD60" s="29"/>
      <c r="BE60" s="29"/>
      <c r="BF60" s="29"/>
    </row>
    <row r="61" customFormat="false" ht="15" hidden="false" customHeight="false" outlineLevel="0" collapsed="false">
      <c r="A61" s="24" t="str">
        <f aca="false">IF(Actividades!$B31="","",Actividades!$B31)</f>
        <v/>
      </c>
      <c r="B61" s="24" t="str">
        <f aca="false">IF(Actividades!$C31="","",Actividades!$C31)</f>
        <v/>
      </c>
      <c r="C61" s="24" t="str">
        <f aca="false">IF($A61="","","Plan")</f>
        <v/>
      </c>
      <c r="D61" s="25" t="str">
        <f aca="false">IF($A61="","",IF(AND(N(Actividades!$E31)&gt;0,D$4&gt;=Actividades!$E31,MOD(D$4-Actividades!$E31,IFERROR(VLOOKUP(Actividades!$D31,Listas!$A$2:$B$8,2,0),52))=0),"P",""))</f>
        <v/>
      </c>
      <c r="E61" s="25" t="str">
        <f aca="false">IF($A61="","",IF(AND(N(Actividades!$E31)&gt;0,E$4&gt;=Actividades!$E31,MOD(E$4-Actividades!$E31,IFERROR(VLOOKUP(Actividades!$D31,Listas!$A$2:$B$8,2,0),52))=0),"P",""))</f>
        <v/>
      </c>
      <c r="F61" s="25" t="str">
        <f aca="false">IF($A61="","",IF(AND(N(Actividades!$E31)&gt;0,F$4&gt;=Actividades!$E31,MOD(F$4-Actividades!$E31,IFERROR(VLOOKUP(Actividades!$D31,Listas!$A$2:$B$8,2,0),52))=0),"P",""))</f>
        <v/>
      </c>
      <c r="G61" s="25" t="str">
        <f aca="false">IF($A61="","",IF(AND(N(Actividades!$E31)&gt;0,G$4&gt;=Actividades!$E31,MOD(G$4-Actividades!$E31,IFERROR(VLOOKUP(Actividades!$D31,Listas!$A$2:$B$8,2,0),52))=0),"P",""))</f>
        <v/>
      </c>
      <c r="H61" s="25" t="str">
        <f aca="false">IF($A61="","",IF(AND(N(Actividades!$E31)&gt;0,H$4&gt;=Actividades!$E31,MOD(H$4-Actividades!$E31,IFERROR(VLOOKUP(Actividades!$D31,Listas!$A$2:$B$8,2,0),52))=0),"P",""))</f>
        <v/>
      </c>
      <c r="I61" s="25" t="str">
        <f aca="false">IF($A61="","",IF(AND(N(Actividades!$E31)&gt;0,I$4&gt;=Actividades!$E31,MOD(I$4-Actividades!$E31,IFERROR(VLOOKUP(Actividades!$D31,Listas!$A$2:$B$8,2,0),52))=0),"P",""))</f>
        <v/>
      </c>
      <c r="J61" s="25" t="str">
        <f aca="false">IF($A61="","",IF(AND(N(Actividades!$E31)&gt;0,J$4&gt;=Actividades!$E31,MOD(J$4-Actividades!$E31,IFERROR(VLOOKUP(Actividades!$D31,Listas!$A$2:$B$8,2,0),52))=0),"P",""))</f>
        <v/>
      </c>
      <c r="K61" s="25" t="str">
        <f aca="false">IF($A61="","",IF(AND(N(Actividades!$E31)&gt;0,K$4&gt;=Actividades!$E31,MOD(K$4-Actividades!$E31,IFERROR(VLOOKUP(Actividades!$D31,Listas!$A$2:$B$8,2,0),52))=0),"P",""))</f>
        <v/>
      </c>
      <c r="L61" s="25" t="str">
        <f aca="false">IF($A61="","",IF(AND(N(Actividades!$E31)&gt;0,L$4&gt;=Actividades!$E31,MOD(L$4-Actividades!$E31,IFERROR(VLOOKUP(Actividades!$D31,Listas!$A$2:$B$8,2,0),52))=0),"P",""))</f>
        <v/>
      </c>
      <c r="M61" s="25" t="str">
        <f aca="false">IF($A61="","",IF(AND(N(Actividades!$E31)&gt;0,M$4&gt;=Actividades!$E31,MOD(M$4-Actividades!$E31,IFERROR(VLOOKUP(Actividades!$D31,Listas!$A$2:$B$8,2,0),52))=0),"P",""))</f>
        <v/>
      </c>
      <c r="N61" s="25" t="str">
        <f aca="false">IF($A61="","",IF(AND(N(Actividades!$E31)&gt;0,N$4&gt;=Actividades!$E31,MOD(N$4-Actividades!$E31,IFERROR(VLOOKUP(Actividades!$D31,Listas!$A$2:$B$8,2,0),52))=0),"P",""))</f>
        <v/>
      </c>
      <c r="O61" s="25" t="str">
        <f aca="false">IF($A61="","",IF(AND(N(Actividades!$E31)&gt;0,O$4&gt;=Actividades!$E31,MOD(O$4-Actividades!$E31,IFERROR(VLOOKUP(Actividades!$D31,Listas!$A$2:$B$8,2,0),52))=0),"P",""))</f>
        <v/>
      </c>
      <c r="P61" s="25" t="str">
        <f aca="false">IF($A61="","",IF(AND(N(Actividades!$E31)&gt;0,P$4&gt;=Actividades!$E31,MOD(P$4-Actividades!$E31,IFERROR(VLOOKUP(Actividades!$D31,Listas!$A$2:$B$8,2,0),52))=0),"P",""))</f>
        <v/>
      </c>
      <c r="Q61" s="25" t="str">
        <f aca="false">IF($A61="","",IF(AND(N(Actividades!$E31)&gt;0,Q$4&gt;=Actividades!$E31,MOD(Q$4-Actividades!$E31,IFERROR(VLOOKUP(Actividades!$D31,Listas!$A$2:$B$8,2,0),52))=0),"P",""))</f>
        <v/>
      </c>
      <c r="R61" s="25" t="str">
        <f aca="false">IF($A61="","",IF(AND(N(Actividades!$E31)&gt;0,R$4&gt;=Actividades!$E31,MOD(R$4-Actividades!$E31,IFERROR(VLOOKUP(Actividades!$D31,Listas!$A$2:$B$8,2,0),52))=0),"P",""))</f>
        <v/>
      </c>
      <c r="S61" s="25" t="str">
        <f aca="false">IF($A61="","",IF(AND(N(Actividades!$E31)&gt;0,S$4&gt;=Actividades!$E31,MOD(S$4-Actividades!$E31,IFERROR(VLOOKUP(Actividades!$D31,Listas!$A$2:$B$8,2,0),52))=0),"P",""))</f>
        <v/>
      </c>
      <c r="T61" s="25" t="str">
        <f aca="false">IF($A61="","",IF(AND(N(Actividades!$E31)&gt;0,T$4&gt;=Actividades!$E31,MOD(T$4-Actividades!$E31,IFERROR(VLOOKUP(Actividades!$D31,Listas!$A$2:$B$8,2,0),52))=0),"P",""))</f>
        <v/>
      </c>
      <c r="U61" s="25" t="str">
        <f aca="false">IF($A61="","",IF(AND(N(Actividades!$E31)&gt;0,U$4&gt;=Actividades!$E31,MOD(U$4-Actividades!$E31,IFERROR(VLOOKUP(Actividades!$D31,Listas!$A$2:$B$8,2,0),52))=0),"P",""))</f>
        <v/>
      </c>
      <c r="V61" s="25" t="str">
        <f aca="false">IF($A61="","",IF(AND(N(Actividades!$E31)&gt;0,V$4&gt;=Actividades!$E31,MOD(V$4-Actividades!$E31,IFERROR(VLOOKUP(Actividades!$D31,Listas!$A$2:$B$8,2,0),52))=0),"P",""))</f>
        <v/>
      </c>
      <c r="W61" s="25" t="str">
        <f aca="false">IF($A61="","",IF(AND(N(Actividades!$E31)&gt;0,W$4&gt;=Actividades!$E31,MOD(W$4-Actividades!$E31,IFERROR(VLOOKUP(Actividades!$D31,Listas!$A$2:$B$8,2,0),52))=0),"P",""))</f>
        <v/>
      </c>
      <c r="X61" s="25" t="str">
        <f aca="false">IF($A61="","",IF(AND(N(Actividades!$E31)&gt;0,X$4&gt;=Actividades!$E31,MOD(X$4-Actividades!$E31,IFERROR(VLOOKUP(Actividades!$D31,Listas!$A$2:$B$8,2,0),52))=0),"P",""))</f>
        <v/>
      </c>
      <c r="Y61" s="25" t="str">
        <f aca="false">IF($A61="","",IF(AND(N(Actividades!$E31)&gt;0,Y$4&gt;=Actividades!$E31,MOD(Y$4-Actividades!$E31,IFERROR(VLOOKUP(Actividades!$D31,Listas!$A$2:$B$8,2,0),52))=0),"P",""))</f>
        <v/>
      </c>
      <c r="Z61" s="25" t="str">
        <f aca="false">IF($A61="","",IF(AND(N(Actividades!$E31)&gt;0,Z$4&gt;=Actividades!$E31,MOD(Z$4-Actividades!$E31,IFERROR(VLOOKUP(Actividades!$D31,Listas!$A$2:$B$8,2,0),52))=0),"P",""))</f>
        <v/>
      </c>
      <c r="AA61" s="25" t="str">
        <f aca="false">IF($A61="","",IF(AND(N(Actividades!$E31)&gt;0,AA$4&gt;=Actividades!$E31,MOD(AA$4-Actividades!$E31,IFERROR(VLOOKUP(Actividades!$D31,Listas!$A$2:$B$8,2,0),52))=0),"P",""))</f>
        <v/>
      </c>
      <c r="AB61" s="25" t="str">
        <f aca="false">IF($A61="","",IF(AND(N(Actividades!$E31)&gt;0,AB$4&gt;=Actividades!$E31,MOD(AB$4-Actividades!$E31,IFERROR(VLOOKUP(Actividades!$D31,Listas!$A$2:$B$8,2,0),52))=0),"P",""))</f>
        <v/>
      </c>
      <c r="AC61" s="25" t="str">
        <f aca="false">IF($A61="","",IF(AND(N(Actividades!$E31)&gt;0,AC$4&gt;=Actividades!$E31,MOD(AC$4-Actividades!$E31,IFERROR(VLOOKUP(Actividades!$D31,Listas!$A$2:$B$8,2,0),52))=0),"P",""))</f>
        <v/>
      </c>
      <c r="AD61" s="25" t="str">
        <f aca="false">IF($A61="","",IF(AND(N(Actividades!$E31)&gt;0,AD$4&gt;=Actividades!$E31,MOD(AD$4-Actividades!$E31,IFERROR(VLOOKUP(Actividades!$D31,Listas!$A$2:$B$8,2,0),52))=0),"P",""))</f>
        <v/>
      </c>
      <c r="AE61" s="25" t="str">
        <f aca="false">IF($A61="","",IF(AND(N(Actividades!$E31)&gt;0,AE$4&gt;=Actividades!$E31,MOD(AE$4-Actividades!$E31,IFERROR(VLOOKUP(Actividades!$D31,Listas!$A$2:$B$8,2,0),52))=0),"P",""))</f>
        <v/>
      </c>
      <c r="AF61" s="25" t="str">
        <f aca="false">IF($A61="","",IF(AND(N(Actividades!$E31)&gt;0,AF$4&gt;=Actividades!$E31,MOD(AF$4-Actividades!$E31,IFERROR(VLOOKUP(Actividades!$D31,Listas!$A$2:$B$8,2,0),52))=0),"P",""))</f>
        <v/>
      </c>
      <c r="AG61" s="25" t="str">
        <f aca="false">IF($A61="","",IF(AND(N(Actividades!$E31)&gt;0,AG$4&gt;=Actividades!$E31,MOD(AG$4-Actividades!$E31,IFERROR(VLOOKUP(Actividades!$D31,Listas!$A$2:$B$8,2,0),52))=0),"P",""))</f>
        <v/>
      </c>
      <c r="AH61" s="25" t="str">
        <f aca="false">IF($A61="","",IF(AND(N(Actividades!$E31)&gt;0,AH$4&gt;=Actividades!$E31,MOD(AH$4-Actividades!$E31,IFERROR(VLOOKUP(Actividades!$D31,Listas!$A$2:$B$8,2,0),52))=0),"P",""))</f>
        <v/>
      </c>
      <c r="AI61" s="25" t="str">
        <f aca="false">IF($A61="","",IF(AND(N(Actividades!$E31)&gt;0,AI$4&gt;=Actividades!$E31,MOD(AI$4-Actividades!$E31,IFERROR(VLOOKUP(Actividades!$D31,Listas!$A$2:$B$8,2,0),52))=0),"P",""))</f>
        <v/>
      </c>
      <c r="AJ61" s="25" t="str">
        <f aca="false">IF($A61="","",IF(AND(N(Actividades!$E31)&gt;0,AJ$4&gt;=Actividades!$E31,MOD(AJ$4-Actividades!$E31,IFERROR(VLOOKUP(Actividades!$D31,Listas!$A$2:$B$8,2,0),52))=0),"P",""))</f>
        <v/>
      </c>
      <c r="AK61" s="25" t="str">
        <f aca="false">IF($A61="","",IF(AND(N(Actividades!$E31)&gt;0,AK$4&gt;=Actividades!$E31,MOD(AK$4-Actividades!$E31,IFERROR(VLOOKUP(Actividades!$D31,Listas!$A$2:$B$8,2,0),52))=0),"P",""))</f>
        <v/>
      </c>
      <c r="AL61" s="25" t="str">
        <f aca="false">IF($A61="","",IF(AND(N(Actividades!$E31)&gt;0,AL$4&gt;=Actividades!$E31,MOD(AL$4-Actividades!$E31,IFERROR(VLOOKUP(Actividades!$D31,Listas!$A$2:$B$8,2,0),52))=0),"P",""))</f>
        <v/>
      </c>
      <c r="AM61" s="25" t="str">
        <f aca="false">IF($A61="","",IF(AND(N(Actividades!$E31)&gt;0,AM$4&gt;=Actividades!$E31,MOD(AM$4-Actividades!$E31,IFERROR(VLOOKUP(Actividades!$D31,Listas!$A$2:$B$8,2,0),52))=0),"P",""))</f>
        <v/>
      </c>
      <c r="AN61" s="25" t="str">
        <f aca="false">IF($A61="","",IF(AND(N(Actividades!$E31)&gt;0,AN$4&gt;=Actividades!$E31,MOD(AN$4-Actividades!$E31,IFERROR(VLOOKUP(Actividades!$D31,Listas!$A$2:$B$8,2,0),52))=0),"P",""))</f>
        <v/>
      </c>
      <c r="AO61" s="25" t="str">
        <f aca="false">IF($A61="","",IF(AND(N(Actividades!$E31)&gt;0,AO$4&gt;=Actividades!$E31,MOD(AO$4-Actividades!$E31,IFERROR(VLOOKUP(Actividades!$D31,Listas!$A$2:$B$8,2,0),52))=0),"P",""))</f>
        <v/>
      </c>
      <c r="AP61" s="25" t="str">
        <f aca="false">IF($A61="","",IF(AND(N(Actividades!$E31)&gt;0,AP$4&gt;=Actividades!$E31,MOD(AP$4-Actividades!$E31,IFERROR(VLOOKUP(Actividades!$D31,Listas!$A$2:$B$8,2,0),52))=0),"P",""))</f>
        <v/>
      </c>
      <c r="AQ61" s="25" t="str">
        <f aca="false">IF($A61="","",IF(AND(N(Actividades!$E31)&gt;0,AQ$4&gt;=Actividades!$E31,MOD(AQ$4-Actividades!$E31,IFERROR(VLOOKUP(Actividades!$D31,Listas!$A$2:$B$8,2,0),52))=0),"P",""))</f>
        <v/>
      </c>
      <c r="AR61" s="25" t="str">
        <f aca="false">IF($A61="","",IF(AND(N(Actividades!$E31)&gt;0,AR$4&gt;=Actividades!$E31,MOD(AR$4-Actividades!$E31,IFERROR(VLOOKUP(Actividades!$D31,Listas!$A$2:$B$8,2,0),52))=0),"P",""))</f>
        <v/>
      </c>
      <c r="AS61" s="25" t="str">
        <f aca="false">IF($A61="","",IF(AND(N(Actividades!$E31)&gt;0,AS$4&gt;=Actividades!$E31,MOD(AS$4-Actividades!$E31,IFERROR(VLOOKUP(Actividades!$D31,Listas!$A$2:$B$8,2,0),52))=0),"P",""))</f>
        <v/>
      </c>
      <c r="AT61" s="25" t="str">
        <f aca="false">IF($A61="","",IF(AND(N(Actividades!$E31)&gt;0,AT$4&gt;=Actividades!$E31,MOD(AT$4-Actividades!$E31,IFERROR(VLOOKUP(Actividades!$D31,Listas!$A$2:$B$8,2,0),52))=0),"P",""))</f>
        <v/>
      </c>
      <c r="AU61" s="25" t="str">
        <f aca="false">IF($A61="","",IF(AND(N(Actividades!$E31)&gt;0,AU$4&gt;=Actividades!$E31,MOD(AU$4-Actividades!$E31,IFERROR(VLOOKUP(Actividades!$D31,Listas!$A$2:$B$8,2,0),52))=0),"P",""))</f>
        <v/>
      </c>
      <c r="AV61" s="25" t="str">
        <f aca="false">IF($A61="","",IF(AND(N(Actividades!$E31)&gt;0,AV$4&gt;=Actividades!$E31,MOD(AV$4-Actividades!$E31,IFERROR(VLOOKUP(Actividades!$D31,Listas!$A$2:$B$8,2,0),52))=0),"P",""))</f>
        <v/>
      </c>
      <c r="AW61" s="25" t="str">
        <f aca="false">IF($A61="","",IF(AND(N(Actividades!$E31)&gt;0,AW$4&gt;=Actividades!$E31,MOD(AW$4-Actividades!$E31,IFERROR(VLOOKUP(Actividades!$D31,Listas!$A$2:$B$8,2,0),52))=0),"P",""))</f>
        <v/>
      </c>
      <c r="AX61" s="25" t="str">
        <f aca="false">IF($A61="","",IF(AND(N(Actividades!$E31)&gt;0,AX$4&gt;=Actividades!$E31,MOD(AX$4-Actividades!$E31,IFERROR(VLOOKUP(Actividades!$D31,Listas!$A$2:$B$8,2,0),52))=0),"P",""))</f>
        <v/>
      </c>
      <c r="AY61" s="25" t="str">
        <f aca="false">IF($A61="","",IF(AND(N(Actividades!$E31)&gt;0,AY$4&gt;=Actividades!$E31,MOD(AY$4-Actividades!$E31,IFERROR(VLOOKUP(Actividades!$D31,Listas!$A$2:$B$8,2,0),52))=0),"P",""))</f>
        <v/>
      </c>
      <c r="AZ61" s="25" t="str">
        <f aca="false">IF($A61="","",IF(AND(N(Actividades!$E31)&gt;0,AZ$4&gt;=Actividades!$E31,MOD(AZ$4-Actividades!$E31,IFERROR(VLOOKUP(Actividades!$D31,Listas!$A$2:$B$8,2,0),52))=0),"P",""))</f>
        <v/>
      </c>
      <c r="BA61" s="25" t="str">
        <f aca="false">IF($A61="","",IF(AND(N(Actividades!$E31)&gt;0,BA$4&gt;=Actividades!$E31,MOD(BA$4-Actividades!$E31,IFERROR(VLOOKUP(Actividades!$D31,Listas!$A$2:$B$8,2,0),52))=0),"P",""))</f>
        <v/>
      </c>
      <c r="BB61" s="25" t="str">
        <f aca="false">IF($A61="","",IF(AND(N(Actividades!$E31)&gt;0,BB$4&gt;=Actividades!$E31,MOD(BB$4-Actividades!$E31,IFERROR(VLOOKUP(Actividades!$D31,Listas!$A$2:$B$8,2,0),52))=0),"P",""))</f>
        <v/>
      </c>
      <c r="BC61" s="25" t="str">
        <f aca="false">IF($A61="","",IF(AND(N(Actividades!$E31)&gt;0,BC$4&gt;=Actividades!$E31,MOD(BC$4-Actividades!$E31,IFERROR(VLOOKUP(Actividades!$D31,Listas!$A$2:$B$8,2,0),52))=0),"P",""))</f>
        <v/>
      </c>
      <c r="BD61" s="26" t="str">
        <f aca="false">IF($A61="","",COUNTIF(D61:BC61,"P"))</f>
        <v/>
      </c>
      <c r="BE61" s="26" t="str">
        <f aca="false">IF($A61="","",SUMPRODUCT((D61:BC61="P")*(D62:BC62="✓")))</f>
        <v/>
      </c>
      <c r="BF61" s="27" t="str">
        <f aca="false">IF($A61="","",IF(BD61=0,"",BE61/BD61))</f>
        <v/>
      </c>
    </row>
    <row r="62" customFormat="false" ht="15" hidden="false" customHeight="false" outlineLevel="0" collapsed="false">
      <c r="A62" s="28"/>
      <c r="B62" s="28"/>
      <c r="C62" s="28" t="str">
        <f aca="false">IF($A61="","","Real")</f>
        <v/>
      </c>
      <c r="D62" s="29" t="str">
        <f aca="false">IF($A61="","",IF(COUNTIFS(Historial!$B$3:$B$502,$A61,Historial!$C$3:$C$502,$B61,Historial!$G$3:$G$502,D$4,Historial!$H$3:$H$502,$B$2)&gt;0,"✓",""))</f>
        <v/>
      </c>
      <c r="E62" s="29" t="str">
        <f aca="false">IF($A61="","",IF(COUNTIFS(Historial!$B$3:$B$502,$A61,Historial!$C$3:$C$502,$B61,Historial!$G$3:$G$502,E$4,Historial!$H$3:$H$502,$B$2)&gt;0,"✓",""))</f>
        <v/>
      </c>
      <c r="F62" s="29" t="str">
        <f aca="false">IF($A61="","",IF(COUNTIFS(Historial!$B$3:$B$502,$A61,Historial!$C$3:$C$502,$B61,Historial!$G$3:$G$502,F$4,Historial!$H$3:$H$502,$B$2)&gt;0,"✓",""))</f>
        <v/>
      </c>
      <c r="G62" s="29" t="str">
        <f aca="false">IF($A61="","",IF(COUNTIFS(Historial!$B$3:$B$502,$A61,Historial!$C$3:$C$502,$B61,Historial!$G$3:$G$502,G$4,Historial!$H$3:$H$502,$B$2)&gt;0,"✓",""))</f>
        <v/>
      </c>
      <c r="H62" s="29" t="str">
        <f aca="false">IF($A61="","",IF(COUNTIFS(Historial!$B$3:$B$502,$A61,Historial!$C$3:$C$502,$B61,Historial!$G$3:$G$502,H$4,Historial!$H$3:$H$502,$B$2)&gt;0,"✓",""))</f>
        <v/>
      </c>
      <c r="I62" s="29" t="str">
        <f aca="false">IF($A61="","",IF(COUNTIFS(Historial!$B$3:$B$502,$A61,Historial!$C$3:$C$502,$B61,Historial!$G$3:$G$502,I$4,Historial!$H$3:$H$502,$B$2)&gt;0,"✓",""))</f>
        <v/>
      </c>
      <c r="J62" s="29" t="str">
        <f aca="false">IF($A61="","",IF(COUNTIFS(Historial!$B$3:$B$502,$A61,Historial!$C$3:$C$502,$B61,Historial!$G$3:$G$502,J$4,Historial!$H$3:$H$502,$B$2)&gt;0,"✓",""))</f>
        <v/>
      </c>
      <c r="K62" s="29" t="str">
        <f aca="false">IF($A61="","",IF(COUNTIFS(Historial!$B$3:$B$502,$A61,Historial!$C$3:$C$502,$B61,Historial!$G$3:$G$502,K$4,Historial!$H$3:$H$502,$B$2)&gt;0,"✓",""))</f>
        <v/>
      </c>
      <c r="L62" s="29" t="str">
        <f aca="false">IF($A61="","",IF(COUNTIFS(Historial!$B$3:$B$502,$A61,Historial!$C$3:$C$502,$B61,Historial!$G$3:$G$502,L$4,Historial!$H$3:$H$502,$B$2)&gt;0,"✓",""))</f>
        <v/>
      </c>
      <c r="M62" s="29" t="str">
        <f aca="false">IF($A61="","",IF(COUNTIFS(Historial!$B$3:$B$502,$A61,Historial!$C$3:$C$502,$B61,Historial!$G$3:$G$502,M$4,Historial!$H$3:$H$502,$B$2)&gt;0,"✓",""))</f>
        <v/>
      </c>
      <c r="N62" s="29" t="str">
        <f aca="false">IF($A61="","",IF(COUNTIFS(Historial!$B$3:$B$502,$A61,Historial!$C$3:$C$502,$B61,Historial!$G$3:$G$502,N$4,Historial!$H$3:$H$502,$B$2)&gt;0,"✓",""))</f>
        <v/>
      </c>
      <c r="O62" s="29" t="str">
        <f aca="false">IF($A61="","",IF(COUNTIFS(Historial!$B$3:$B$502,$A61,Historial!$C$3:$C$502,$B61,Historial!$G$3:$G$502,O$4,Historial!$H$3:$H$502,$B$2)&gt;0,"✓",""))</f>
        <v/>
      </c>
      <c r="P62" s="29" t="str">
        <f aca="false">IF($A61="","",IF(COUNTIFS(Historial!$B$3:$B$502,$A61,Historial!$C$3:$C$502,$B61,Historial!$G$3:$G$502,P$4,Historial!$H$3:$H$502,$B$2)&gt;0,"✓",""))</f>
        <v/>
      </c>
      <c r="Q62" s="29" t="str">
        <f aca="false">IF($A61="","",IF(COUNTIFS(Historial!$B$3:$B$502,$A61,Historial!$C$3:$C$502,$B61,Historial!$G$3:$G$502,Q$4,Historial!$H$3:$H$502,$B$2)&gt;0,"✓",""))</f>
        <v/>
      </c>
      <c r="R62" s="29" t="str">
        <f aca="false">IF($A61="","",IF(COUNTIFS(Historial!$B$3:$B$502,$A61,Historial!$C$3:$C$502,$B61,Historial!$G$3:$G$502,R$4,Historial!$H$3:$H$502,$B$2)&gt;0,"✓",""))</f>
        <v/>
      </c>
      <c r="S62" s="29" t="str">
        <f aca="false">IF($A61="","",IF(COUNTIFS(Historial!$B$3:$B$502,$A61,Historial!$C$3:$C$502,$B61,Historial!$G$3:$G$502,S$4,Historial!$H$3:$H$502,$B$2)&gt;0,"✓",""))</f>
        <v/>
      </c>
      <c r="T62" s="29" t="str">
        <f aca="false">IF($A61="","",IF(COUNTIFS(Historial!$B$3:$B$502,$A61,Historial!$C$3:$C$502,$B61,Historial!$G$3:$G$502,T$4,Historial!$H$3:$H$502,$B$2)&gt;0,"✓",""))</f>
        <v/>
      </c>
      <c r="U62" s="29" t="str">
        <f aca="false">IF($A61="","",IF(COUNTIFS(Historial!$B$3:$B$502,$A61,Historial!$C$3:$C$502,$B61,Historial!$G$3:$G$502,U$4,Historial!$H$3:$H$502,$B$2)&gt;0,"✓",""))</f>
        <v/>
      </c>
      <c r="V62" s="29" t="str">
        <f aca="false">IF($A61="","",IF(COUNTIFS(Historial!$B$3:$B$502,$A61,Historial!$C$3:$C$502,$B61,Historial!$G$3:$G$502,V$4,Historial!$H$3:$H$502,$B$2)&gt;0,"✓",""))</f>
        <v/>
      </c>
      <c r="W62" s="29" t="str">
        <f aca="false">IF($A61="","",IF(COUNTIFS(Historial!$B$3:$B$502,$A61,Historial!$C$3:$C$502,$B61,Historial!$G$3:$G$502,W$4,Historial!$H$3:$H$502,$B$2)&gt;0,"✓",""))</f>
        <v/>
      </c>
      <c r="X62" s="29" t="str">
        <f aca="false">IF($A61="","",IF(COUNTIFS(Historial!$B$3:$B$502,$A61,Historial!$C$3:$C$502,$B61,Historial!$G$3:$G$502,X$4,Historial!$H$3:$H$502,$B$2)&gt;0,"✓",""))</f>
        <v/>
      </c>
      <c r="Y62" s="29" t="str">
        <f aca="false">IF($A61="","",IF(COUNTIFS(Historial!$B$3:$B$502,$A61,Historial!$C$3:$C$502,$B61,Historial!$G$3:$G$502,Y$4,Historial!$H$3:$H$502,$B$2)&gt;0,"✓",""))</f>
        <v/>
      </c>
      <c r="Z62" s="29" t="str">
        <f aca="false">IF($A61="","",IF(COUNTIFS(Historial!$B$3:$B$502,$A61,Historial!$C$3:$C$502,$B61,Historial!$G$3:$G$502,Z$4,Historial!$H$3:$H$502,$B$2)&gt;0,"✓",""))</f>
        <v/>
      </c>
      <c r="AA62" s="29" t="str">
        <f aca="false">IF($A61="","",IF(COUNTIFS(Historial!$B$3:$B$502,$A61,Historial!$C$3:$C$502,$B61,Historial!$G$3:$G$502,AA$4,Historial!$H$3:$H$502,$B$2)&gt;0,"✓",""))</f>
        <v/>
      </c>
      <c r="AB62" s="29" t="str">
        <f aca="false">IF($A61="","",IF(COUNTIFS(Historial!$B$3:$B$502,$A61,Historial!$C$3:$C$502,$B61,Historial!$G$3:$G$502,AB$4,Historial!$H$3:$H$502,$B$2)&gt;0,"✓",""))</f>
        <v/>
      </c>
      <c r="AC62" s="29" t="str">
        <f aca="false">IF($A61="","",IF(COUNTIFS(Historial!$B$3:$B$502,$A61,Historial!$C$3:$C$502,$B61,Historial!$G$3:$G$502,AC$4,Historial!$H$3:$H$502,$B$2)&gt;0,"✓",""))</f>
        <v/>
      </c>
      <c r="AD62" s="29" t="str">
        <f aca="false">IF($A61="","",IF(COUNTIFS(Historial!$B$3:$B$502,$A61,Historial!$C$3:$C$502,$B61,Historial!$G$3:$G$502,AD$4,Historial!$H$3:$H$502,$B$2)&gt;0,"✓",""))</f>
        <v/>
      </c>
      <c r="AE62" s="29" t="str">
        <f aca="false">IF($A61="","",IF(COUNTIFS(Historial!$B$3:$B$502,$A61,Historial!$C$3:$C$502,$B61,Historial!$G$3:$G$502,AE$4,Historial!$H$3:$H$502,$B$2)&gt;0,"✓",""))</f>
        <v/>
      </c>
      <c r="AF62" s="29" t="str">
        <f aca="false">IF($A61="","",IF(COUNTIFS(Historial!$B$3:$B$502,$A61,Historial!$C$3:$C$502,$B61,Historial!$G$3:$G$502,AF$4,Historial!$H$3:$H$502,$B$2)&gt;0,"✓",""))</f>
        <v/>
      </c>
      <c r="AG62" s="29" t="str">
        <f aca="false">IF($A61="","",IF(COUNTIFS(Historial!$B$3:$B$502,$A61,Historial!$C$3:$C$502,$B61,Historial!$G$3:$G$502,AG$4,Historial!$H$3:$H$502,$B$2)&gt;0,"✓",""))</f>
        <v/>
      </c>
      <c r="AH62" s="29" t="str">
        <f aca="false">IF($A61="","",IF(COUNTIFS(Historial!$B$3:$B$502,$A61,Historial!$C$3:$C$502,$B61,Historial!$G$3:$G$502,AH$4,Historial!$H$3:$H$502,$B$2)&gt;0,"✓",""))</f>
        <v/>
      </c>
      <c r="AI62" s="29" t="str">
        <f aca="false">IF($A61="","",IF(COUNTIFS(Historial!$B$3:$B$502,$A61,Historial!$C$3:$C$502,$B61,Historial!$G$3:$G$502,AI$4,Historial!$H$3:$H$502,$B$2)&gt;0,"✓",""))</f>
        <v/>
      </c>
      <c r="AJ62" s="29" t="str">
        <f aca="false">IF($A61="","",IF(COUNTIFS(Historial!$B$3:$B$502,$A61,Historial!$C$3:$C$502,$B61,Historial!$G$3:$G$502,AJ$4,Historial!$H$3:$H$502,$B$2)&gt;0,"✓",""))</f>
        <v/>
      </c>
      <c r="AK62" s="29" t="str">
        <f aca="false">IF($A61="","",IF(COUNTIFS(Historial!$B$3:$B$502,$A61,Historial!$C$3:$C$502,$B61,Historial!$G$3:$G$502,AK$4,Historial!$H$3:$H$502,$B$2)&gt;0,"✓",""))</f>
        <v/>
      </c>
      <c r="AL62" s="29" t="str">
        <f aca="false">IF($A61="","",IF(COUNTIFS(Historial!$B$3:$B$502,$A61,Historial!$C$3:$C$502,$B61,Historial!$G$3:$G$502,AL$4,Historial!$H$3:$H$502,$B$2)&gt;0,"✓",""))</f>
        <v/>
      </c>
      <c r="AM62" s="29" t="str">
        <f aca="false">IF($A61="","",IF(COUNTIFS(Historial!$B$3:$B$502,$A61,Historial!$C$3:$C$502,$B61,Historial!$G$3:$G$502,AM$4,Historial!$H$3:$H$502,$B$2)&gt;0,"✓",""))</f>
        <v/>
      </c>
      <c r="AN62" s="29" t="str">
        <f aca="false">IF($A61="","",IF(COUNTIFS(Historial!$B$3:$B$502,$A61,Historial!$C$3:$C$502,$B61,Historial!$G$3:$G$502,AN$4,Historial!$H$3:$H$502,$B$2)&gt;0,"✓",""))</f>
        <v/>
      </c>
      <c r="AO62" s="29" t="str">
        <f aca="false">IF($A61="","",IF(COUNTIFS(Historial!$B$3:$B$502,$A61,Historial!$C$3:$C$502,$B61,Historial!$G$3:$G$502,AO$4,Historial!$H$3:$H$502,$B$2)&gt;0,"✓",""))</f>
        <v/>
      </c>
      <c r="AP62" s="29" t="str">
        <f aca="false">IF($A61="","",IF(COUNTIFS(Historial!$B$3:$B$502,$A61,Historial!$C$3:$C$502,$B61,Historial!$G$3:$G$502,AP$4,Historial!$H$3:$H$502,$B$2)&gt;0,"✓",""))</f>
        <v/>
      </c>
      <c r="AQ62" s="29" t="str">
        <f aca="false">IF($A61="","",IF(COUNTIFS(Historial!$B$3:$B$502,$A61,Historial!$C$3:$C$502,$B61,Historial!$G$3:$G$502,AQ$4,Historial!$H$3:$H$502,$B$2)&gt;0,"✓",""))</f>
        <v/>
      </c>
      <c r="AR62" s="29" t="str">
        <f aca="false">IF($A61="","",IF(COUNTIFS(Historial!$B$3:$B$502,$A61,Historial!$C$3:$C$502,$B61,Historial!$G$3:$G$502,AR$4,Historial!$H$3:$H$502,$B$2)&gt;0,"✓",""))</f>
        <v/>
      </c>
      <c r="AS62" s="29" t="str">
        <f aca="false">IF($A61="","",IF(COUNTIFS(Historial!$B$3:$B$502,$A61,Historial!$C$3:$C$502,$B61,Historial!$G$3:$G$502,AS$4,Historial!$H$3:$H$502,$B$2)&gt;0,"✓",""))</f>
        <v/>
      </c>
      <c r="AT62" s="29" t="str">
        <f aca="false">IF($A61="","",IF(COUNTIFS(Historial!$B$3:$B$502,$A61,Historial!$C$3:$C$502,$B61,Historial!$G$3:$G$502,AT$4,Historial!$H$3:$H$502,$B$2)&gt;0,"✓",""))</f>
        <v/>
      </c>
      <c r="AU62" s="29" t="str">
        <f aca="false">IF($A61="","",IF(COUNTIFS(Historial!$B$3:$B$502,$A61,Historial!$C$3:$C$502,$B61,Historial!$G$3:$G$502,AU$4,Historial!$H$3:$H$502,$B$2)&gt;0,"✓",""))</f>
        <v/>
      </c>
      <c r="AV62" s="29" t="str">
        <f aca="false">IF($A61="","",IF(COUNTIFS(Historial!$B$3:$B$502,$A61,Historial!$C$3:$C$502,$B61,Historial!$G$3:$G$502,AV$4,Historial!$H$3:$H$502,$B$2)&gt;0,"✓",""))</f>
        <v/>
      </c>
      <c r="AW62" s="29" t="str">
        <f aca="false">IF($A61="","",IF(COUNTIFS(Historial!$B$3:$B$502,$A61,Historial!$C$3:$C$502,$B61,Historial!$G$3:$G$502,AW$4,Historial!$H$3:$H$502,$B$2)&gt;0,"✓",""))</f>
        <v/>
      </c>
      <c r="AX62" s="29" t="str">
        <f aca="false">IF($A61="","",IF(COUNTIFS(Historial!$B$3:$B$502,$A61,Historial!$C$3:$C$502,$B61,Historial!$G$3:$G$502,AX$4,Historial!$H$3:$H$502,$B$2)&gt;0,"✓",""))</f>
        <v/>
      </c>
      <c r="AY62" s="29" t="str">
        <f aca="false">IF($A61="","",IF(COUNTIFS(Historial!$B$3:$B$502,$A61,Historial!$C$3:$C$502,$B61,Historial!$G$3:$G$502,AY$4,Historial!$H$3:$H$502,$B$2)&gt;0,"✓",""))</f>
        <v/>
      </c>
      <c r="AZ62" s="29" t="str">
        <f aca="false">IF($A61="","",IF(COUNTIFS(Historial!$B$3:$B$502,$A61,Historial!$C$3:$C$502,$B61,Historial!$G$3:$G$502,AZ$4,Historial!$H$3:$H$502,$B$2)&gt;0,"✓",""))</f>
        <v/>
      </c>
      <c r="BA62" s="29" t="str">
        <f aca="false">IF($A61="","",IF(COUNTIFS(Historial!$B$3:$B$502,$A61,Historial!$C$3:$C$502,$B61,Historial!$G$3:$G$502,BA$4,Historial!$H$3:$H$502,$B$2)&gt;0,"✓",""))</f>
        <v/>
      </c>
      <c r="BB62" s="29" t="str">
        <f aca="false">IF($A61="","",IF(COUNTIFS(Historial!$B$3:$B$502,$A61,Historial!$C$3:$C$502,$B61,Historial!$G$3:$G$502,BB$4,Historial!$H$3:$H$502,$B$2)&gt;0,"✓",""))</f>
        <v/>
      </c>
      <c r="BC62" s="29" t="str">
        <f aca="false">IF($A61="","",IF(COUNTIFS(Historial!$B$3:$B$502,$A61,Historial!$C$3:$C$502,$B61,Historial!$G$3:$G$502,BC$4,Historial!$H$3:$H$502,$B$2)&gt;0,"✓",""))</f>
        <v/>
      </c>
      <c r="BD62" s="29"/>
      <c r="BE62" s="29"/>
      <c r="BF62" s="29"/>
    </row>
    <row r="63" customFormat="false" ht="15" hidden="false" customHeight="false" outlineLevel="0" collapsed="false">
      <c r="A63" s="24" t="str">
        <f aca="false">IF(Actividades!$B32="","",Actividades!$B32)</f>
        <v/>
      </c>
      <c r="B63" s="24" t="str">
        <f aca="false">IF(Actividades!$C32="","",Actividades!$C32)</f>
        <v/>
      </c>
      <c r="C63" s="24" t="str">
        <f aca="false">IF($A63="","","Plan")</f>
        <v/>
      </c>
      <c r="D63" s="25" t="str">
        <f aca="false">IF($A63="","",IF(AND(N(Actividades!$E32)&gt;0,D$4&gt;=Actividades!$E32,MOD(D$4-Actividades!$E32,IFERROR(VLOOKUP(Actividades!$D32,Listas!$A$2:$B$8,2,0),52))=0),"P",""))</f>
        <v/>
      </c>
      <c r="E63" s="25" t="str">
        <f aca="false">IF($A63="","",IF(AND(N(Actividades!$E32)&gt;0,E$4&gt;=Actividades!$E32,MOD(E$4-Actividades!$E32,IFERROR(VLOOKUP(Actividades!$D32,Listas!$A$2:$B$8,2,0),52))=0),"P",""))</f>
        <v/>
      </c>
      <c r="F63" s="25" t="str">
        <f aca="false">IF($A63="","",IF(AND(N(Actividades!$E32)&gt;0,F$4&gt;=Actividades!$E32,MOD(F$4-Actividades!$E32,IFERROR(VLOOKUP(Actividades!$D32,Listas!$A$2:$B$8,2,0),52))=0),"P",""))</f>
        <v/>
      </c>
      <c r="G63" s="25" t="str">
        <f aca="false">IF($A63="","",IF(AND(N(Actividades!$E32)&gt;0,G$4&gt;=Actividades!$E32,MOD(G$4-Actividades!$E32,IFERROR(VLOOKUP(Actividades!$D32,Listas!$A$2:$B$8,2,0),52))=0),"P",""))</f>
        <v/>
      </c>
      <c r="H63" s="25" t="str">
        <f aca="false">IF($A63="","",IF(AND(N(Actividades!$E32)&gt;0,H$4&gt;=Actividades!$E32,MOD(H$4-Actividades!$E32,IFERROR(VLOOKUP(Actividades!$D32,Listas!$A$2:$B$8,2,0),52))=0),"P",""))</f>
        <v/>
      </c>
      <c r="I63" s="25" t="str">
        <f aca="false">IF($A63="","",IF(AND(N(Actividades!$E32)&gt;0,I$4&gt;=Actividades!$E32,MOD(I$4-Actividades!$E32,IFERROR(VLOOKUP(Actividades!$D32,Listas!$A$2:$B$8,2,0),52))=0),"P",""))</f>
        <v/>
      </c>
      <c r="J63" s="25" t="str">
        <f aca="false">IF($A63="","",IF(AND(N(Actividades!$E32)&gt;0,J$4&gt;=Actividades!$E32,MOD(J$4-Actividades!$E32,IFERROR(VLOOKUP(Actividades!$D32,Listas!$A$2:$B$8,2,0),52))=0),"P",""))</f>
        <v/>
      </c>
      <c r="K63" s="25" t="str">
        <f aca="false">IF($A63="","",IF(AND(N(Actividades!$E32)&gt;0,K$4&gt;=Actividades!$E32,MOD(K$4-Actividades!$E32,IFERROR(VLOOKUP(Actividades!$D32,Listas!$A$2:$B$8,2,0),52))=0),"P",""))</f>
        <v/>
      </c>
      <c r="L63" s="25" t="str">
        <f aca="false">IF($A63="","",IF(AND(N(Actividades!$E32)&gt;0,L$4&gt;=Actividades!$E32,MOD(L$4-Actividades!$E32,IFERROR(VLOOKUP(Actividades!$D32,Listas!$A$2:$B$8,2,0),52))=0),"P",""))</f>
        <v/>
      </c>
      <c r="M63" s="25" t="str">
        <f aca="false">IF($A63="","",IF(AND(N(Actividades!$E32)&gt;0,M$4&gt;=Actividades!$E32,MOD(M$4-Actividades!$E32,IFERROR(VLOOKUP(Actividades!$D32,Listas!$A$2:$B$8,2,0),52))=0),"P",""))</f>
        <v/>
      </c>
      <c r="N63" s="25" t="str">
        <f aca="false">IF($A63="","",IF(AND(N(Actividades!$E32)&gt;0,N$4&gt;=Actividades!$E32,MOD(N$4-Actividades!$E32,IFERROR(VLOOKUP(Actividades!$D32,Listas!$A$2:$B$8,2,0),52))=0),"P",""))</f>
        <v/>
      </c>
      <c r="O63" s="25" t="str">
        <f aca="false">IF($A63="","",IF(AND(N(Actividades!$E32)&gt;0,O$4&gt;=Actividades!$E32,MOD(O$4-Actividades!$E32,IFERROR(VLOOKUP(Actividades!$D32,Listas!$A$2:$B$8,2,0),52))=0),"P",""))</f>
        <v/>
      </c>
      <c r="P63" s="25" t="str">
        <f aca="false">IF($A63="","",IF(AND(N(Actividades!$E32)&gt;0,P$4&gt;=Actividades!$E32,MOD(P$4-Actividades!$E32,IFERROR(VLOOKUP(Actividades!$D32,Listas!$A$2:$B$8,2,0),52))=0),"P",""))</f>
        <v/>
      </c>
      <c r="Q63" s="25" t="str">
        <f aca="false">IF($A63="","",IF(AND(N(Actividades!$E32)&gt;0,Q$4&gt;=Actividades!$E32,MOD(Q$4-Actividades!$E32,IFERROR(VLOOKUP(Actividades!$D32,Listas!$A$2:$B$8,2,0),52))=0),"P",""))</f>
        <v/>
      </c>
      <c r="R63" s="25" t="str">
        <f aca="false">IF($A63="","",IF(AND(N(Actividades!$E32)&gt;0,R$4&gt;=Actividades!$E32,MOD(R$4-Actividades!$E32,IFERROR(VLOOKUP(Actividades!$D32,Listas!$A$2:$B$8,2,0),52))=0),"P",""))</f>
        <v/>
      </c>
      <c r="S63" s="25" t="str">
        <f aca="false">IF($A63="","",IF(AND(N(Actividades!$E32)&gt;0,S$4&gt;=Actividades!$E32,MOD(S$4-Actividades!$E32,IFERROR(VLOOKUP(Actividades!$D32,Listas!$A$2:$B$8,2,0),52))=0),"P",""))</f>
        <v/>
      </c>
      <c r="T63" s="25" t="str">
        <f aca="false">IF($A63="","",IF(AND(N(Actividades!$E32)&gt;0,T$4&gt;=Actividades!$E32,MOD(T$4-Actividades!$E32,IFERROR(VLOOKUP(Actividades!$D32,Listas!$A$2:$B$8,2,0),52))=0),"P",""))</f>
        <v/>
      </c>
      <c r="U63" s="25" t="str">
        <f aca="false">IF($A63="","",IF(AND(N(Actividades!$E32)&gt;0,U$4&gt;=Actividades!$E32,MOD(U$4-Actividades!$E32,IFERROR(VLOOKUP(Actividades!$D32,Listas!$A$2:$B$8,2,0),52))=0),"P",""))</f>
        <v/>
      </c>
      <c r="V63" s="25" t="str">
        <f aca="false">IF($A63="","",IF(AND(N(Actividades!$E32)&gt;0,V$4&gt;=Actividades!$E32,MOD(V$4-Actividades!$E32,IFERROR(VLOOKUP(Actividades!$D32,Listas!$A$2:$B$8,2,0),52))=0),"P",""))</f>
        <v/>
      </c>
      <c r="W63" s="25" t="str">
        <f aca="false">IF($A63="","",IF(AND(N(Actividades!$E32)&gt;0,W$4&gt;=Actividades!$E32,MOD(W$4-Actividades!$E32,IFERROR(VLOOKUP(Actividades!$D32,Listas!$A$2:$B$8,2,0),52))=0),"P",""))</f>
        <v/>
      </c>
      <c r="X63" s="25" t="str">
        <f aca="false">IF($A63="","",IF(AND(N(Actividades!$E32)&gt;0,X$4&gt;=Actividades!$E32,MOD(X$4-Actividades!$E32,IFERROR(VLOOKUP(Actividades!$D32,Listas!$A$2:$B$8,2,0),52))=0),"P",""))</f>
        <v/>
      </c>
      <c r="Y63" s="25" t="str">
        <f aca="false">IF($A63="","",IF(AND(N(Actividades!$E32)&gt;0,Y$4&gt;=Actividades!$E32,MOD(Y$4-Actividades!$E32,IFERROR(VLOOKUP(Actividades!$D32,Listas!$A$2:$B$8,2,0),52))=0),"P",""))</f>
        <v/>
      </c>
      <c r="Z63" s="25" t="str">
        <f aca="false">IF($A63="","",IF(AND(N(Actividades!$E32)&gt;0,Z$4&gt;=Actividades!$E32,MOD(Z$4-Actividades!$E32,IFERROR(VLOOKUP(Actividades!$D32,Listas!$A$2:$B$8,2,0),52))=0),"P",""))</f>
        <v/>
      </c>
      <c r="AA63" s="25" t="str">
        <f aca="false">IF($A63="","",IF(AND(N(Actividades!$E32)&gt;0,AA$4&gt;=Actividades!$E32,MOD(AA$4-Actividades!$E32,IFERROR(VLOOKUP(Actividades!$D32,Listas!$A$2:$B$8,2,0),52))=0),"P",""))</f>
        <v/>
      </c>
      <c r="AB63" s="25" t="str">
        <f aca="false">IF($A63="","",IF(AND(N(Actividades!$E32)&gt;0,AB$4&gt;=Actividades!$E32,MOD(AB$4-Actividades!$E32,IFERROR(VLOOKUP(Actividades!$D32,Listas!$A$2:$B$8,2,0),52))=0),"P",""))</f>
        <v/>
      </c>
      <c r="AC63" s="25" t="str">
        <f aca="false">IF($A63="","",IF(AND(N(Actividades!$E32)&gt;0,AC$4&gt;=Actividades!$E32,MOD(AC$4-Actividades!$E32,IFERROR(VLOOKUP(Actividades!$D32,Listas!$A$2:$B$8,2,0),52))=0),"P",""))</f>
        <v/>
      </c>
      <c r="AD63" s="25" t="str">
        <f aca="false">IF($A63="","",IF(AND(N(Actividades!$E32)&gt;0,AD$4&gt;=Actividades!$E32,MOD(AD$4-Actividades!$E32,IFERROR(VLOOKUP(Actividades!$D32,Listas!$A$2:$B$8,2,0),52))=0),"P",""))</f>
        <v/>
      </c>
      <c r="AE63" s="25" t="str">
        <f aca="false">IF($A63="","",IF(AND(N(Actividades!$E32)&gt;0,AE$4&gt;=Actividades!$E32,MOD(AE$4-Actividades!$E32,IFERROR(VLOOKUP(Actividades!$D32,Listas!$A$2:$B$8,2,0),52))=0),"P",""))</f>
        <v/>
      </c>
      <c r="AF63" s="25" t="str">
        <f aca="false">IF($A63="","",IF(AND(N(Actividades!$E32)&gt;0,AF$4&gt;=Actividades!$E32,MOD(AF$4-Actividades!$E32,IFERROR(VLOOKUP(Actividades!$D32,Listas!$A$2:$B$8,2,0),52))=0),"P",""))</f>
        <v/>
      </c>
      <c r="AG63" s="25" t="str">
        <f aca="false">IF($A63="","",IF(AND(N(Actividades!$E32)&gt;0,AG$4&gt;=Actividades!$E32,MOD(AG$4-Actividades!$E32,IFERROR(VLOOKUP(Actividades!$D32,Listas!$A$2:$B$8,2,0),52))=0),"P",""))</f>
        <v/>
      </c>
      <c r="AH63" s="25" t="str">
        <f aca="false">IF($A63="","",IF(AND(N(Actividades!$E32)&gt;0,AH$4&gt;=Actividades!$E32,MOD(AH$4-Actividades!$E32,IFERROR(VLOOKUP(Actividades!$D32,Listas!$A$2:$B$8,2,0),52))=0),"P",""))</f>
        <v/>
      </c>
      <c r="AI63" s="25" t="str">
        <f aca="false">IF($A63="","",IF(AND(N(Actividades!$E32)&gt;0,AI$4&gt;=Actividades!$E32,MOD(AI$4-Actividades!$E32,IFERROR(VLOOKUP(Actividades!$D32,Listas!$A$2:$B$8,2,0),52))=0),"P",""))</f>
        <v/>
      </c>
      <c r="AJ63" s="25" t="str">
        <f aca="false">IF($A63="","",IF(AND(N(Actividades!$E32)&gt;0,AJ$4&gt;=Actividades!$E32,MOD(AJ$4-Actividades!$E32,IFERROR(VLOOKUP(Actividades!$D32,Listas!$A$2:$B$8,2,0),52))=0),"P",""))</f>
        <v/>
      </c>
      <c r="AK63" s="25" t="str">
        <f aca="false">IF($A63="","",IF(AND(N(Actividades!$E32)&gt;0,AK$4&gt;=Actividades!$E32,MOD(AK$4-Actividades!$E32,IFERROR(VLOOKUP(Actividades!$D32,Listas!$A$2:$B$8,2,0),52))=0),"P",""))</f>
        <v/>
      </c>
      <c r="AL63" s="25" t="str">
        <f aca="false">IF($A63="","",IF(AND(N(Actividades!$E32)&gt;0,AL$4&gt;=Actividades!$E32,MOD(AL$4-Actividades!$E32,IFERROR(VLOOKUP(Actividades!$D32,Listas!$A$2:$B$8,2,0),52))=0),"P",""))</f>
        <v/>
      </c>
      <c r="AM63" s="25" t="str">
        <f aca="false">IF($A63="","",IF(AND(N(Actividades!$E32)&gt;0,AM$4&gt;=Actividades!$E32,MOD(AM$4-Actividades!$E32,IFERROR(VLOOKUP(Actividades!$D32,Listas!$A$2:$B$8,2,0),52))=0),"P",""))</f>
        <v/>
      </c>
      <c r="AN63" s="25" t="str">
        <f aca="false">IF($A63="","",IF(AND(N(Actividades!$E32)&gt;0,AN$4&gt;=Actividades!$E32,MOD(AN$4-Actividades!$E32,IFERROR(VLOOKUP(Actividades!$D32,Listas!$A$2:$B$8,2,0),52))=0),"P",""))</f>
        <v/>
      </c>
      <c r="AO63" s="25" t="str">
        <f aca="false">IF($A63="","",IF(AND(N(Actividades!$E32)&gt;0,AO$4&gt;=Actividades!$E32,MOD(AO$4-Actividades!$E32,IFERROR(VLOOKUP(Actividades!$D32,Listas!$A$2:$B$8,2,0),52))=0),"P",""))</f>
        <v/>
      </c>
      <c r="AP63" s="25" t="str">
        <f aca="false">IF($A63="","",IF(AND(N(Actividades!$E32)&gt;0,AP$4&gt;=Actividades!$E32,MOD(AP$4-Actividades!$E32,IFERROR(VLOOKUP(Actividades!$D32,Listas!$A$2:$B$8,2,0),52))=0),"P",""))</f>
        <v/>
      </c>
      <c r="AQ63" s="25" t="str">
        <f aca="false">IF($A63="","",IF(AND(N(Actividades!$E32)&gt;0,AQ$4&gt;=Actividades!$E32,MOD(AQ$4-Actividades!$E32,IFERROR(VLOOKUP(Actividades!$D32,Listas!$A$2:$B$8,2,0),52))=0),"P",""))</f>
        <v/>
      </c>
      <c r="AR63" s="25" t="str">
        <f aca="false">IF($A63="","",IF(AND(N(Actividades!$E32)&gt;0,AR$4&gt;=Actividades!$E32,MOD(AR$4-Actividades!$E32,IFERROR(VLOOKUP(Actividades!$D32,Listas!$A$2:$B$8,2,0),52))=0),"P",""))</f>
        <v/>
      </c>
      <c r="AS63" s="25" t="str">
        <f aca="false">IF($A63="","",IF(AND(N(Actividades!$E32)&gt;0,AS$4&gt;=Actividades!$E32,MOD(AS$4-Actividades!$E32,IFERROR(VLOOKUP(Actividades!$D32,Listas!$A$2:$B$8,2,0),52))=0),"P",""))</f>
        <v/>
      </c>
      <c r="AT63" s="25" t="str">
        <f aca="false">IF($A63="","",IF(AND(N(Actividades!$E32)&gt;0,AT$4&gt;=Actividades!$E32,MOD(AT$4-Actividades!$E32,IFERROR(VLOOKUP(Actividades!$D32,Listas!$A$2:$B$8,2,0),52))=0),"P",""))</f>
        <v/>
      </c>
      <c r="AU63" s="25" t="str">
        <f aca="false">IF($A63="","",IF(AND(N(Actividades!$E32)&gt;0,AU$4&gt;=Actividades!$E32,MOD(AU$4-Actividades!$E32,IFERROR(VLOOKUP(Actividades!$D32,Listas!$A$2:$B$8,2,0),52))=0),"P",""))</f>
        <v/>
      </c>
      <c r="AV63" s="25" t="str">
        <f aca="false">IF($A63="","",IF(AND(N(Actividades!$E32)&gt;0,AV$4&gt;=Actividades!$E32,MOD(AV$4-Actividades!$E32,IFERROR(VLOOKUP(Actividades!$D32,Listas!$A$2:$B$8,2,0),52))=0),"P",""))</f>
        <v/>
      </c>
      <c r="AW63" s="25" t="str">
        <f aca="false">IF($A63="","",IF(AND(N(Actividades!$E32)&gt;0,AW$4&gt;=Actividades!$E32,MOD(AW$4-Actividades!$E32,IFERROR(VLOOKUP(Actividades!$D32,Listas!$A$2:$B$8,2,0),52))=0),"P",""))</f>
        <v/>
      </c>
      <c r="AX63" s="25" t="str">
        <f aca="false">IF($A63="","",IF(AND(N(Actividades!$E32)&gt;0,AX$4&gt;=Actividades!$E32,MOD(AX$4-Actividades!$E32,IFERROR(VLOOKUP(Actividades!$D32,Listas!$A$2:$B$8,2,0),52))=0),"P",""))</f>
        <v/>
      </c>
      <c r="AY63" s="25" t="str">
        <f aca="false">IF($A63="","",IF(AND(N(Actividades!$E32)&gt;0,AY$4&gt;=Actividades!$E32,MOD(AY$4-Actividades!$E32,IFERROR(VLOOKUP(Actividades!$D32,Listas!$A$2:$B$8,2,0),52))=0),"P",""))</f>
        <v/>
      </c>
      <c r="AZ63" s="25" t="str">
        <f aca="false">IF($A63="","",IF(AND(N(Actividades!$E32)&gt;0,AZ$4&gt;=Actividades!$E32,MOD(AZ$4-Actividades!$E32,IFERROR(VLOOKUP(Actividades!$D32,Listas!$A$2:$B$8,2,0),52))=0),"P",""))</f>
        <v/>
      </c>
      <c r="BA63" s="25" t="str">
        <f aca="false">IF($A63="","",IF(AND(N(Actividades!$E32)&gt;0,BA$4&gt;=Actividades!$E32,MOD(BA$4-Actividades!$E32,IFERROR(VLOOKUP(Actividades!$D32,Listas!$A$2:$B$8,2,0),52))=0),"P",""))</f>
        <v/>
      </c>
      <c r="BB63" s="25" t="str">
        <f aca="false">IF($A63="","",IF(AND(N(Actividades!$E32)&gt;0,BB$4&gt;=Actividades!$E32,MOD(BB$4-Actividades!$E32,IFERROR(VLOOKUP(Actividades!$D32,Listas!$A$2:$B$8,2,0),52))=0),"P",""))</f>
        <v/>
      </c>
      <c r="BC63" s="25" t="str">
        <f aca="false">IF($A63="","",IF(AND(N(Actividades!$E32)&gt;0,BC$4&gt;=Actividades!$E32,MOD(BC$4-Actividades!$E32,IFERROR(VLOOKUP(Actividades!$D32,Listas!$A$2:$B$8,2,0),52))=0),"P",""))</f>
        <v/>
      </c>
      <c r="BD63" s="26" t="str">
        <f aca="false">IF($A63="","",COUNTIF(D63:BC63,"P"))</f>
        <v/>
      </c>
      <c r="BE63" s="26" t="str">
        <f aca="false">IF($A63="","",SUMPRODUCT((D63:BC63="P")*(D64:BC64="✓")))</f>
        <v/>
      </c>
      <c r="BF63" s="27" t="str">
        <f aca="false">IF($A63="","",IF(BD63=0,"",BE63/BD63))</f>
        <v/>
      </c>
    </row>
    <row r="64" customFormat="false" ht="15" hidden="false" customHeight="false" outlineLevel="0" collapsed="false">
      <c r="A64" s="28"/>
      <c r="B64" s="28"/>
      <c r="C64" s="28" t="str">
        <f aca="false">IF($A63="","","Real")</f>
        <v/>
      </c>
      <c r="D64" s="29" t="str">
        <f aca="false">IF($A63="","",IF(COUNTIFS(Historial!$B$3:$B$502,$A63,Historial!$C$3:$C$502,$B63,Historial!$G$3:$G$502,D$4,Historial!$H$3:$H$502,$B$2)&gt;0,"✓",""))</f>
        <v/>
      </c>
      <c r="E64" s="29" t="str">
        <f aca="false">IF($A63="","",IF(COUNTIFS(Historial!$B$3:$B$502,$A63,Historial!$C$3:$C$502,$B63,Historial!$G$3:$G$502,E$4,Historial!$H$3:$H$502,$B$2)&gt;0,"✓",""))</f>
        <v/>
      </c>
      <c r="F64" s="29" t="str">
        <f aca="false">IF($A63="","",IF(COUNTIFS(Historial!$B$3:$B$502,$A63,Historial!$C$3:$C$502,$B63,Historial!$G$3:$G$502,F$4,Historial!$H$3:$H$502,$B$2)&gt;0,"✓",""))</f>
        <v/>
      </c>
      <c r="G64" s="29" t="str">
        <f aca="false">IF($A63="","",IF(COUNTIFS(Historial!$B$3:$B$502,$A63,Historial!$C$3:$C$502,$B63,Historial!$G$3:$G$502,G$4,Historial!$H$3:$H$502,$B$2)&gt;0,"✓",""))</f>
        <v/>
      </c>
      <c r="H64" s="29" t="str">
        <f aca="false">IF($A63="","",IF(COUNTIFS(Historial!$B$3:$B$502,$A63,Historial!$C$3:$C$502,$B63,Historial!$G$3:$G$502,H$4,Historial!$H$3:$H$502,$B$2)&gt;0,"✓",""))</f>
        <v/>
      </c>
      <c r="I64" s="29" t="str">
        <f aca="false">IF($A63="","",IF(COUNTIFS(Historial!$B$3:$B$502,$A63,Historial!$C$3:$C$502,$B63,Historial!$G$3:$G$502,I$4,Historial!$H$3:$H$502,$B$2)&gt;0,"✓",""))</f>
        <v/>
      </c>
      <c r="J64" s="29" t="str">
        <f aca="false">IF($A63="","",IF(COUNTIFS(Historial!$B$3:$B$502,$A63,Historial!$C$3:$C$502,$B63,Historial!$G$3:$G$502,J$4,Historial!$H$3:$H$502,$B$2)&gt;0,"✓",""))</f>
        <v/>
      </c>
      <c r="K64" s="29" t="str">
        <f aca="false">IF($A63="","",IF(COUNTIFS(Historial!$B$3:$B$502,$A63,Historial!$C$3:$C$502,$B63,Historial!$G$3:$G$502,K$4,Historial!$H$3:$H$502,$B$2)&gt;0,"✓",""))</f>
        <v/>
      </c>
      <c r="L64" s="29" t="str">
        <f aca="false">IF($A63="","",IF(COUNTIFS(Historial!$B$3:$B$502,$A63,Historial!$C$3:$C$502,$B63,Historial!$G$3:$G$502,L$4,Historial!$H$3:$H$502,$B$2)&gt;0,"✓",""))</f>
        <v/>
      </c>
      <c r="M64" s="29" t="str">
        <f aca="false">IF($A63="","",IF(COUNTIFS(Historial!$B$3:$B$502,$A63,Historial!$C$3:$C$502,$B63,Historial!$G$3:$G$502,M$4,Historial!$H$3:$H$502,$B$2)&gt;0,"✓",""))</f>
        <v/>
      </c>
      <c r="N64" s="29" t="str">
        <f aca="false">IF($A63="","",IF(COUNTIFS(Historial!$B$3:$B$502,$A63,Historial!$C$3:$C$502,$B63,Historial!$G$3:$G$502,N$4,Historial!$H$3:$H$502,$B$2)&gt;0,"✓",""))</f>
        <v/>
      </c>
      <c r="O64" s="29" t="str">
        <f aca="false">IF($A63="","",IF(COUNTIFS(Historial!$B$3:$B$502,$A63,Historial!$C$3:$C$502,$B63,Historial!$G$3:$G$502,O$4,Historial!$H$3:$H$502,$B$2)&gt;0,"✓",""))</f>
        <v/>
      </c>
      <c r="P64" s="29" t="str">
        <f aca="false">IF($A63="","",IF(COUNTIFS(Historial!$B$3:$B$502,$A63,Historial!$C$3:$C$502,$B63,Historial!$G$3:$G$502,P$4,Historial!$H$3:$H$502,$B$2)&gt;0,"✓",""))</f>
        <v/>
      </c>
      <c r="Q64" s="29" t="str">
        <f aca="false">IF($A63="","",IF(COUNTIFS(Historial!$B$3:$B$502,$A63,Historial!$C$3:$C$502,$B63,Historial!$G$3:$G$502,Q$4,Historial!$H$3:$H$502,$B$2)&gt;0,"✓",""))</f>
        <v/>
      </c>
      <c r="R64" s="29" t="str">
        <f aca="false">IF($A63="","",IF(COUNTIFS(Historial!$B$3:$B$502,$A63,Historial!$C$3:$C$502,$B63,Historial!$G$3:$G$502,R$4,Historial!$H$3:$H$502,$B$2)&gt;0,"✓",""))</f>
        <v/>
      </c>
      <c r="S64" s="29" t="str">
        <f aca="false">IF($A63="","",IF(COUNTIFS(Historial!$B$3:$B$502,$A63,Historial!$C$3:$C$502,$B63,Historial!$G$3:$G$502,S$4,Historial!$H$3:$H$502,$B$2)&gt;0,"✓",""))</f>
        <v/>
      </c>
      <c r="T64" s="29" t="str">
        <f aca="false">IF($A63="","",IF(COUNTIFS(Historial!$B$3:$B$502,$A63,Historial!$C$3:$C$502,$B63,Historial!$G$3:$G$502,T$4,Historial!$H$3:$H$502,$B$2)&gt;0,"✓",""))</f>
        <v/>
      </c>
      <c r="U64" s="29" t="str">
        <f aca="false">IF($A63="","",IF(COUNTIFS(Historial!$B$3:$B$502,$A63,Historial!$C$3:$C$502,$B63,Historial!$G$3:$G$502,U$4,Historial!$H$3:$H$502,$B$2)&gt;0,"✓",""))</f>
        <v/>
      </c>
      <c r="V64" s="29" t="str">
        <f aca="false">IF($A63="","",IF(COUNTIFS(Historial!$B$3:$B$502,$A63,Historial!$C$3:$C$502,$B63,Historial!$G$3:$G$502,V$4,Historial!$H$3:$H$502,$B$2)&gt;0,"✓",""))</f>
        <v/>
      </c>
      <c r="W64" s="29" t="str">
        <f aca="false">IF($A63="","",IF(COUNTIFS(Historial!$B$3:$B$502,$A63,Historial!$C$3:$C$502,$B63,Historial!$G$3:$G$502,W$4,Historial!$H$3:$H$502,$B$2)&gt;0,"✓",""))</f>
        <v/>
      </c>
      <c r="X64" s="29" t="str">
        <f aca="false">IF($A63="","",IF(COUNTIFS(Historial!$B$3:$B$502,$A63,Historial!$C$3:$C$502,$B63,Historial!$G$3:$G$502,X$4,Historial!$H$3:$H$502,$B$2)&gt;0,"✓",""))</f>
        <v/>
      </c>
      <c r="Y64" s="29" t="str">
        <f aca="false">IF($A63="","",IF(COUNTIFS(Historial!$B$3:$B$502,$A63,Historial!$C$3:$C$502,$B63,Historial!$G$3:$G$502,Y$4,Historial!$H$3:$H$502,$B$2)&gt;0,"✓",""))</f>
        <v/>
      </c>
      <c r="Z64" s="29" t="str">
        <f aca="false">IF($A63="","",IF(COUNTIFS(Historial!$B$3:$B$502,$A63,Historial!$C$3:$C$502,$B63,Historial!$G$3:$G$502,Z$4,Historial!$H$3:$H$502,$B$2)&gt;0,"✓",""))</f>
        <v/>
      </c>
      <c r="AA64" s="29" t="str">
        <f aca="false">IF($A63="","",IF(COUNTIFS(Historial!$B$3:$B$502,$A63,Historial!$C$3:$C$502,$B63,Historial!$G$3:$G$502,AA$4,Historial!$H$3:$H$502,$B$2)&gt;0,"✓",""))</f>
        <v/>
      </c>
      <c r="AB64" s="29" t="str">
        <f aca="false">IF($A63="","",IF(COUNTIFS(Historial!$B$3:$B$502,$A63,Historial!$C$3:$C$502,$B63,Historial!$G$3:$G$502,AB$4,Historial!$H$3:$H$502,$B$2)&gt;0,"✓",""))</f>
        <v/>
      </c>
      <c r="AC64" s="29" t="str">
        <f aca="false">IF($A63="","",IF(COUNTIFS(Historial!$B$3:$B$502,$A63,Historial!$C$3:$C$502,$B63,Historial!$G$3:$G$502,AC$4,Historial!$H$3:$H$502,$B$2)&gt;0,"✓",""))</f>
        <v/>
      </c>
      <c r="AD64" s="29" t="str">
        <f aca="false">IF($A63="","",IF(COUNTIFS(Historial!$B$3:$B$502,$A63,Historial!$C$3:$C$502,$B63,Historial!$G$3:$G$502,AD$4,Historial!$H$3:$H$502,$B$2)&gt;0,"✓",""))</f>
        <v/>
      </c>
      <c r="AE64" s="29" t="str">
        <f aca="false">IF($A63="","",IF(COUNTIFS(Historial!$B$3:$B$502,$A63,Historial!$C$3:$C$502,$B63,Historial!$G$3:$G$502,AE$4,Historial!$H$3:$H$502,$B$2)&gt;0,"✓",""))</f>
        <v/>
      </c>
      <c r="AF64" s="29" t="str">
        <f aca="false">IF($A63="","",IF(COUNTIFS(Historial!$B$3:$B$502,$A63,Historial!$C$3:$C$502,$B63,Historial!$G$3:$G$502,AF$4,Historial!$H$3:$H$502,$B$2)&gt;0,"✓",""))</f>
        <v/>
      </c>
      <c r="AG64" s="29" t="str">
        <f aca="false">IF($A63="","",IF(COUNTIFS(Historial!$B$3:$B$502,$A63,Historial!$C$3:$C$502,$B63,Historial!$G$3:$G$502,AG$4,Historial!$H$3:$H$502,$B$2)&gt;0,"✓",""))</f>
        <v/>
      </c>
      <c r="AH64" s="29" t="str">
        <f aca="false">IF($A63="","",IF(COUNTIFS(Historial!$B$3:$B$502,$A63,Historial!$C$3:$C$502,$B63,Historial!$G$3:$G$502,AH$4,Historial!$H$3:$H$502,$B$2)&gt;0,"✓",""))</f>
        <v/>
      </c>
      <c r="AI64" s="29" t="str">
        <f aca="false">IF($A63="","",IF(COUNTIFS(Historial!$B$3:$B$502,$A63,Historial!$C$3:$C$502,$B63,Historial!$G$3:$G$502,AI$4,Historial!$H$3:$H$502,$B$2)&gt;0,"✓",""))</f>
        <v/>
      </c>
      <c r="AJ64" s="29" t="str">
        <f aca="false">IF($A63="","",IF(COUNTIFS(Historial!$B$3:$B$502,$A63,Historial!$C$3:$C$502,$B63,Historial!$G$3:$G$502,AJ$4,Historial!$H$3:$H$502,$B$2)&gt;0,"✓",""))</f>
        <v/>
      </c>
      <c r="AK64" s="29" t="str">
        <f aca="false">IF($A63="","",IF(COUNTIFS(Historial!$B$3:$B$502,$A63,Historial!$C$3:$C$502,$B63,Historial!$G$3:$G$502,AK$4,Historial!$H$3:$H$502,$B$2)&gt;0,"✓",""))</f>
        <v/>
      </c>
      <c r="AL64" s="29" t="str">
        <f aca="false">IF($A63="","",IF(COUNTIFS(Historial!$B$3:$B$502,$A63,Historial!$C$3:$C$502,$B63,Historial!$G$3:$G$502,AL$4,Historial!$H$3:$H$502,$B$2)&gt;0,"✓",""))</f>
        <v/>
      </c>
      <c r="AM64" s="29" t="str">
        <f aca="false">IF($A63="","",IF(COUNTIFS(Historial!$B$3:$B$502,$A63,Historial!$C$3:$C$502,$B63,Historial!$G$3:$G$502,AM$4,Historial!$H$3:$H$502,$B$2)&gt;0,"✓",""))</f>
        <v/>
      </c>
      <c r="AN64" s="29" t="str">
        <f aca="false">IF($A63="","",IF(COUNTIFS(Historial!$B$3:$B$502,$A63,Historial!$C$3:$C$502,$B63,Historial!$G$3:$G$502,AN$4,Historial!$H$3:$H$502,$B$2)&gt;0,"✓",""))</f>
        <v/>
      </c>
      <c r="AO64" s="29" t="str">
        <f aca="false">IF($A63="","",IF(COUNTIFS(Historial!$B$3:$B$502,$A63,Historial!$C$3:$C$502,$B63,Historial!$G$3:$G$502,AO$4,Historial!$H$3:$H$502,$B$2)&gt;0,"✓",""))</f>
        <v/>
      </c>
      <c r="AP64" s="29" t="str">
        <f aca="false">IF($A63="","",IF(COUNTIFS(Historial!$B$3:$B$502,$A63,Historial!$C$3:$C$502,$B63,Historial!$G$3:$G$502,AP$4,Historial!$H$3:$H$502,$B$2)&gt;0,"✓",""))</f>
        <v/>
      </c>
      <c r="AQ64" s="29" t="str">
        <f aca="false">IF($A63="","",IF(COUNTIFS(Historial!$B$3:$B$502,$A63,Historial!$C$3:$C$502,$B63,Historial!$G$3:$G$502,AQ$4,Historial!$H$3:$H$502,$B$2)&gt;0,"✓",""))</f>
        <v/>
      </c>
      <c r="AR64" s="29" t="str">
        <f aca="false">IF($A63="","",IF(COUNTIFS(Historial!$B$3:$B$502,$A63,Historial!$C$3:$C$502,$B63,Historial!$G$3:$G$502,AR$4,Historial!$H$3:$H$502,$B$2)&gt;0,"✓",""))</f>
        <v/>
      </c>
      <c r="AS64" s="29" t="str">
        <f aca="false">IF($A63="","",IF(COUNTIFS(Historial!$B$3:$B$502,$A63,Historial!$C$3:$C$502,$B63,Historial!$G$3:$G$502,AS$4,Historial!$H$3:$H$502,$B$2)&gt;0,"✓",""))</f>
        <v/>
      </c>
      <c r="AT64" s="29" t="str">
        <f aca="false">IF($A63="","",IF(COUNTIFS(Historial!$B$3:$B$502,$A63,Historial!$C$3:$C$502,$B63,Historial!$G$3:$G$502,AT$4,Historial!$H$3:$H$502,$B$2)&gt;0,"✓",""))</f>
        <v/>
      </c>
      <c r="AU64" s="29" t="str">
        <f aca="false">IF($A63="","",IF(COUNTIFS(Historial!$B$3:$B$502,$A63,Historial!$C$3:$C$502,$B63,Historial!$G$3:$G$502,AU$4,Historial!$H$3:$H$502,$B$2)&gt;0,"✓",""))</f>
        <v/>
      </c>
      <c r="AV64" s="29" t="str">
        <f aca="false">IF($A63="","",IF(COUNTIFS(Historial!$B$3:$B$502,$A63,Historial!$C$3:$C$502,$B63,Historial!$G$3:$G$502,AV$4,Historial!$H$3:$H$502,$B$2)&gt;0,"✓",""))</f>
        <v/>
      </c>
      <c r="AW64" s="29" t="str">
        <f aca="false">IF($A63="","",IF(COUNTIFS(Historial!$B$3:$B$502,$A63,Historial!$C$3:$C$502,$B63,Historial!$G$3:$G$502,AW$4,Historial!$H$3:$H$502,$B$2)&gt;0,"✓",""))</f>
        <v/>
      </c>
      <c r="AX64" s="29" t="str">
        <f aca="false">IF($A63="","",IF(COUNTIFS(Historial!$B$3:$B$502,$A63,Historial!$C$3:$C$502,$B63,Historial!$G$3:$G$502,AX$4,Historial!$H$3:$H$502,$B$2)&gt;0,"✓",""))</f>
        <v/>
      </c>
      <c r="AY64" s="29" t="str">
        <f aca="false">IF($A63="","",IF(COUNTIFS(Historial!$B$3:$B$502,$A63,Historial!$C$3:$C$502,$B63,Historial!$G$3:$G$502,AY$4,Historial!$H$3:$H$502,$B$2)&gt;0,"✓",""))</f>
        <v/>
      </c>
      <c r="AZ64" s="29" t="str">
        <f aca="false">IF($A63="","",IF(COUNTIFS(Historial!$B$3:$B$502,$A63,Historial!$C$3:$C$502,$B63,Historial!$G$3:$G$502,AZ$4,Historial!$H$3:$H$502,$B$2)&gt;0,"✓",""))</f>
        <v/>
      </c>
      <c r="BA64" s="29" t="str">
        <f aca="false">IF($A63="","",IF(COUNTIFS(Historial!$B$3:$B$502,$A63,Historial!$C$3:$C$502,$B63,Historial!$G$3:$G$502,BA$4,Historial!$H$3:$H$502,$B$2)&gt;0,"✓",""))</f>
        <v/>
      </c>
      <c r="BB64" s="29" t="str">
        <f aca="false">IF($A63="","",IF(COUNTIFS(Historial!$B$3:$B$502,$A63,Historial!$C$3:$C$502,$B63,Historial!$G$3:$G$502,BB$4,Historial!$H$3:$H$502,$B$2)&gt;0,"✓",""))</f>
        <v/>
      </c>
      <c r="BC64" s="29" t="str">
        <f aca="false">IF($A63="","",IF(COUNTIFS(Historial!$B$3:$B$502,$A63,Historial!$C$3:$C$502,$B63,Historial!$G$3:$G$502,BC$4,Historial!$H$3:$H$502,$B$2)&gt;0,"✓",""))</f>
        <v/>
      </c>
      <c r="BD64" s="29"/>
      <c r="BE64" s="29"/>
      <c r="BF64" s="29"/>
    </row>
    <row r="65" customFormat="false" ht="15" hidden="false" customHeight="false" outlineLevel="0" collapsed="false">
      <c r="A65" s="24" t="str">
        <f aca="false">IF(Actividades!$B33="","",Actividades!$B33)</f>
        <v/>
      </c>
      <c r="B65" s="24" t="str">
        <f aca="false">IF(Actividades!$C33="","",Actividades!$C33)</f>
        <v/>
      </c>
      <c r="C65" s="24" t="str">
        <f aca="false">IF($A65="","","Plan")</f>
        <v/>
      </c>
      <c r="D65" s="25" t="str">
        <f aca="false">IF($A65="","",IF(AND(N(Actividades!$E33)&gt;0,D$4&gt;=Actividades!$E33,MOD(D$4-Actividades!$E33,IFERROR(VLOOKUP(Actividades!$D33,Listas!$A$2:$B$8,2,0),52))=0),"P",""))</f>
        <v/>
      </c>
      <c r="E65" s="25" t="str">
        <f aca="false">IF($A65="","",IF(AND(N(Actividades!$E33)&gt;0,E$4&gt;=Actividades!$E33,MOD(E$4-Actividades!$E33,IFERROR(VLOOKUP(Actividades!$D33,Listas!$A$2:$B$8,2,0),52))=0),"P",""))</f>
        <v/>
      </c>
      <c r="F65" s="25" t="str">
        <f aca="false">IF($A65="","",IF(AND(N(Actividades!$E33)&gt;0,F$4&gt;=Actividades!$E33,MOD(F$4-Actividades!$E33,IFERROR(VLOOKUP(Actividades!$D33,Listas!$A$2:$B$8,2,0),52))=0),"P",""))</f>
        <v/>
      </c>
      <c r="G65" s="25" t="str">
        <f aca="false">IF($A65="","",IF(AND(N(Actividades!$E33)&gt;0,G$4&gt;=Actividades!$E33,MOD(G$4-Actividades!$E33,IFERROR(VLOOKUP(Actividades!$D33,Listas!$A$2:$B$8,2,0),52))=0),"P",""))</f>
        <v/>
      </c>
      <c r="H65" s="25" t="str">
        <f aca="false">IF($A65="","",IF(AND(N(Actividades!$E33)&gt;0,H$4&gt;=Actividades!$E33,MOD(H$4-Actividades!$E33,IFERROR(VLOOKUP(Actividades!$D33,Listas!$A$2:$B$8,2,0),52))=0),"P",""))</f>
        <v/>
      </c>
      <c r="I65" s="25" t="str">
        <f aca="false">IF($A65="","",IF(AND(N(Actividades!$E33)&gt;0,I$4&gt;=Actividades!$E33,MOD(I$4-Actividades!$E33,IFERROR(VLOOKUP(Actividades!$D33,Listas!$A$2:$B$8,2,0),52))=0),"P",""))</f>
        <v/>
      </c>
      <c r="J65" s="25" t="str">
        <f aca="false">IF($A65="","",IF(AND(N(Actividades!$E33)&gt;0,J$4&gt;=Actividades!$E33,MOD(J$4-Actividades!$E33,IFERROR(VLOOKUP(Actividades!$D33,Listas!$A$2:$B$8,2,0),52))=0),"P",""))</f>
        <v/>
      </c>
      <c r="K65" s="25" t="str">
        <f aca="false">IF($A65="","",IF(AND(N(Actividades!$E33)&gt;0,K$4&gt;=Actividades!$E33,MOD(K$4-Actividades!$E33,IFERROR(VLOOKUP(Actividades!$D33,Listas!$A$2:$B$8,2,0),52))=0),"P",""))</f>
        <v/>
      </c>
      <c r="L65" s="25" t="str">
        <f aca="false">IF($A65="","",IF(AND(N(Actividades!$E33)&gt;0,L$4&gt;=Actividades!$E33,MOD(L$4-Actividades!$E33,IFERROR(VLOOKUP(Actividades!$D33,Listas!$A$2:$B$8,2,0),52))=0),"P",""))</f>
        <v/>
      </c>
      <c r="M65" s="25" t="str">
        <f aca="false">IF($A65="","",IF(AND(N(Actividades!$E33)&gt;0,M$4&gt;=Actividades!$E33,MOD(M$4-Actividades!$E33,IFERROR(VLOOKUP(Actividades!$D33,Listas!$A$2:$B$8,2,0),52))=0),"P",""))</f>
        <v/>
      </c>
      <c r="N65" s="25" t="str">
        <f aca="false">IF($A65="","",IF(AND(N(Actividades!$E33)&gt;0,N$4&gt;=Actividades!$E33,MOD(N$4-Actividades!$E33,IFERROR(VLOOKUP(Actividades!$D33,Listas!$A$2:$B$8,2,0),52))=0),"P",""))</f>
        <v/>
      </c>
      <c r="O65" s="25" t="str">
        <f aca="false">IF($A65="","",IF(AND(N(Actividades!$E33)&gt;0,O$4&gt;=Actividades!$E33,MOD(O$4-Actividades!$E33,IFERROR(VLOOKUP(Actividades!$D33,Listas!$A$2:$B$8,2,0),52))=0),"P",""))</f>
        <v/>
      </c>
      <c r="P65" s="25" t="str">
        <f aca="false">IF($A65="","",IF(AND(N(Actividades!$E33)&gt;0,P$4&gt;=Actividades!$E33,MOD(P$4-Actividades!$E33,IFERROR(VLOOKUP(Actividades!$D33,Listas!$A$2:$B$8,2,0),52))=0),"P",""))</f>
        <v/>
      </c>
      <c r="Q65" s="25" t="str">
        <f aca="false">IF($A65="","",IF(AND(N(Actividades!$E33)&gt;0,Q$4&gt;=Actividades!$E33,MOD(Q$4-Actividades!$E33,IFERROR(VLOOKUP(Actividades!$D33,Listas!$A$2:$B$8,2,0),52))=0),"P",""))</f>
        <v/>
      </c>
      <c r="R65" s="25" t="str">
        <f aca="false">IF($A65="","",IF(AND(N(Actividades!$E33)&gt;0,R$4&gt;=Actividades!$E33,MOD(R$4-Actividades!$E33,IFERROR(VLOOKUP(Actividades!$D33,Listas!$A$2:$B$8,2,0),52))=0),"P",""))</f>
        <v/>
      </c>
      <c r="S65" s="25" t="str">
        <f aca="false">IF($A65="","",IF(AND(N(Actividades!$E33)&gt;0,S$4&gt;=Actividades!$E33,MOD(S$4-Actividades!$E33,IFERROR(VLOOKUP(Actividades!$D33,Listas!$A$2:$B$8,2,0),52))=0),"P",""))</f>
        <v/>
      </c>
      <c r="T65" s="25" t="str">
        <f aca="false">IF($A65="","",IF(AND(N(Actividades!$E33)&gt;0,T$4&gt;=Actividades!$E33,MOD(T$4-Actividades!$E33,IFERROR(VLOOKUP(Actividades!$D33,Listas!$A$2:$B$8,2,0),52))=0),"P",""))</f>
        <v/>
      </c>
      <c r="U65" s="25" t="str">
        <f aca="false">IF($A65="","",IF(AND(N(Actividades!$E33)&gt;0,U$4&gt;=Actividades!$E33,MOD(U$4-Actividades!$E33,IFERROR(VLOOKUP(Actividades!$D33,Listas!$A$2:$B$8,2,0),52))=0),"P",""))</f>
        <v/>
      </c>
      <c r="V65" s="25" t="str">
        <f aca="false">IF($A65="","",IF(AND(N(Actividades!$E33)&gt;0,V$4&gt;=Actividades!$E33,MOD(V$4-Actividades!$E33,IFERROR(VLOOKUP(Actividades!$D33,Listas!$A$2:$B$8,2,0),52))=0),"P",""))</f>
        <v/>
      </c>
      <c r="W65" s="25" t="str">
        <f aca="false">IF($A65="","",IF(AND(N(Actividades!$E33)&gt;0,W$4&gt;=Actividades!$E33,MOD(W$4-Actividades!$E33,IFERROR(VLOOKUP(Actividades!$D33,Listas!$A$2:$B$8,2,0),52))=0),"P",""))</f>
        <v/>
      </c>
      <c r="X65" s="25" t="str">
        <f aca="false">IF($A65="","",IF(AND(N(Actividades!$E33)&gt;0,X$4&gt;=Actividades!$E33,MOD(X$4-Actividades!$E33,IFERROR(VLOOKUP(Actividades!$D33,Listas!$A$2:$B$8,2,0),52))=0),"P",""))</f>
        <v/>
      </c>
      <c r="Y65" s="25" t="str">
        <f aca="false">IF($A65="","",IF(AND(N(Actividades!$E33)&gt;0,Y$4&gt;=Actividades!$E33,MOD(Y$4-Actividades!$E33,IFERROR(VLOOKUP(Actividades!$D33,Listas!$A$2:$B$8,2,0),52))=0),"P",""))</f>
        <v/>
      </c>
      <c r="Z65" s="25" t="str">
        <f aca="false">IF($A65="","",IF(AND(N(Actividades!$E33)&gt;0,Z$4&gt;=Actividades!$E33,MOD(Z$4-Actividades!$E33,IFERROR(VLOOKUP(Actividades!$D33,Listas!$A$2:$B$8,2,0),52))=0),"P",""))</f>
        <v/>
      </c>
      <c r="AA65" s="25" t="str">
        <f aca="false">IF($A65="","",IF(AND(N(Actividades!$E33)&gt;0,AA$4&gt;=Actividades!$E33,MOD(AA$4-Actividades!$E33,IFERROR(VLOOKUP(Actividades!$D33,Listas!$A$2:$B$8,2,0),52))=0),"P",""))</f>
        <v/>
      </c>
      <c r="AB65" s="25" t="str">
        <f aca="false">IF($A65="","",IF(AND(N(Actividades!$E33)&gt;0,AB$4&gt;=Actividades!$E33,MOD(AB$4-Actividades!$E33,IFERROR(VLOOKUP(Actividades!$D33,Listas!$A$2:$B$8,2,0),52))=0),"P",""))</f>
        <v/>
      </c>
      <c r="AC65" s="25" t="str">
        <f aca="false">IF($A65="","",IF(AND(N(Actividades!$E33)&gt;0,AC$4&gt;=Actividades!$E33,MOD(AC$4-Actividades!$E33,IFERROR(VLOOKUP(Actividades!$D33,Listas!$A$2:$B$8,2,0),52))=0),"P",""))</f>
        <v/>
      </c>
      <c r="AD65" s="25" t="str">
        <f aca="false">IF($A65="","",IF(AND(N(Actividades!$E33)&gt;0,AD$4&gt;=Actividades!$E33,MOD(AD$4-Actividades!$E33,IFERROR(VLOOKUP(Actividades!$D33,Listas!$A$2:$B$8,2,0),52))=0),"P",""))</f>
        <v/>
      </c>
      <c r="AE65" s="25" t="str">
        <f aca="false">IF($A65="","",IF(AND(N(Actividades!$E33)&gt;0,AE$4&gt;=Actividades!$E33,MOD(AE$4-Actividades!$E33,IFERROR(VLOOKUP(Actividades!$D33,Listas!$A$2:$B$8,2,0),52))=0),"P",""))</f>
        <v/>
      </c>
      <c r="AF65" s="25" t="str">
        <f aca="false">IF($A65="","",IF(AND(N(Actividades!$E33)&gt;0,AF$4&gt;=Actividades!$E33,MOD(AF$4-Actividades!$E33,IFERROR(VLOOKUP(Actividades!$D33,Listas!$A$2:$B$8,2,0),52))=0),"P",""))</f>
        <v/>
      </c>
      <c r="AG65" s="25" t="str">
        <f aca="false">IF($A65="","",IF(AND(N(Actividades!$E33)&gt;0,AG$4&gt;=Actividades!$E33,MOD(AG$4-Actividades!$E33,IFERROR(VLOOKUP(Actividades!$D33,Listas!$A$2:$B$8,2,0),52))=0),"P",""))</f>
        <v/>
      </c>
      <c r="AH65" s="25" t="str">
        <f aca="false">IF($A65="","",IF(AND(N(Actividades!$E33)&gt;0,AH$4&gt;=Actividades!$E33,MOD(AH$4-Actividades!$E33,IFERROR(VLOOKUP(Actividades!$D33,Listas!$A$2:$B$8,2,0),52))=0),"P",""))</f>
        <v/>
      </c>
      <c r="AI65" s="25" t="str">
        <f aca="false">IF($A65="","",IF(AND(N(Actividades!$E33)&gt;0,AI$4&gt;=Actividades!$E33,MOD(AI$4-Actividades!$E33,IFERROR(VLOOKUP(Actividades!$D33,Listas!$A$2:$B$8,2,0),52))=0),"P",""))</f>
        <v/>
      </c>
      <c r="AJ65" s="25" t="str">
        <f aca="false">IF($A65="","",IF(AND(N(Actividades!$E33)&gt;0,AJ$4&gt;=Actividades!$E33,MOD(AJ$4-Actividades!$E33,IFERROR(VLOOKUP(Actividades!$D33,Listas!$A$2:$B$8,2,0),52))=0),"P",""))</f>
        <v/>
      </c>
      <c r="AK65" s="25" t="str">
        <f aca="false">IF($A65="","",IF(AND(N(Actividades!$E33)&gt;0,AK$4&gt;=Actividades!$E33,MOD(AK$4-Actividades!$E33,IFERROR(VLOOKUP(Actividades!$D33,Listas!$A$2:$B$8,2,0),52))=0),"P",""))</f>
        <v/>
      </c>
      <c r="AL65" s="25" t="str">
        <f aca="false">IF($A65="","",IF(AND(N(Actividades!$E33)&gt;0,AL$4&gt;=Actividades!$E33,MOD(AL$4-Actividades!$E33,IFERROR(VLOOKUP(Actividades!$D33,Listas!$A$2:$B$8,2,0),52))=0),"P",""))</f>
        <v/>
      </c>
      <c r="AM65" s="25" t="str">
        <f aca="false">IF($A65="","",IF(AND(N(Actividades!$E33)&gt;0,AM$4&gt;=Actividades!$E33,MOD(AM$4-Actividades!$E33,IFERROR(VLOOKUP(Actividades!$D33,Listas!$A$2:$B$8,2,0),52))=0),"P",""))</f>
        <v/>
      </c>
      <c r="AN65" s="25" t="str">
        <f aca="false">IF($A65="","",IF(AND(N(Actividades!$E33)&gt;0,AN$4&gt;=Actividades!$E33,MOD(AN$4-Actividades!$E33,IFERROR(VLOOKUP(Actividades!$D33,Listas!$A$2:$B$8,2,0),52))=0),"P",""))</f>
        <v/>
      </c>
      <c r="AO65" s="25" t="str">
        <f aca="false">IF($A65="","",IF(AND(N(Actividades!$E33)&gt;0,AO$4&gt;=Actividades!$E33,MOD(AO$4-Actividades!$E33,IFERROR(VLOOKUP(Actividades!$D33,Listas!$A$2:$B$8,2,0),52))=0),"P",""))</f>
        <v/>
      </c>
      <c r="AP65" s="25" t="str">
        <f aca="false">IF($A65="","",IF(AND(N(Actividades!$E33)&gt;0,AP$4&gt;=Actividades!$E33,MOD(AP$4-Actividades!$E33,IFERROR(VLOOKUP(Actividades!$D33,Listas!$A$2:$B$8,2,0),52))=0),"P",""))</f>
        <v/>
      </c>
      <c r="AQ65" s="25" t="str">
        <f aca="false">IF($A65="","",IF(AND(N(Actividades!$E33)&gt;0,AQ$4&gt;=Actividades!$E33,MOD(AQ$4-Actividades!$E33,IFERROR(VLOOKUP(Actividades!$D33,Listas!$A$2:$B$8,2,0),52))=0),"P",""))</f>
        <v/>
      </c>
      <c r="AR65" s="25" t="str">
        <f aca="false">IF($A65="","",IF(AND(N(Actividades!$E33)&gt;0,AR$4&gt;=Actividades!$E33,MOD(AR$4-Actividades!$E33,IFERROR(VLOOKUP(Actividades!$D33,Listas!$A$2:$B$8,2,0),52))=0),"P",""))</f>
        <v/>
      </c>
      <c r="AS65" s="25" t="str">
        <f aca="false">IF($A65="","",IF(AND(N(Actividades!$E33)&gt;0,AS$4&gt;=Actividades!$E33,MOD(AS$4-Actividades!$E33,IFERROR(VLOOKUP(Actividades!$D33,Listas!$A$2:$B$8,2,0),52))=0),"P",""))</f>
        <v/>
      </c>
      <c r="AT65" s="25" t="str">
        <f aca="false">IF($A65="","",IF(AND(N(Actividades!$E33)&gt;0,AT$4&gt;=Actividades!$E33,MOD(AT$4-Actividades!$E33,IFERROR(VLOOKUP(Actividades!$D33,Listas!$A$2:$B$8,2,0),52))=0),"P",""))</f>
        <v/>
      </c>
      <c r="AU65" s="25" t="str">
        <f aca="false">IF($A65="","",IF(AND(N(Actividades!$E33)&gt;0,AU$4&gt;=Actividades!$E33,MOD(AU$4-Actividades!$E33,IFERROR(VLOOKUP(Actividades!$D33,Listas!$A$2:$B$8,2,0),52))=0),"P",""))</f>
        <v/>
      </c>
      <c r="AV65" s="25" t="str">
        <f aca="false">IF($A65="","",IF(AND(N(Actividades!$E33)&gt;0,AV$4&gt;=Actividades!$E33,MOD(AV$4-Actividades!$E33,IFERROR(VLOOKUP(Actividades!$D33,Listas!$A$2:$B$8,2,0),52))=0),"P",""))</f>
        <v/>
      </c>
      <c r="AW65" s="25" t="str">
        <f aca="false">IF($A65="","",IF(AND(N(Actividades!$E33)&gt;0,AW$4&gt;=Actividades!$E33,MOD(AW$4-Actividades!$E33,IFERROR(VLOOKUP(Actividades!$D33,Listas!$A$2:$B$8,2,0),52))=0),"P",""))</f>
        <v/>
      </c>
      <c r="AX65" s="25" t="str">
        <f aca="false">IF($A65="","",IF(AND(N(Actividades!$E33)&gt;0,AX$4&gt;=Actividades!$E33,MOD(AX$4-Actividades!$E33,IFERROR(VLOOKUP(Actividades!$D33,Listas!$A$2:$B$8,2,0),52))=0),"P",""))</f>
        <v/>
      </c>
      <c r="AY65" s="25" t="str">
        <f aca="false">IF($A65="","",IF(AND(N(Actividades!$E33)&gt;0,AY$4&gt;=Actividades!$E33,MOD(AY$4-Actividades!$E33,IFERROR(VLOOKUP(Actividades!$D33,Listas!$A$2:$B$8,2,0),52))=0),"P",""))</f>
        <v/>
      </c>
      <c r="AZ65" s="25" t="str">
        <f aca="false">IF($A65="","",IF(AND(N(Actividades!$E33)&gt;0,AZ$4&gt;=Actividades!$E33,MOD(AZ$4-Actividades!$E33,IFERROR(VLOOKUP(Actividades!$D33,Listas!$A$2:$B$8,2,0),52))=0),"P",""))</f>
        <v/>
      </c>
      <c r="BA65" s="25" t="str">
        <f aca="false">IF($A65="","",IF(AND(N(Actividades!$E33)&gt;0,BA$4&gt;=Actividades!$E33,MOD(BA$4-Actividades!$E33,IFERROR(VLOOKUP(Actividades!$D33,Listas!$A$2:$B$8,2,0),52))=0),"P",""))</f>
        <v/>
      </c>
      <c r="BB65" s="25" t="str">
        <f aca="false">IF($A65="","",IF(AND(N(Actividades!$E33)&gt;0,BB$4&gt;=Actividades!$E33,MOD(BB$4-Actividades!$E33,IFERROR(VLOOKUP(Actividades!$D33,Listas!$A$2:$B$8,2,0),52))=0),"P",""))</f>
        <v/>
      </c>
      <c r="BC65" s="25" t="str">
        <f aca="false">IF($A65="","",IF(AND(N(Actividades!$E33)&gt;0,BC$4&gt;=Actividades!$E33,MOD(BC$4-Actividades!$E33,IFERROR(VLOOKUP(Actividades!$D33,Listas!$A$2:$B$8,2,0),52))=0),"P",""))</f>
        <v/>
      </c>
      <c r="BD65" s="26" t="str">
        <f aca="false">IF($A65="","",COUNTIF(D65:BC65,"P"))</f>
        <v/>
      </c>
      <c r="BE65" s="26" t="str">
        <f aca="false">IF($A65="","",SUMPRODUCT((D65:BC65="P")*(D66:BC66="✓")))</f>
        <v/>
      </c>
      <c r="BF65" s="27" t="str">
        <f aca="false">IF($A65="","",IF(BD65=0,"",BE65/BD65))</f>
        <v/>
      </c>
    </row>
    <row r="66" customFormat="false" ht="15" hidden="false" customHeight="false" outlineLevel="0" collapsed="false">
      <c r="A66" s="28"/>
      <c r="B66" s="28"/>
      <c r="C66" s="28" t="str">
        <f aca="false">IF($A65="","","Real")</f>
        <v/>
      </c>
      <c r="D66" s="29" t="str">
        <f aca="false">IF($A65="","",IF(COUNTIFS(Historial!$B$3:$B$502,$A65,Historial!$C$3:$C$502,$B65,Historial!$G$3:$G$502,D$4,Historial!$H$3:$H$502,$B$2)&gt;0,"✓",""))</f>
        <v/>
      </c>
      <c r="E66" s="29" t="str">
        <f aca="false">IF($A65="","",IF(COUNTIFS(Historial!$B$3:$B$502,$A65,Historial!$C$3:$C$502,$B65,Historial!$G$3:$G$502,E$4,Historial!$H$3:$H$502,$B$2)&gt;0,"✓",""))</f>
        <v/>
      </c>
      <c r="F66" s="29" t="str">
        <f aca="false">IF($A65="","",IF(COUNTIFS(Historial!$B$3:$B$502,$A65,Historial!$C$3:$C$502,$B65,Historial!$G$3:$G$502,F$4,Historial!$H$3:$H$502,$B$2)&gt;0,"✓",""))</f>
        <v/>
      </c>
      <c r="G66" s="29" t="str">
        <f aca="false">IF($A65="","",IF(COUNTIFS(Historial!$B$3:$B$502,$A65,Historial!$C$3:$C$502,$B65,Historial!$G$3:$G$502,G$4,Historial!$H$3:$H$502,$B$2)&gt;0,"✓",""))</f>
        <v/>
      </c>
      <c r="H66" s="29" t="str">
        <f aca="false">IF($A65="","",IF(COUNTIFS(Historial!$B$3:$B$502,$A65,Historial!$C$3:$C$502,$B65,Historial!$G$3:$G$502,H$4,Historial!$H$3:$H$502,$B$2)&gt;0,"✓",""))</f>
        <v/>
      </c>
      <c r="I66" s="29" t="str">
        <f aca="false">IF($A65="","",IF(COUNTIFS(Historial!$B$3:$B$502,$A65,Historial!$C$3:$C$502,$B65,Historial!$G$3:$G$502,I$4,Historial!$H$3:$H$502,$B$2)&gt;0,"✓",""))</f>
        <v/>
      </c>
      <c r="J66" s="29" t="str">
        <f aca="false">IF($A65="","",IF(COUNTIFS(Historial!$B$3:$B$502,$A65,Historial!$C$3:$C$502,$B65,Historial!$G$3:$G$502,J$4,Historial!$H$3:$H$502,$B$2)&gt;0,"✓",""))</f>
        <v/>
      </c>
      <c r="K66" s="29" t="str">
        <f aca="false">IF($A65="","",IF(COUNTIFS(Historial!$B$3:$B$502,$A65,Historial!$C$3:$C$502,$B65,Historial!$G$3:$G$502,K$4,Historial!$H$3:$H$502,$B$2)&gt;0,"✓",""))</f>
        <v/>
      </c>
      <c r="L66" s="29" t="str">
        <f aca="false">IF($A65="","",IF(COUNTIFS(Historial!$B$3:$B$502,$A65,Historial!$C$3:$C$502,$B65,Historial!$G$3:$G$502,L$4,Historial!$H$3:$H$502,$B$2)&gt;0,"✓",""))</f>
        <v/>
      </c>
      <c r="M66" s="29" t="str">
        <f aca="false">IF($A65="","",IF(COUNTIFS(Historial!$B$3:$B$502,$A65,Historial!$C$3:$C$502,$B65,Historial!$G$3:$G$502,M$4,Historial!$H$3:$H$502,$B$2)&gt;0,"✓",""))</f>
        <v/>
      </c>
      <c r="N66" s="29" t="str">
        <f aca="false">IF($A65="","",IF(COUNTIFS(Historial!$B$3:$B$502,$A65,Historial!$C$3:$C$502,$B65,Historial!$G$3:$G$502,N$4,Historial!$H$3:$H$502,$B$2)&gt;0,"✓",""))</f>
        <v/>
      </c>
      <c r="O66" s="29" t="str">
        <f aca="false">IF($A65="","",IF(COUNTIFS(Historial!$B$3:$B$502,$A65,Historial!$C$3:$C$502,$B65,Historial!$G$3:$G$502,O$4,Historial!$H$3:$H$502,$B$2)&gt;0,"✓",""))</f>
        <v/>
      </c>
      <c r="P66" s="29" t="str">
        <f aca="false">IF($A65="","",IF(COUNTIFS(Historial!$B$3:$B$502,$A65,Historial!$C$3:$C$502,$B65,Historial!$G$3:$G$502,P$4,Historial!$H$3:$H$502,$B$2)&gt;0,"✓",""))</f>
        <v/>
      </c>
      <c r="Q66" s="29" t="str">
        <f aca="false">IF($A65="","",IF(COUNTIFS(Historial!$B$3:$B$502,$A65,Historial!$C$3:$C$502,$B65,Historial!$G$3:$G$502,Q$4,Historial!$H$3:$H$502,$B$2)&gt;0,"✓",""))</f>
        <v/>
      </c>
      <c r="R66" s="29" t="str">
        <f aca="false">IF($A65="","",IF(COUNTIFS(Historial!$B$3:$B$502,$A65,Historial!$C$3:$C$502,$B65,Historial!$G$3:$G$502,R$4,Historial!$H$3:$H$502,$B$2)&gt;0,"✓",""))</f>
        <v/>
      </c>
      <c r="S66" s="29" t="str">
        <f aca="false">IF($A65="","",IF(COUNTIFS(Historial!$B$3:$B$502,$A65,Historial!$C$3:$C$502,$B65,Historial!$G$3:$G$502,S$4,Historial!$H$3:$H$502,$B$2)&gt;0,"✓",""))</f>
        <v/>
      </c>
      <c r="T66" s="29" t="str">
        <f aca="false">IF($A65="","",IF(COUNTIFS(Historial!$B$3:$B$502,$A65,Historial!$C$3:$C$502,$B65,Historial!$G$3:$G$502,T$4,Historial!$H$3:$H$502,$B$2)&gt;0,"✓",""))</f>
        <v/>
      </c>
      <c r="U66" s="29" t="str">
        <f aca="false">IF($A65="","",IF(COUNTIFS(Historial!$B$3:$B$502,$A65,Historial!$C$3:$C$502,$B65,Historial!$G$3:$G$502,U$4,Historial!$H$3:$H$502,$B$2)&gt;0,"✓",""))</f>
        <v/>
      </c>
      <c r="V66" s="29" t="str">
        <f aca="false">IF($A65="","",IF(COUNTIFS(Historial!$B$3:$B$502,$A65,Historial!$C$3:$C$502,$B65,Historial!$G$3:$G$502,V$4,Historial!$H$3:$H$502,$B$2)&gt;0,"✓",""))</f>
        <v/>
      </c>
      <c r="W66" s="29" t="str">
        <f aca="false">IF($A65="","",IF(COUNTIFS(Historial!$B$3:$B$502,$A65,Historial!$C$3:$C$502,$B65,Historial!$G$3:$G$502,W$4,Historial!$H$3:$H$502,$B$2)&gt;0,"✓",""))</f>
        <v/>
      </c>
      <c r="X66" s="29" t="str">
        <f aca="false">IF($A65="","",IF(COUNTIFS(Historial!$B$3:$B$502,$A65,Historial!$C$3:$C$502,$B65,Historial!$G$3:$G$502,X$4,Historial!$H$3:$H$502,$B$2)&gt;0,"✓",""))</f>
        <v/>
      </c>
      <c r="Y66" s="29" t="str">
        <f aca="false">IF($A65="","",IF(COUNTIFS(Historial!$B$3:$B$502,$A65,Historial!$C$3:$C$502,$B65,Historial!$G$3:$G$502,Y$4,Historial!$H$3:$H$502,$B$2)&gt;0,"✓",""))</f>
        <v/>
      </c>
      <c r="Z66" s="29" t="str">
        <f aca="false">IF($A65="","",IF(COUNTIFS(Historial!$B$3:$B$502,$A65,Historial!$C$3:$C$502,$B65,Historial!$G$3:$G$502,Z$4,Historial!$H$3:$H$502,$B$2)&gt;0,"✓",""))</f>
        <v/>
      </c>
      <c r="AA66" s="29" t="str">
        <f aca="false">IF($A65="","",IF(COUNTIFS(Historial!$B$3:$B$502,$A65,Historial!$C$3:$C$502,$B65,Historial!$G$3:$G$502,AA$4,Historial!$H$3:$H$502,$B$2)&gt;0,"✓",""))</f>
        <v/>
      </c>
      <c r="AB66" s="29" t="str">
        <f aca="false">IF($A65="","",IF(COUNTIFS(Historial!$B$3:$B$502,$A65,Historial!$C$3:$C$502,$B65,Historial!$G$3:$G$502,AB$4,Historial!$H$3:$H$502,$B$2)&gt;0,"✓",""))</f>
        <v/>
      </c>
      <c r="AC66" s="29" t="str">
        <f aca="false">IF($A65="","",IF(COUNTIFS(Historial!$B$3:$B$502,$A65,Historial!$C$3:$C$502,$B65,Historial!$G$3:$G$502,AC$4,Historial!$H$3:$H$502,$B$2)&gt;0,"✓",""))</f>
        <v/>
      </c>
      <c r="AD66" s="29" t="str">
        <f aca="false">IF($A65="","",IF(COUNTIFS(Historial!$B$3:$B$502,$A65,Historial!$C$3:$C$502,$B65,Historial!$G$3:$G$502,AD$4,Historial!$H$3:$H$502,$B$2)&gt;0,"✓",""))</f>
        <v/>
      </c>
      <c r="AE66" s="29" t="str">
        <f aca="false">IF($A65="","",IF(COUNTIFS(Historial!$B$3:$B$502,$A65,Historial!$C$3:$C$502,$B65,Historial!$G$3:$G$502,AE$4,Historial!$H$3:$H$502,$B$2)&gt;0,"✓",""))</f>
        <v/>
      </c>
      <c r="AF66" s="29" t="str">
        <f aca="false">IF($A65="","",IF(COUNTIFS(Historial!$B$3:$B$502,$A65,Historial!$C$3:$C$502,$B65,Historial!$G$3:$G$502,AF$4,Historial!$H$3:$H$502,$B$2)&gt;0,"✓",""))</f>
        <v/>
      </c>
      <c r="AG66" s="29" t="str">
        <f aca="false">IF($A65="","",IF(COUNTIFS(Historial!$B$3:$B$502,$A65,Historial!$C$3:$C$502,$B65,Historial!$G$3:$G$502,AG$4,Historial!$H$3:$H$502,$B$2)&gt;0,"✓",""))</f>
        <v/>
      </c>
      <c r="AH66" s="29" t="str">
        <f aca="false">IF($A65="","",IF(COUNTIFS(Historial!$B$3:$B$502,$A65,Historial!$C$3:$C$502,$B65,Historial!$G$3:$G$502,AH$4,Historial!$H$3:$H$502,$B$2)&gt;0,"✓",""))</f>
        <v/>
      </c>
      <c r="AI66" s="29" t="str">
        <f aca="false">IF($A65="","",IF(COUNTIFS(Historial!$B$3:$B$502,$A65,Historial!$C$3:$C$502,$B65,Historial!$G$3:$G$502,AI$4,Historial!$H$3:$H$502,$B$2)&gt;0,"✓",""))</f>
        <v/>
      </c>
      <c r="AJ66" s="29" t="str">
        <f aca="false">IF($A65="","",IF(COUNTIFS(Historial!$B$3:$B$502,$A65,Historial!$C$3:$C$502,$B65,Historial!$G$3:$G$502,AJ$4,Historial!$H$3:$H$502,$B$2)&gt;0,"✓",""))</f>
        <v/>
      </c>
      <c r="AK66" s="29" t="str">
        <f aca="false">IF($A65="","",IF(COUNTIFS(Historial!$B$3:$B$502,$A65,Historial!$C$3:$C$502,$B65,Historial!$G$3:$G$502,AK$4,Historial!$H$3:$H$502,$B$2)&gt;0,"✓",""))</f>
        <v/>
      </c>
      <c r="AL66" s="29" t="str">
        <f aca="false">IF($A65="","",IF(COUNTIFS(Historial!$B$3:$B$502,$A65,Historial!$C$3:$C$502,$B65,Historial!$G$3:$G$502,AL$4,Historial!$H$3:$H$502,$B$2)&gt;0,"✓",""))</f>
        <v/>
      </c>
      <c r="AM66" s="29" t="str">
        <f aca="false">IF($A65="","",IF(COUNTIFS(Historial!$B$3:$B$502,$A65,Historial!$C$3:$C$502,$B65,Historial!$G$3:$G$502,AM$4,Historial!$H$3:$H$502,$B$2)&gt;0,"✓",""))</f>
        <v/>
      </c>
      <c r="AN66" s="29" t="str">
        <f aca="false">IF($A65="","",IF(COUNTIFS(Historial!$B$3:$B$502,$A65,Historial!$C$3:$C$502,$B65,Historial!$G$3:$G$502,AN$4,Historial!$H$3:$H$502,$B$2)&gt;0,"✓",""))</f>
        <v/>
      </c>
      <c r="AO66" s="29" t="str">
        <f aca="false">IF($A65="","",IF(COUNTIFS(Historial!$B$3:$B$502,$A65,Historial!$C$3:$C$502,$B65,Historial!$G$3:$G$502,AO$4,Historial!$H$3:$H$502,$B$2)&gt;0,"✓",""))</f>
        <v/>
      </c>
      <c r="AP66" s="29" t="str">
        <f aca="false">IF($A65="","",IF(COUNTIFS(Historial!$B$3:$B$502,$A65,Historial!$C$3:$C$502,$B65,Historial!$G$3:$G$502,AP$4,Historial!$H$3:$H$502,$B$2)&gt;0,"✓",""))</f>
        <v/>
      </c>
      <c r="AQ66" s="29" t="str">
        <f aca="false">IF($A65="","",IF(COUNTIFS(Historial!$B$3:$B$502,$A65,Historial!$C$3:$C$502,$B65,Historial!$G$3:$G$502,AQ$4,Historial!$H$3:$H$502,$B$2)&gt;0,"✓",""))</f>
        <v/>
      </c>
      <c r="AR66" s="29" t="str">
        <f aca="false">IF($A65="","",IF(COUNTIFS(Historial!$B$3:$B$502,$A65,Historial!$C$3:$C$502,$B65,Historial!$G$3:$G$502,AR$4,Historial!$H$3:$H$502,$B$2)&gt;0,"✓",""))</f>
        <v/>
      </c>
      <c r="AS66" s="29" t="str">
        <f aca="false">IF($A65="","",IF(COUNTIFS(Historial!$B$3:$B$502,$A65,Historial!$C$3:$C$502,$B65,Historial!$G$3:$G$502,AS$4,Historial!$H$3:$H$502,$B$2)&gt;0,"✓",""))</f>
        <v/>
      </c>
      <c r="AT66" s="29" t="str">
        <f aca="false">IF($A65="","",IF(COUNTIFS(Historial!$B$3:$B$502,$A65,Historial!$C$3:$C$502,$B65,Historial!$G$3:$G$502,AT$4,Historial!$H$3:$H$502,$B$2)&gt;0,"✓",""))</f>
        <v/>
      </c>
      <c r="AU66" s="29" t="str">
        <f aca="false">IF($A65="","",IF(COUNTIFS(Historial!$B$3:$B$502,$A65,Historial!$C$3:$C$502,$B65,Historial!$G$3:$G$502,AU$4,Historial!$H$3:$H$502,$B$2)&gt;0,"✓",""))</f>
        <v/>
      </c>
      <c r="AV66" s="29" t="str">
        <f aca="false">IF($A65="","",IF(COUNTIFS(Historial!$B$3:$B$502,$A65,Historial!$C$3:$C$502,$B65,Historial!$G$3:$G$502,AV$4,Historial!$H$3:$H$502,$B$2)&gt;0,"✓",""))</f>
        <v/>
      </c>
      <c r="AW66" s="29" t="str">
        <f aca="false">IF($A65="","",IF(COUNTIFS(Historial!$B$3:$B$502,$A65,Historial!$C$3:$C$502,$B65,Historial!$G$3:$G$502,AW$4,Historial!$H$3:$H$502,$B$2)&gt;0,"✓",""))</f>
        <v/>
      </c>
      <c r="AX66" s="29" t="str">
        <f aca="false">IF($A65="","",IF(COUNTIFS(Historial!$B$3:$B$502,$A65,Historial!$C$3:$C$502,$B65,Historial!$G$3:$G$502,AX$4,Historial!$H$3:$H$502,$B$2)&gt;0,"✓",""))</f>
        <v/>
      </c>
      <c r="AY66" s="29" t="str">
        <f aca="false">IF($A65="","",IF(COUNTIFS(Historial!$B$3:$B$502,$A65,Historial!$C$3:$C$502,$B65,Historial!$G$3:$G$502,AY$4,Historial!$H$3:$H$502,$B$2)&gt;0,"✓",""))</f>
        <v/>
      </c>
      <c r="AZ66" s="29" t="str">
        <f aca="false">IF($A65="","",IF(COUNTIFS(Historial!$B$3:$B$502,$A65,Historial!$C$3:$C$502,$B65,Historial!$G$3:$G$502,AZ$4,Historial!$H$3:$H$502,$B$2)&gt;0,"✓",""))</f>
        <v/>
      </c>
      <c r="BA66" s="29" t="str">
        <f aca="false">IF($A65="","",IF(COUNTIFS(Historial!$B$3:$B$502,$A65,Historial!$C$3:$C$502,$B65,Historial!$G$3:$G$502,BA$4,Historial!$H$3:$H$502,$B$2)&gt;0,"✓",""))</f>
        <v/>
      </c>
      <c r="BB66" s="29" t="str">
        <f aca="false">IF($A65="","",IF(COUNTIFS(Historial!$B$3:$B$502,$A65,Historial!$C$3:$C$502,$B65,Historial!$G$3:$G$502,BB$4,Historial!$H$3:$H$502,$B$2)&gt;0,"✓",""))</f>
        <v/>
      </c>
      <c r="BC66" s="29" t="str">
        <f aca="false">IF($A65="","",IF(COUNTIFS(Historial!$B$3:$B$502,$A65,Historial!$C$3:$C$502,$B65,Historial!$G$3:$G$502,BC$4,Historial!$H$3:$H$502,$B$2)&gt;0,"✓",""))</f>
        <v/>
      </c>
      <c r="BD66" s="29"/>
      <c r="BE66" s="29"/>
      <c r="BF66" s="29"/>
    </row>
    <row r="67" customFormat="false" ht="15" hidden="false" customHeight="false" outlineLevel="0" collapsed="false">
      <c r="A67" s="24" t="str">
        <f aca="false">IF(Actividades!$B34="","",Actividades!$B34)</f>
        <v/>
      </c>
      <c r="B67" s="24" t="str">
        <f aca="false">IF(Actividades!$C34="","",Actividades!$C34)</f>
        <v/>
      </c>
      <c r="C67" s="24" t="str">
        <f aca="false">IF($A67="","","Plan")</f>
        <v/>
      </c>
      <c r="D67" s="25" t="str">
        <f aca="false">IF($A67="","",IF(AND(N(Actividades!$E34)&gt;0,D$4&gt;=Actividades!$E34,MOD(D$4-Actividades!$E34,IFERROR(VLOOKUP(Actividades!$D34,Listas!$A$2:$B$8,2,0),52))=0),"P",""))</f>
        <v/>
      </c>
      <c r="E67" s="25" t="str">
        <f aca="false">IF($A67="","",IF(AND(N(Actividades!$E34)&gt;0,E$4&gt;=Actividades!$E34,MOD(E$4-Actividades!$E34,IFERROR(VLOOKUP(Actividades!$D34,Listas!$A$2:$B$8,2,0),52))=0),"P",""))</f>
        <v/>
      </c>
      <c r="F67" s="25" t="str">
        <f aca="false">IF($A67="","",IF(AND(N(Actividades!$E34)&gt;0,F$4&gt;=Actividades!$E34,MOD(F$4-Actividades!$E34,IFERROR(VLOOKUP(Actividades!$D34,Listas!$A$2:$B$8,2,0),52))=0),"P",""))</f>
        <v/>
      </c>
      <c r="G67" s="25" t="str">
        <f aca="false">IF($A67="","",IF(AND(N(Actividades!$E34)&gt;0,G$4&gt;=Actividades!$E34,MOD(G$4-Actividades!$E34,IFERROR(VLOOKUP(Actividades!$D34,Listas!$A$2:$B$8,2,0),52))=0),"P",""))</f>
        <v/>
      </c>
      <c r="H67" s="25" t="str">
        <f aca="false">IF($A67="","",IF(AND(N(Actividades!$E34)&gt;0,H$4&gt;=Actividades!$E34,MOD(H$4-Actividades!$E34,IFERROR(VLOOKUP(Actividades!$D34,Listas!$A$2:$B$8,2,0),52))=0),"P",""))</f>
        <v/>
      </c>
      <c r="I67" s="25" t="str">
        <f aca="false">IF($A67="","",IF(AND(N(Actividades!$E34)&gt;0,I$4&gt;=Actividades!$E34,MOD(I$4-Actividades!$E34,IFERROR(VLOOKUP(Actividades!$D34,Listas!$A$2:$B$8,2,0),52))=0),"P",""))</f>
        <v/>
      </c>
      <c r="J67" s="25" t="str">
        <f aca="false">IF($A67="","",IF(AND(N(Actividades!$E34)&gt;0,J$4&gt;=Actividades!$E34,MOD(J$4-Actividades!$E34,IFERROR(VLOOKUP(Actividades!$D34,Listas!$A$2:$B$8,2,0),52))=0),"P",""))</f>
        <v/>
      </c>
      <c r="K67" s="25" t="str">
        <f aca="false">IF($A67="","",IF(AND(N(Actividades!$E34)&gt;0,K$4&gt;=Actividades!$E34,MOD(K$4-Actividades!$E34,IFERROR(VLOOKUP(Actividades!$D34,Listas!$A$2:$B$8,2,0),52))=0),"P",""))</f>
        <v/>
      </c>
      <c r="L67" s="25" t="str">
        <f aca="false">IF($A67="","",IF(AND(N(Actividades!$E34)&gt;0,L$4&gt;=Actividades!$E34,MOD(L$4-Actividades!$E34,IFERROR(VLOOKUP(Actividades!$D34,Listas!$A$2:$B$8,2,0),52))=0),"P",""))</f>
        <v/>
      </c>
      <c r="M67" s="25" t="str">
        <f aca="false">IF($A67="","",IF(AND(N(Actividades!$E34)&gt;0,M$4&gt;=Actividades!$E34,MOD(M$4-Actividades!$E34,IFERROR(VLOOKUP(Actividades!$D34,Listas!$A$2:$B$8,2,0),52))=0),"P",""))</f>
        <v/>
      </c>
      <c r="N67" s="25" t="str">
        <f aca="false">IF($A67="","",IF(AND(N(Actividades!$E34)&gt;0,N$4&gt;=Actividades!$E34,MOD(N$4-Actividades!$E34,IFERROR(VLOOKUP(Actividades!$D34,Listas!$A$2:$B$8,2,0),52))=0),"P",""))</f>
        <v/>
      </c>
      <c r="O67" s="25" t="str">
        <f aca="false">IF($A67="","",IF(AND(N(Actividades!$E34)&gt;0,O$4&gt;=Actividades!$E34,MOD(O$4-Actividades!$E34,IFERROR(VLOOKUP(Actividades!$D34,Listas!$A$2:$B$8,2,0),52))=0),"P",""))</f>
        <v/>
      </c>
      <c r="P67" s="25" t="str">
        <f aca="false">IF($A67="","",IF(AND(N(Actividades!$E34)&gt;0,P$4&gt;=Actividades!$E34,MOD(P$4-Actividades!$E34,IFERROR(VLOOKUP(Actividades!$D34,Listas!$A$2:$B$8,2,0),52))=0),"P",""))</f>
        <v/>
      </c>
      <c r="Q67" s="25" t="str">
        <f aca="false">IF($A67="","",IF(AND(N(Actividades!$E34)&gt;0,Q$4&gt;=Actividades!$E34,MOD(Q$4-Actividades!$E34,IFERROR(VLOOKUP(Actividades!$D34,Listas!$A$2:$B$8,2,0),52))=0),"P",""))</f>
        <v/>
      </c>
      <c r="R67" s="25" t="str">
        <f aca="false">IF($A67="","",IF(AND(N(Actividades!$E34)&gt;0,R$4&gt;=Actividades!$E34,MOD(R$4-Actividades!$E34,IFERROR(VLOOKUP(Actividades!$D34,Listas!$A$2:$B$8,2,0),52))=0),"P",""))</f>
        <v/>
      </c>
      <c r="S67" s="25" t="str">
        <f aca="false">IF($A67="","",IF(AND(N(Actividades!$E34)&gt;0,S$4&gt;=Actividades!$E34,MOD(S$4-Actividades!$E34,IFERROR(VLOOKUP(Actividades!$D34,Listas!$A$2:$B$8,2,0),52))=0),"P",""))</f>
        <v/>
      </c>
      <c r="T67" s="25" t="str">
        <f aca="false">IF($A67="","",IF(AND(N(Actividades!$E34)&gt;0,T$4&gt;=Actividades!$E34,MOD(T$4-Actividades!$E34,IFERROR(VLOOKUP(Actividades!$D34,Listas!$A$2:$B$8,2,0),52))=0),"P",""))</f>
        <v/>
      </c>
      <c r="U67" s="25" t="str">
        <f aca="false">IF($A67="","",IF(AND(N(Actividades!$E34)&gt;0,U$4&gt;=Actividades!$E34,MOD(U$4-Actividades!$E34,IFERROR(VLOOKUP(Actividades!$D34,Listas!$A$2:$B$8,2,0),52))=0),"P",""))</f>
        <v/>
      </c>
      <c r="V67" s="25" t="str">
        <f aca="false">IF($A67="","",IF(AND(N(Actividades!$E34)&gt;0,V$4&gt;=Actividades!$E34,MOD(V$4-Actividades!$E34,IFERROR(VLOOKUP(Actividades!$D34,Listas!$A$2:$B$8,2,0),52))=0),"P",""))</f>
        <v/>
      </c>
      <c r="W67" s="25" t="str">
        <f aca="false">IF($A67="","",IF(AND(N(Actividades!$E34)&gt;0,W$4&gt;=Actividades!$E34,MOD(W$4-Actividades!$E34,IFERROR(VLOOKUP(Actividades!$D34,Listas!$A$2:$B$8,2,0),52))=0),"P",""))</f>
        <v/>
      </c>
      <c r="X67" s="25" t="str">
        <f aca="false">IF($A67="","",IF(AND(N(Actividades!$E34)&gt;0,X$4&gt;=Actividades!$E34,MOD(X$4-Actividades!$E34,IFERROR(VLOOKUP(Actividades!$D34,Listas!$A$2:$B$8,2,0),52))=0),"P",""))</f>
        <v/>
      </c>
      <c r="Y67" s="25" t="str">
        <f aca="false">IF($A67="","",IF(AND(N(Actividades!$E34)&gt;0,Y$4&gt;=Actividades!$E34,MOD(Y$4-Actividades!$E34,IFERROR(VLOOKUP(Actividades!$D34,Listas!$A$2:$B$8,2,0),52))=0),"P",""))</f>
        <v/>
      </c>
      <c r="Z67" s="25" t="str">
        <f aca="false">IF($A67="","",IF(AND(N(Actividades!$E34)&gt;0,Z$4&gt;=Actividades!$E34,MOD(Z$4-Actividades!$E34,IFERROR(VLOOKUP(Actividades!$D34,Listas!$A$2:$B$8,2,0),52))=0),"P",""))</f>
        <v/>
      </c>
      <c r="AA67" s="25" t="str">
        <f aca="false">IF($A67="","",IF(AND(N(Actividades!$E34)&gt;0,AA$4&gt;=Actividades!$E34,MOD(AA$4-Actividades!$E34,IFERROR(VLOOKUP(Actividades!$D34,Listas!$A$2:$B$8,2,0),52))=0),"P",""))</f>
        <v/>
      </c>
      <c r="AB67" s="25" t="str">
        <f aca="false">IF($A67="","",IF(AND(N(Actividades!$E34)&gt;0,AB$4&gt;=Actividades!$E34,MOD(AB$4-Actividades!$E34,IFERROR(VLOOKUP(Actividades!$D34,Listas!$A$2:$B$8,2,0),52))=0),"P",""))</f>
        <v/>
      </c>
      <c r="AC67" s="25" t="str">
        <f aca="false">IF($A67="","",IF(AND(N(Actividades!$E34)&gt;0,AC$4&gt;=Actividades!$E34,MOD(AC$4-Actividades!$E34,IFERROR(VLOOKUP(Actividades!$D34,Listas!$A$2:$B$8,2,0),52))=0),"P",""))</f>
        <v/>
      </c>
      <c r="AD67" s="25" t="str">
        <f aca="false">IF($A67="","",IF(AND(N(Actividades!$E34)&gt;0,AD$4&gt;=Actividades!$E34,MOD(AD$4-Actividades!$E34,IFERROR(VLOOKUP(Actividades!$D34,Listas!$A$2:$B$8,2,0),52))=0),"P",""))</f>
        <v/>
      </c>
      <c r="AE67" s="25" t="str">
        <f aca="false">IF($A67="","",IF(AND(N(Actividades!$E34)&gt;0,AE$4&gt;=Actividades!$E34,MOD(AE$4-Actividades!$E34,IFERROR(VLOOKUP(Actividades!$D34,Listas!$A$2:$B$8,2,0),52))=0),"P",""))</f>
        <v/>
      </c>
      <c r="AF67" s="25" t="str">
        <f aca="false">IF($A67="","",IF(AND(N(Actividades!$E34)&gt;0,AF$4&gt;=Actividades!$E34,MOD(AF$4-Actividades!$E34,IFERROR(VLOOKUP(Actividades!$D34,Listas!$A$2:$B$8,2,0),52))=0),"P",""))</f>
        <v/>
      </c>
      <c r="AG67" s="25" t="str">
        <f aca="false">IF($A67="","",IF(AND(N(Actividades!$E34)&gt;0,AG$4&gt;=Actividades!$E34,MOD(AG$4-Actividades!$E34,IFERROR(VLOOKUP(Actividades!$D34,Listas!$A$2:$B$8,2,0),52))=0),"P",""))</f>
        <v/>
      </c>
      <c r="AH67" s="25" t="str">
        <f aca="false">IF($A67="","",IF(AND(N(Actividades!$E34)&gt;0,AH$4&gt;=Actividades!$E34,MOD(AH$4-Actividades!$E34,IFERROR(VLOOKUP(Actividades!$D34,Listas!$A$2:$B$8,2,0),52))=0),"P",""))</f>
        <v/>
      </c>
      <c r="AI67" s="25" t="str">
        <f aca="false">IF($A67="","",IF(AND(N(Actividades!$E34)&gt;0,AI$4&gt;=Actividades!$E34,MOD(AI$4-Actividades!$E34,IFERROR(VLOOKUP(Actividades!$D34,Listas!$A$2:$B$8,2,0),52))=0),"P",""))</f>
        <v/>
      </c>
      <c r="AJ67" s="25" t="str">
        <f aca="false">IF($A67="","",IF(AND(N(Actividades!$E34)&gt;0,AJ$4&gt;=Actividades!$E34,MOD(AJ$4-Actividades!$E34,IFERROR(VLOOKUP(Actividades!$D34,Listas!$A$2:$B$8,2,0),52))=0),"P",""))</f>
        <v/>
      </c>
      <c r="AK67" s="25" t="str">
        <f aca="false">IF($A67="","",IF(AND(N(Actividades!$E34)&gt;0,AK$4&gt;=Actividades!$E34,MOD(AK$4-Actividades!$E34,IFERROR(VLOOKUP(Actividades!$D34,Listas!$A$2:$B$8,2,0),52))=0),"P",""))</f>
        <v/>
      </c>
      <c r="AL67" s="25" t="str">
        <f aca="false">IF($A67="","",IF(AND(N(Actividades!$E34)&gt;0,AL$4&gt;=Actividades!$E34,MOD(AL$4-Actividades!$E34,IFERROR(VLOOKUP(Actividades!$D34,Listas!$A$2:$B$8,2,0),52))=0),"P",""))</f>
        <v/>
      </c>
      <c r="AM67" s="25" t="str">
        <f aca="false">IF($A67="","",IF(AND(N(Actividades!$E34)&gt;0,AM$4&gt;=Actividades!$E34,MOD(AM$4-Actividades!$E34,IFERROR(VLOOKUP(Actividades!$D34,Listas!$A$2:$B$8,2,0),52))=0),"P",""))</f>
        <v/>
      </c>
      <c r="AN67" s="25" t="str">
        <f aca="false">IF($A67="","",IF(AND(N(Actividades!$E34)&gt;0,AN$4&gt;=Actividades!$E34,MOD(AN$4-Actividades!$E34,IFERROR(VLOOKUP(Actividades!$D34,Listas!$A$2:$B$8,2,0),52))=0),"P",""))</f>
        <v/>
      </c>
      <c r="AO67" s="25" t="str">
        <f aca="false">IF($A67="","",IF(AND(N(Actividades!$E34)&gt;0,AO$4&gt;=Actividades!$E34,MOD(AO$4-Actividades!$E34,IFERROR(VLOOKUP(Actividades!$D34,Listas!$A$2:$B$8,2,0),52))=0),"P",""))</f>
        <v/>
      </c>
      <c r="AP67" s="25" t="str">
        <f aca="false">IF($A67="","",IF(AND(N(Actividades!$E34)&gt;0,AP$4&gt;=Actividades!$E34,MOD(AP$4-Actividades!$E34,IFERROR(VLOOKUP(Actividades!$D34,Listas!$A$2:$B$8,2,0),52))=0),"P",""))</f>
        <v/>
      </c>
      <c r="AQ67" s="25" t="str">
        <f aca="false">IF($A67="","",IF(AND(N(Actividades!$E34)&gt;0,AQ$4&gt;=Actividades!$E34,MOD(AQ$4-Actividades!$E34,IFERROR(VLOOKUP(Actividades!$D34,Listas!$A$2:$B$8,2,0),52))=0),"P",""))</f>
        <v/>
      </c>
      <c r="AR67" s="25" t="str">
        <f aca="false">IF($A67="","",IF(AND(N(Actividades!$E34)&gt;0,AR$4&gt;=Actividades!$E34,MOD(AR$4-Actividades!$E34,IFERROR(VLOOKUP(Actividades!$D34,Listas!$A$2:$B$8,2,0),52))=0),"P",""))</f>
        <v/>
      </c>
      <c r="AS67" s="25" t="str">
        <f aca="false">IF($A67="","",IF(AND(N(Actividades!$E34)&gt;0,AS$4&gt;=Actividades!$E34,MOD(AS$4-Actividades!$E34,IFERROR(VLOOKUP(Actividades!$D34,Listas!$A$2:$B$8,2,0),52))=0),"P",""))</f>
        <v/>
      </c>
      <c r="AT67" s="25" t="str">
        <f aca="false">IF($A67="","",IF(AND(N(Actividades!$E34)&gt;0,AT$4&gt;=Actividades!$E34,MOD(AT$4-Actividades!$E34,IFERROR(VLOOKUP(Actividades!$D34,Listas!$A$2:$B$8,2,0),52))=0),"P",""))</f>
        <v/>
      </c>
      <c r="AU67" s="25" t="str">
        <f aca="false">IF($A67="","",IF(AND(N(Actividades!$E34)&gt;0,AU$4&gt;=Actividades!$E34,MOD(AU$4-Actividades!$E34,IFERROR(VLOOKUP(Actividades!$D34,Listas!$A$2:$B$8,2,0),52))=0),"P",""))</f>
        <v/>
      </c>
      <c r="AV67" s="25" t="str">
        <f aca="false">IF($A67="","",IF(AND(N(Actividades!$E34)&gt;0,AV$4&gt;=Actividades!$E34,MOD(AV$4-Actividades!$E34,IFERROR(VLOOKUP(Actividades!$D34,Listas!$A$2:$B$8,2,0),52))=0),"P",""))</f>
        <v/>
      </c>
      <c r="AW67" s="25" t="str">
        <f aca="false">IF($A67="","",IF(AND(N(Actividades!$E34)&gt;0,AW$4&gt;=Actividades!$E34,MOD(AW$4-Actividades!$E34,IFERROR(VLOOKUP(Actividades!$D34,Listas!$A$2:$B$8,2,0),52))=0),"P",""))</f>
        <v/>
      </c>
      <c r="AX67" s="25" t="str">
        <f aca="false">IF($A67="","",IF(AND(N(Actividades!$E34)&gt;0,AX$4&gt;=Actividades!$E34,MOD(AX$4-Actividades!$E34,IFERROR(VLOOKUP(Actividades!$D34,Listas!$A$2:$B$8,2,0),52))=0),"P",""))</f>
        <v/>
      </c>
      <c r="AY67" s="25" t="str">
        <f aca="false">IF($A67="","",IF(AND(N(Actividades!$E34)&gt;0,AY$4&gt;=Actividades!$E34,MOD(AY$4-Actividades!$E34,IFERROR(VLOOKUP(Actividades!$D34,Listas!$A$2:$B$8,2,0),52))=0),"P",""))</f>
        <v/>
      </c>
      <c r="AZ67" s="25" t="str">
        <f aca="false">IF($A67="","",IF(AND(N(Actividades!$E34)&gt;0,AZ$4&gt;=Actividades!$E34,MOD(AZ$4-Actividades!$E34,IFERROR(VLOOKUP(Actividades!$D34,Listas!$A$2:$B$8,2,0),52))=0),"P",""))</f>
        <v/>
      </c>
      <c r="BA67" s="25" t="str">
        <f aca="false">IF($A67="","",IF(AND(N(Actividades!$E34)&gt;0,BA$4&gt;=Actividades!$E34,MOD(BA$4-Actividades!$E34,IFERROR(VLOOKUP(Actividades!$D34,Listas!$A$2:$B$8,2,0),52))=0),"P",""))</f>
        <v/>
      </c>
      <c r="BB67" s="25" t="str">
        <f aca="false">IF($A67="","",IF(AND(N(Actividades!$E34)&gt;0,BB$4&gt;=Actividades!$E34,MOD(BB$4-Actividades!$E34,IFERROR(VLOOKUP(Actividades!$D34,Listas!$A$2:$B$8,2,0),52))=0),"P",""))</f>
        <v/>
      </c>
      <c r="BC67" s="25" t="str">
        <f aca="false">IF($A67="","",IF(AND(N(Actividades!$E34)&gt;0,BC$4&gt;=Actividades!$E34,MOD(BC$4-Actividades!$E34,IFERROR(VLOOKUP(Actividades!$D34,Listas!$A$2:$B$8,2,0),52))=0),"P",""))</f>
        <v/>
      </c>
      <c r="BD67" s="26" t="str">
        <f aca="false">IF($A67="","",COUNTIF(D67:BC67,"P"))</f>
        <v/>
      </c>
      <c r="BE67" s="26" t="str">
        <f aca="false">IF($A67="","",SUMPRODUCT((D67:BC67="P")*(D68:BC68="✓")))</f>
        <v/>
      </c>
      <c r="BF67" s="27" t="str">
        <f aca="false">IF($A67="","",IF(BD67=0,"",BE67/BD67))</f>
        <v/>
      </c>
    </row>
    <row r="68" customFormat="false" ht="15" hidden="false" customHeight="false" outlineLevel="0" collapsed="false">
      <c r="A68" s="28"/>
      <c r="B68" s="28"/>
      <c r="C68" s="28" t="str">
        <f aca="false">IF($A67="","","Real")</f>
        <v/>
      </c>
      <c r="D68" s="29" t="str">
        <f aca="false">IF($A67="","",IF(COUNTIFS(Historial!$B$3:$B$502,$A67,Historial!$C$3:$C$502,$B67,Historial!$G$3:$G$502,D$4,Historial!$H$3:$H$502,$B$2)&gt;0,"✓",""))</f>
        <v/>
      </c>
      <c r="E68" s="29" t="str">
        <f aca="false">IF($A67="","",IF(COUNTIFS(Historial!$B$3:$B$502,$A67,Historial!$C$3:$C$502,$B67,Historial!$G$3:$G$502,E$4,Historial!$H$3:$H$502,$B$2)&gt;0,"✓",""))</f>
        <v/>
      </c>
      <c r="F68" s="29" t="str">
        <f aca="false">IF($A67="","",IF(COUNTIFS(Historial!$B$3:$B$502,$A67,Historial!$C$3:$C$502,$B67,Historial!$G$3:$G$502,F$4,Historial!$H$3:$H$502,$B$2)&gt;0,"✓",""))</f>
        <v/>
      </c>
      <c r="G68" s="29" t="str">
        <f aca="false">IF($A67="","",IF(COUNTIFS(Historial!$B$3:$B$502,$A67,Historial!$C$3:$C$502,$B67,Historial!$G$3:$G$502,G$4,Historial!$H$3:$H$502,$B$2)&gt;0,"✓",""))</f>
        <v/>
      </c>
      <c r="H68" s="29" t="str">
        <f aca="false">IF($A67="","",IF(COUNTIFS(Historial!$B$3:$B$502,$A67,Historial!$C$3:$C$502,$B67,Historial!$G$3:$G$502,H$4,Historial!$H$3:$H$502,$B$2)&gt;0,"✓",""))</f>
        <v/>
      </c>
      <c r="I68" s="29" t="str">
        <f aca="false">IF($A67="","",IF(COUNTIFS(Historial!$B$3:$B$502,$A67,Historial!$C$3:$C$502,$B67,Historial!$G$3:$G$502,I$4,Historial!$H$3:$H$502,$B$2)&gt;0,"✓",""))</f>
        <v/>
      </c>
      <c r="J68" s="29" t="str">
        <f aca="false">IF($A67="","",IF(COUNTIFS(Historial!$B$3:$B$502,$A67,Historial!$C$3:$C$502,$B67,Historial!$G$3:$G$502,J$4,Historial!$H$3:$H$502,$B$2)&gt;0,"✓",""))</f>
        <v/>
      </c>
      <c r="K68" s="29" t="str">
        <f aca="false">IF($A67="","",IF(COUNTIFS(Historial!$B$3:$B$502,$A67,Historial!$C$3:$C$502,$B67,Historial!$G$3:$G$502,K$4,Historial!$H$3:$H$502,$B$2)&gt;0,"✓",""))</f>
        <v/>
      </c>
      <c r="L68" s="29" t="str">
        <f aca="false">IF($A67="","",IF(COUNTIFS(Historial!$B$3:$B$502,$A67,Historial!$C$3:$C$502,$B67,Historial!$G$3:$G$502,L$4,Historial!$H$3:$H$502,$B$2)&gt;0,"✓",""))</f>
        <v/>
      </c>
      <c r="M68" s="29" t="str">
        <f aca="false">IF($A67="","",IF(COUNTIFS(Historial!$B$3:$B$502,$A67,Historial!$C$3:$C$502,$B67,Historial!$G$3:$G$502,M$4,Historial!$H$3:$H$502,$B$2)&gt;0,"✓",""))</f>
        <v/>
      </c>
      <c r="N68" s="29" t="str">
        <f aca="false">IF($A67="","",IF(COUNTIFS(Historial!$B$3:$B$502,$A67,Historial!$C$3:$C$502,$B67,Historial!$G$3:$G$502,N$4,Historial!$H$3:$H$502,$B$2)&gt;0,"✓",""))</f>
        <v/>
      </c>
      <c r="O68" s="29" t="str">
        <f aca="false">IF($A67="","",IF(COUNTIFS(Historial!$B$3:$B$502,$A67,Historial!$C$3:$C$502,$B67,Historial!$G$3:$G$502,O$4,Historial!$H$3:$H$502,$B$2)&gt;0,"✓",""))</f>
        <v/>
      </c>
      <c r="P68" s="29" t="str">
        <f aca="false">IF($A67="","",IF(COUNTIFS(Historial!$B$3:$B$502,$A67,Historial!$C$3:$C$502,$B67,Historial!$G$3:$G$502,P$4,Historial!$H$3:$H$502,$B$2)&gt;0,"✓",""))</f>
        <v/>
      </c>
      <c r="Q68" s="29" t="str">
        <f aca="false">IF($A67="","",IF(COUNTIFS(Historial!$B$3:$B$502,$A67,Historial!$C$3:$C$502,$B67,Historial!$G$3:$G$502,Q$4,Historial!$H$3:$H$502,$B$2)&gt;0,"✓",""))</f>
        <v/>
      </c>
      <c r="R68" s="29" t="str">
        <f aca="false">IF($A67="","",IF(COUNTIFS(Historial!$B$3:$B$502,$A67,Historial!$C$3:$C$502,$B67,Historial!$G$3:$G$502,R$4,Historial!$H$3:$H$502,$B$2)&gt;0,"✓",""))</f>
        <v/>
      </c>
      <c r="S68" s="29" t="str">
        <f aca="false">IF($A67="","",IF(COUNTIFS(Historial!$B$3:$B$502,$A67,Historial!$C$3:$C$502,$B67,Historial!$G$3:$G$502,S$4,Historial!$H$3:$H$502,$B$2)&gt;0,"✓",""))</f>
        <v/>
      </c>
      <c r="T68" s="29" t="str">
        <f aca="false">IF($A67="","",IF(COUNTIFS(Historial!$B$3:$B$502,$A67,Historial!$C$3:$C$502,$B67,Historial!$G$3:$G$502,T$4,Historial!$H$3:$H$502,$B$2)&gt;0,"✓",""))</f>
        <v/>
      </c>
      <c r="U68" s="29" t="str">
        <f aca="false">IF($A67="","",IF(COUNTIFS(Historial!$B$3:$B$502,$A67,Historial!$C$3:$C$502,$B67,Historial!$G$3:$G$502,U$4,Historial!$H$3:$H$502,$B$2)&gt;0,"✓",""))</f>
        <v/>
      </c>
      <c r="V68" s="29" t="str">
        <f aca="false">IF($A67="","",IF(COUNTIFS(Historial!$B$3:$B$502,$A67,Historial!$C$3:$C$502,$B67,Historial!$G$3:$G$502,V$4,Historial!$H$3:$H$502,$B$2)&gt;0,"✓",""))</f>
        <v/>
      </c>
      <c r="W68" s="29" t="str">
        <f aca="false">IF($A67="","",IF(COUNTIFS(Historial!$B$3:$B$502,$A67,Historial!$C$3:$C$502,$B67,Historial!$G$3:$G$502,W$4,Historial!$H$3:$H$502,$B$2)&gt;0,"✓",""))</f>
        <v/>
      </c>
      <c r="X68" s="29" t="str">
        <f aca="false">IF($A67="","",IF(COUNTIFS(Historial!$B$3:$B$502,$A67,Historial!$C$3:$C$502,$B67,Historial!$G$3:$G$502,X$4,Historial!$H$3:$H$502,$B$2)&gt;0,"✓",""))</f>
        <v/>
      </c>
      <c r="Y68" s="29" t="str">
        <f aca="false">IF($A67="","",IF(COUNTIFS(Historial!$B$3:$B$502,$A67,Historial!$C$3:$C$502,$B67,Historial!$G$3:$G$502,Y$4,Historial!$H$3:$H$502,$B$2)&gt;0,"✓",""))</f>
        <v/>
      </c>
      <c r="Z68" s="29" t="str">
        <f aca="false">IF($A67="","",IF(COUNTIFS(Historial!$B$3:$B$502,$A67,Historial!$C$3:$C$502,$B67,Historial!$G$3:$G$502,Z$4,Historial!$H$3:$H$502,$B$2)&gt;0,"✓",""))</f>
        <v/>
      </c>
      <c r="AA68" s="29" t="str">
        <f aca="false">IF($A67="","",IF(COUNTIFS(Historial!$B$3:$B$502,$A67,Historial!$C$3:$C$502,$B67,Historial!$G$3:$G$502,AA$4,Historial!$H$3:$H$502,$B$2)&gt;0,"✓",""))</f>
        <v/>
      </c>
      <c r="AB68" s="29" t="str">
        <f aca="false">IF($A67="","",IF(COUNTIFS(Historial!$B$3:$B$502,$A67,Historial!$C$3:$C$502,$B67,Historial!$G$3:$G$502,AB$4,Historial!$H$3:$H$502,$B$2)&gt;0,"✓",""))</f>
        <v/>
      </c>
      <c r="AC68" s="29" t="str">
        <f aca="false">IF($A67="","",IF(COUNTIFS(Historial!$B$3:$B$502,$A67,Historial!$C$3:$C$502,$B67,Historial!$G$3:$G$502,AC$4,Historial!$H$3:$H$502,$B$2)&gt;0,"✓",""))</f>
        <v/>
      </c>
      <c r="AD68" s="29" t="str">
        <f aca="false">IF($A67="","",IF(COUNTIFS(Historial!$B$3:$B$502,$A67,Historial!$C$3:$C$502,$B67,Historial!$G$3:$G$502,AD$4,Historial!$H$3:$H$502,$B$2)&gt;0,"✓",""))</f>
        <v/>
      </c>
      <c r="AE68" s="29" t="str">
        <f aca="false">IF($A67="","",IF(COUNTIFS(Historial!$B$3:$B$502,$A67,Historial!$C$3:$C$502,$B67,Historial!$G$3:$G$502,AE$4,Historial!$H$3:$H$502,$B$2)&gt;0,"✓",""))</f>
        <v/>
      </c>
      <c r="AF68" s="29" t="str">
        <f aca="false">IF($A67="","",IF(COUNTIFS(Historial!$B$3:$B$502,$A67,Historial!$C$3:$C$502,$B67,Historial!$G$3:$G$502,AF$4,Historial!$H$3:$H$502,$B$2)&gt;0,"✓",""))</f>
        <v/>
      </c>
      <c r="AG68" s="29" t="str">
        <f aca="false">IF($A67="","",IF(COUNTIFS(Historial!$B$3:$B$502,$A67,Historial!$C$3:$C$502,$B67,Historial!$G$3:$G$502,AG$4,Historial!$H$3:$H$502,$B$2)&gt;0,"✓",""))</f>
        <v/>
      </c>
      <c r="AH68" s="29" t="str">
        <f aca="false">IF($A67="","",IF(COUNTIFS(Historial!$B$3:$B$502,$A67,Historial!$C$3:$C$502,$B67,Historial!$G$3:$G$502,AH$4,Historial!$H$3:$H$502,$B$2)&gt;0,"✓",""))</f>
        <v/>
      </c>
      <c r="AI68" s="29" t="str">
        <f aca="false">IF($A67="","",IF(COUNTIFS(Historial!$B$3:$B$502,$A67,Historial!$C$3:$C$502,$B67,Historial!$G$3:$G$502,AI$4,Historial!$H$3:$H$502,$B$2)&gt;0,"✓",""))</f>
        <v/>
      </c>
      <c r="AJ68" s="29" t="str">
        <f aca="false">IF($A67="","",IF(COUNTIFS(Historial!$B$3:$B$502,$A67,Historial!$C$3:$C$502,$B67,Historial!$G$3:$G$502,AJ$4,Historial!$H$3:$H$502,$B$2)&gt;0,"✓",""))</f>
        <v/>
      </c>
      <c r="AK68" s="29" t="str">
        <f aca="false">IF($A67="","",IF(COUNTIFS(Historial!$B$3:$B$502,$A67,Historial!$C$3:$C$502,$B67,Historial!$G$3:$G$502,AK$4,Historial!$H$3:$H$502,$B$2)&gt;0,"✓",""))</f>
        <v/>
      </c>
      <c r="AL68" s="29" t="str">
        <f aca="false">IF($A67="","",IF(COUNTIFS(Historial!$B$3:$B$502,$A67,Historial!$C$3:$C$502,$B67,Historial!$G$3:$G$502,AL$4,Historial!$H$3:$H$502,$B$2)&gt;0,"✓",""))</f>
        <v/>
      </c>
      <c r="AM68" s="29" t="str">
        <f aca="false">IF($A67="","",IF(COUNTIFS(Historial!$B$3:$B$502,$A67,Historial!$C$3:$C$502,$B67,Historial!$G$3:$G$502,AM$4,Historial!$H$3:$H$502,$B$2)&gt;0,"✓",""))</f>
        <v/>
      </c>
      <c r="AN68" s="29" t="str">
        <f aca="false">IF($A67="","",IF(COUNTIFS(Historial!$B$3:$B$502,$A67,Historial!$C$3:$C$502,$B67,Historial!$G$3:$G$502,AN$4,Historial!$H$3:$H$502,$B$2)&gt;0,"✓",""))</f>
        <v/>
      </c>
      <c r="AO68" s="29" t="str">
        <f aca="false">IF($A67="","",IF(COUNTIFS(Historial!$B$3:$B$502,$A67,Historial!$C$3:$C$502,$B67,Historial!$G$3:$G$502,AO$4,Historial!$H$3:$H$502,$B$2)&gt;0,"✓",""))</f>
        <v/>
      </c>
      <c r="AP68" s="29" t="str">
        <f aca="false">IF($A67="","",IF(COUNTIFS(Historial!$B$3:$B$502,$A67,Historial!$C$3:$C$502,$B67,Historial!$G$3:$G$502,AP$4,Historial!$H$3:$H$502,$B$2)&gt;0,"✓",""))</f>
        <v/>
      </c>
      <c r="AQ68" s="29" t="str">
        <f aca="false">IF($A67="","",IF(COUNTIFS(Historial!$B$3:$B$502,$A67,Historial!$C$3:$C$502,$B67,Historial!$G$3:$G$502,AQ$4,Historial!$H$3:$H$502,$B$2)&gt;0,"✓",""))</f>
        <v/>
      </c>
      <c r="AR68" s="29" t="str">
        <f aca="false">IF($A67="","",IF(COUNTIFS(Historial!$B$3:$B$502,$A67,Historial!$C$3:$C$502,$B67,Historial!$G$3:$G$502,AR$4,Historial!$H$3:$H$502,$B$2)&gt;0,"✓",""))</f>
        <v/>
      </c>
      <c r="AS68" s="29" t="str">
        <f aca="false">IF($A67="","",IF(COUNTIFS(Historial!$B$3:$B$502,$A67,Historial!$C$3:$C$502,$B67,Historial!$G$3:$G$502,AS$4,Historial!$H$3:$H$502,$B$2)&gt;0,"✓",""))</f>
        <v/>
      </c>
      <c r="AT68" s="29" t="str">
        <f aca="false">IF($A67="","",IF(COUNTIFS(Historial!$B$3:$B$502,$A67,Historial!$C$3:$C$502,$B67,Historial!$G$3:$G$502,AT$4,Historial!$H$3:$H$502,$B$2)&gt;0,"✓",""))</f>
        <v/>
      </c>
      <c r="AU68" s="29" t="str">
        <f aca="false">IF($A67="","",IF(COUNTIFS(Historial!$B$3:$B$502,$A67,Historial!$C$3:$C$502,$B67,Historial!$G$3:$G$502,AU$4,Historial!$H$3:$H$502,$B$2)&gt;0,"✓",""))</f>
        <v/>
      </c>
      <c r="AV68" s="29" t="str">
        <f aca="false">IF($A67="","",IF(COUNTIFS(Historial!$B$3:$B$502,$A67,Historial!$C$3:$C$502,$B67,Historial!$G$3:$G$502,AV$4,Historial!$H$3:$H$502,$B$2)&gt;0,"✓",""))</f>
        <v/>
      </c>
      <c r="AW68" s="29" t="str">
        <f aca="false">IF($A67="","",IF(COUNTIFS(Historial!$B$3:$B$502,$A67,Historial!$C$3:$C$502,$B67,Historial!$G$3:$G$502,AW$4,Historial!$H$3:$H$502,$B$2)&gt;0,"✓",""))</f>
        <v/>
      </c>
      <c r="AX68" s="29" t="str">
        <f aca="false">IF($A67="","",IF(COUNTIFS(Historial!$B$3:$B$502,$A67,Historial!$C$3:$C$502,$B67,Historial!$G$3:$G$502,AX$4,Historial!$H$3:$H$502,$B$2)&gt;0,"✓",""))</f>
        <v/>
      </c>
      <c r="AY68" s="29" t="str">
        <f aca="false">IF($A67="","",IF(COUNTIFS(Historial!$B$3:$B$502,$A67,Historial!$C$3:$C$502,$B67,Historial!$G$3:$G$502,AY$4,Historial!$H$3:$H$502,$B$2)&gt;0,"✓",""))</f>
        <v/>
      </c>
      <c r="AZ68" s="29" t="str">
        <f aca="false">IF($A67="","",IF(COUNTIFS(Historial!$B$3:$B$502,$A67,Historial!$C$3:$C$502,$B67,Historial!$G$3:$G$502,AZ$4,Historial!$H$3:$H$502,$B$2)&gt;0,"✓",""))</f>
        <v/>
      </c>
      <c r="BA68" s="29" t="str">
        <f aca="false">IF($A67="","",IF(COUNTIFS(Historial!$B$3:$B$502,$A67,Historial!$C$3:$C$502,$B67,Historial!$G$3:$G$502,BA$4,Historial!$H$3:$H$502,$B$2)&gt;0,"✓",""))</f>
        <v/>
      </c>
      <c r="BB68" s="29" t="str">
        <f aca="false">IF($A67="","",IF(COUNTIFS(Historial!$B$3:$B$502,$A67,Historial!$C$3:$C$502,$B67,Historial!$G$3:$G$502,BB$4,Historial!$H$3:$H$502,$B$2)&gt;0,"✓",""))</f>
        <v/>
      </c>
      <c r="BC68" s="29" t="str">
        <f aca="false">IF($A67="","",IF(COUNTIFS(Historial!$B$3:$B$502,$A67,Historial!$C$3:$C$502,$B67,Historial!$G$3:$G$502,BC$4,Historial!$H$3:$H$502,$B$2)&gt;0,"✓",""))</f>
        <v/>
      </c>
      <c r="BD68" s="29"/>
      <c r="BE68" s="29"/>
      <c r="BF68" s="29"/>
    </row>
    <row r="69" customFormat="false" ht="15" hidden="false" customHeight="false" outlineLevel="0" collapsed="false">
      <c r="A69" s="24" t="str">
        <f aca="false">IF(Actividades!$B35="","",Actividades!$B35)</f>
        <v/>
      </c>
      <c r="B69" s="24" t="str">
        <f aca="false">IF(Actividades!$C35="","",Actividades!$C35)</f>
        <v/>
      </c>
      <c r="C69" s="24" t="str">
        <f aca="false">IF($A69="","","Plan")</f>
        <v/>
      </c>
      <c r="D69" s="25" t="str">
        <f aca="false">IF($A69="","",IF(AND(N(Actividades!$E35)&gt;0,D$4&gt;=Actividades!$E35,MOD(D$4-Actividades!$E35,IFERROR(VLOOKUP(Actividades!$D35,Listas!$A$2:$B$8,2,0),52))=0),"P",""))</f>
        <v/>
      </c>
      <c r="E69" s="25" t="str">
        <f aca="false">IF($A69="","",IF(AND(N(Actividades!$E35)&gt;0,E$4&gt;=Actividades!$E35,MOD(E$4-Actividades!$E35,IFERROR(VLOOKUP(Actividades!$D35,Listas!$A$2:$B$8,2,0),52))=0),"P",""))</f>
        <v/>
      </c>
      <c r="F69" s="25" t="str">
        <f aca="false">IF($A69="","",IF(AND(N(Actividades!$E35)&gt;0,F$4&gt;=Actividades!$E35,MOD(F$4-Actividades!$E35,IFERROR(VLOOKUP(Actividades!$D35,Listas!$A$2:$B$8,2,0),52))=0),"P",""))</f>
        <v/>
      </c>
      <c r="G69" s="25" t="str">
        <f aca="false">IF($A69="","",IF(AND(N(Actividades!$E35)&gt;0,G$4&gt;=Actividades!$E35,MOD(G$4-Actividades!$E35,IFERROR(VLOOKUP(Actividades!$D35,Listas!$A$2:$B$8,2,0),52))=0),"P",""))</f>
        <v/>
      </c>
      <c r="H69" s="25" t="str">
        <f aca="false">IF($A69="","",IF(AND(N(Actividades!$E35)&gt;0,H$4&gt;=Actividades!$E35,MOD(H$4-Actividades!$E35,IFERROR(VLOOKUP(Actividades!$D35,Listas!$A$2:$B$8,2,0),52))=0),"P",""))</f>
        <v/>
      </c>
      <c r="I69" s="25" t="str">
        <f aca="false">IF($A69="","",IF(AND(N(Actividades!$E35)&gt;0,I$4&gt;=Actividades!$E35,MOD(I$4-Actividades!$E35,IFERROR(VLOOKUP(Actividades!$D35,Listas!$A$2:$B$8,2,0),52))=0),"P",""))</f>
        <v/>
      </c>
      <c r="J69" s="25" t="str">
        <f aca="false">IF($A69="","",IF(AND(N(Actividades!$E35)&gt;0,J$4&gt;=Actividades!$E35,MOD(J$4-Actividades!$E35,IFERROR(VLOOKUP(Actividades!$D35,Listas!$A$2:$B$8,2,0),52))=0),"P",""))</f>
        <v/>
      </c>
      <c r="K69" s="25" t="str">
        <f aca="false">IF($A69="","",IF(AND(N(Actividades!$E35)&gt;0,K$4&gt;=Actividades!$E35,MOD(K$4-Actividades!$E35,IFERROR(VLOOKUP(Actividades!$D35,Listas!$A$2:$B$8,2,0),52))=0),"P",""))</f>
        <v/>
      </c>
      <c r="L69" s="25" t="str">
        <f aca="false">IF($A69="","",IF(AND(N(Actividades!$E35)&gt;0,L$4&gt;=Actividades!$E35,MOD(L$4-Actividades!$E35,IFERROR(VLOOKUP(Actividades!$D35,Listas!$A$2:$B$8,2,0),52))=0),"P",""))</f>
        <v/>
      </c>
      <c r="M69" s="25" t="str">
        <f aca="false">IF($A69="","",IF(AND(N(Actividades!$E35)&gt;0,M$4&gt;=Actividades!$E35,MOD(M$4-Actividades!$E35,IFERROR(VLOOKUP(Actividades!$D35,Listas!$A$2:$B$8,2,0),52))=0),"P",""))</f>
        <v/>
      </c>
      <c r="N69" s="25" t="str">
        <f aca="false">IF($A69="","",IF(AND(N(Actividades!$E35)&gt;0,N$4&gt;=Actividades!$E35,MOD(N$4-Actividades!$E35,IFERROR(VLOOKUP(Actividades!$D35,Listas!$A$2:$B$8,2,0),52))=0),"P",""))</f>
        <v/>
      </c>
      <c r="O69" s="25" t="str">
        <f aca="false">IF($A69="","",IF(AND(N(Actividades!$E35)&gt;0,O$4&gt;=Actividades!$E35,MOD(O$4-Actividades!$E35,IFERROR(VLOOKUP(Actividades!$D35,Listas!$A$2:$B$8,2,0),52))=0),"P",""))</f>
        <v/>
      </c>
      <c r="P69" s="25" t="str">
        <f aca="false">IF($A69="","",IF(AND(N(Actividades!$E35)&gt;0,P$4&gt;=Actividades!$E35,MOD(P$4-Actividades!$E35,IFERROR(VLOOKUP(Actividades!$D35,Listas!$A$2:$B$8,2,0),52))=0),"P",""))</f>
        <v/>
      </c>
      <c r="Q69" s="25" t="str">
        <f aca="false">IF($A69="","",IF(AND(N(Actividades!$E35)&gt;0,Q$4&gt;=Actividades!$E35,MOD(Q$4-Actividades!$E35,IFERROR(VLOOKUP(Actividades!$D35,Listas!$A$2:$B$8,2,0),52))=0),"P",""))</f>
        <v/>
      </c>
      <c r="R69" s="25" t="str">
        <f aca="false">IF($A69="","",IF(AND(N(Actividades!$E35)&gt;0,R$4&gt;=Actividades!$E35,MOD(R$4-Actividades!$E35,IFERROR(VLOOKUP(Actividades!$D35,Listas!$A$2:$B$8,2,0),52))=0),"P",""))</f>
        <v/>
      </c>
      <c r="S69" s="25" t="str">
        <f aca="false">IF($A69="","",IF(AND(N(Actividades!$E35)&gt;0,S$4&gt;=Actividades!$E35,MOD(S$4-Actividades!$E35,IFERROR(VLOOKUP(Actividades!$D35,Listas!$A$2:$B$8,2,0),52))=0),"P",""))</f>
        <v/>
      </c>
      <c r="T69" s="25" t="str">
        <f aca="false">IF($A69="","",IF(AND(N(Actividades!$E35)&gt;0,T$4&gt;=Actividades!$E35,MOD(T$4-Actividades!$E35,IFERROR(VLOOKUP(Actividades!$D35,Listas!$A$2:$B$8,2,0),52))=0),"P",""))</f>
        <v/>
      </c>
      <c r="U69" s="25" t="str">
        <f aca="false">IF($A69="","",IF(AND(N(Actividades!$E35)&gt;0,U$4&gt;=Actividades!$E35,MOD(U$4-Actividades!$E35,IFERROR(VLOOKUP(Actividades!$D35,Listas!$A$2:$B$8,2,0),52))=0),"P",""))</f>
        <v/>
      </c>
      <c r="V69" s="25" t="str">
        <f aca="false">IF($A69="","",IF(AND(N(Actividades!$E35)&gt;0,V$4&gt;=Actividades!$E35,MOD(V$4-Actividades!$E35,IFERROR(VLOOKUP(Actividades!$D35,Listas!$A$2:$B$8,2,0),52))=0),"P",""))</f>
        <v/>
      </c>
      <c r="W69" s="25" t="str">
        <f aca="false">IF($A69="","",IF(AND(N(Actividades!$E35)&gt;0,W$4&gt;=Actividades!$E35,MOD(W$4-Actividades!$E35,IFERROR(VLOOKUP(Actividades!$D35,Listas!$A$2:$B$8,2,0),52))=0),"P",""))</f>
        <v/>
      </c>
      <c r="X69" s="25" t="str">
        <f aca="false">IF($A69="","",IF(AND(N(Actividades!$E35)&gt;0,X$4&gt;=Actividades!$E35,MOD(X$4-Actividades!$E35,IFERROR(VLOOKUP(Actividades!$D35,Listas!$A$2:$B$8,2,0),52))=0),"P",""))</f>
        <v/>
      </c>
      <c r="Y69" s="25" t="str">
        <f aca="false">IF($A69="","",IF(AND(N(Actividades!$E35)&gt;0,Y$4&gt;=Actividades!$E35,MOD(Y$4-Actividades!$E35,IFERROR(VLOOKUP(Actividades!$D35,Listas!$A$2:$B$8,2,0),52))=0),"P",""))</f>
        <v/>
      </c>
      <c r="Z69" s="25" t="str">
        <f aca="false">IF($A69="","",IF(AND(N(Actividades!$E35)&gt;0,Z$4&gt;=Actividades!$E35,MOD(Z$4-Actividades!$E35,IFERROR(VLOOKUP(Actividades!$D35,Listas!$A$2:$B$8,2,0),52))=0),"P",""))</f>
        <v/>
      </c>
      <c r="AA69" s="25" t="str">
        <f aca="false">IF($A69="","",IF(AND(N(Actividades!$E35)&gt;0,AA$4&gt;=Actividades!$E35,MOD(AA$4-Actividades!$E35,IFERROR(VLOOKUP(Actividades!$D35,Listas!$A$2:$B$8,2,0),52))=0),"P",""))</f>
        <v/>
      </c>
      <c r="AB69" s="25" t="str">
        <f aca="false">IF($A69="","",IF(AND(N(Actividades!$E35)&gt;0,AB$4&gt;=Actividades!$E35,MOD(AB$4-Actividades!$E35,IFERROR(VLOOKUP(Actividades!$D35,Listas!$A$2:$B$8,2,0),52))=0),"P",""))</f>
        <v/>
      </c>
      <c r="AC69" s="25" t="str">
        <f aca="false">IF($A69="","",IF(AND(N(Actividades!$E35)&gt;0,AC$4&gt;=Actividades!$E35,MOD(AC$4-Actividades!$E35,IFERROR(VLOOKUP(Actividades!$D35,Listas!$A$2:$B$8,2,0),52))=0),"P",""))</f>
        <v/>
      </c>
      <c r="AD69" s="25" t="str">
        <f aca="false">IF($A69="","",IF(AND(N(Actividades!$E35)&gt;0,AD$4&gt;=Actividades!$E35,MOD(AD$4-Actividades!$E35,IFERROR(VLOOKUP(Actividades!$D35,Listas!$A$2:$B$8,2,0),52))=0),"P",""))</f>
        <v/>
      </c>
      <c r="AE69" s="25" t="str">
        <f aca="false">IF($A69="","",IF(AND(N(Actividades!$E35)&gt;0,AE$4&gt;=Actividades!$E35,MOD(AE$4-Actividades!$E35,IFERROR(VLOOKUP(Actividades!$D35,Listas!$A$2:$B$8,2,0),52))=0),"P",""))</f>
        <v/>
      </c>
      <c r="AF69" s="25" t="str">
        <f aca="false">IF($A69="","",IF(AND(N(Actividades!$E35)&gt;0,AF$4&gt;=Actividades!$E35,MOD(AF$4-Actividades!$E35,IFERROR(VLOOKUP(Actividades!$D35,Listas!$A$2:$B$8,2,0),52))=0),"P",""))</f>
        <v/>
      </c>
      <c r="AG69" s="25" t="str">
        <f aca="false">IF($A69="","",IF(AND(N(Actividades!$E35)&gt;0,AG$4&gt;=Actividades!$E35,MOD(AG$4-Actividades!$E35,IFERROR(VLOOKUP(Actividades!$D35,Listas!$A$2:$B$8,2,0),52))=0),"P",""))</f>
        <v/>
      </c>
      <c r="AH69" s="25" t="str">
        <f aca="false">IF($A69="","",IF(AND(N(Actividades!$E35)&gt;0,AH$4&gt;=Actividades!$E35,MOD(AH$4-Actividades!$E35,IFERROR(VLOOKUP(Actividades!$D35,Listas!$A$2:$B$8,2,0),52))=0),"P",""))</f>
        <v/>
      </c>
      <c r="AI69" s="25" t="str">
        <f aca="false">IF($A69="","",IF(AND(N(Actividades!$E35)&gt;0,AI$4&gt;=Actividades!$E35,MOD(AI$4-Actividades!$E35,IFERROR(VLOOKUP(Actividades!$D35,Listas!$A$2:$B$8,2,0),52))=0),"P",""))</f>
        <v/>
      </c>
      <c r="AJ69" s="25" t="str">
        <f aca="false">IF($A69="","",IF(AND(N(Actividades!$E35)&gt;0,AJ$4&gt;=Actividades!$E35,MOD(AJ$4-Actividades!$E35,IFERROR(VLOOKUP(Actividades!$D35,Listas!$A$2:$B$8,2,0),52))=0),"P",""))</f>
        <v/>
      </c>
      <c r="AK69" s="25" t="str">
        <f aca="false">IF($A69="","",IF(AND(N(Actividades!$E35)&gt;0,AK$4&gt;=Actividades!$E35,MOD(AK$4-Actividades!$E35,IFERROR(VLOOKUP(Actividades!$D35,Listas!$A$2:$B$8,2,0),52))=0),"P",""))</f>
        <v/>
      </c>
      <c r="AL69" s="25" t="str">
        <f aca="false">IF($A69="","",IF(AND(N(Actividades!$E35)&gt;0,AL$4&gt;=Actividades!$E35,MOD(AL$4-Actividades!$E35,IFERROR(VLOOKUP(Actividades!$D35,Listas!$A$2:$B$8,2,0),52))=0),"P",""))</f>
        <v/>
      </c>
      <c r="AM69" s="25" t="str">
        <f aca="false">IF($A69="","",IF(AND(N(Actividades!$E35)&gt;0,AM$4&gt;=Actividades!$E35,MOD(AM$4-Actividades!$E35,IFERROR(VLOOKUP(Actividades!$D35,Listas!$A$2:$B$8,2,0),52))=0),"P",""))</f>
        <v/>
      </c>
      <c r="AN69" s="25" t="str">
        <f aca="false">IF($A69="","",IF(AND(N(Actividades!$E35)&gt;0,AN$4&gt;=Actividades!$E35,MOD(AN$4-Actividades!$E35,IFERROR(VLOOKUP(Actividades!$D35,Listas!$A$2:$B$8,2,0),52))=0),"P",""))</f>
        <v/>
      </c>
      <c r="AO69" s="25" t="str">
        <f aca="false">IF($A69="","",IF(AND(N(Actividades!$E35)&gt;0,AO$4&gt;=Actividades!$E35,MOD(AO$4-Actividades!$E35,IFERROR(VLOOKUP(Actividades!$D35,Listas!$A$2:$B$8,2,0),52))=0),"P",""))</f>
        <v/>
      </c>
      <c r="AP69" s="25" t="str">
        <f aca="false">IF($A69="","",IF(AND(N(Actividades!$E35)&gt;0,AP$4&gt;=Actividades!$E35,MOD(AP$4-Actividades!$E35,IFERROR(VLOOKUP(Actividades!$D35,Listas!$A$2:$B$8,2,0),52))=0),"P",""))</f>
        <v/>
      </c>
      <c r="AQ69" s="25" t="str">
        <f aca="false">IF($A69="","",IF(AND(N(Actividades!$E35)&gt;0,AQ$4&gt;=Actividades!$E35,MOD(AQ$4-Actividades!$E35,IFERROR(VLOOKUP(Actividades!$D35,Listas!$A$2:$B$8,2,0),52))=0),"P",""))</f>
        <v/>
      </c>
      <c r="AR69" s="25" t="str">
        <f aca="false">IF($A69="","",IF(AND(N(Actividades!$E35)&gt;0,AR$4&gt;=Actividades!$E35,MOD(AR$4-Actividades!$E35,IFERROR(VLOOKUP(Actividades!$D35,Listas!$A$2:$B$8,2,0),52))=0),"P",""))</f>
        <v/>
      </c>
      <c r="AS69" s="25" t="str">
        <f aca="false">IF($A69="","",IF(AND(N(Actividades!$E35)&gt;0,AS$4&gt;=Actividades!$E35,MOD(AS$4-Actividades!$E35,IFERROR(VLOOKUP(Actividades!$D35,Listas!$A$2:$B$8,2,0),52))=0),"P",""))</f>
        <v/>
      </c>
      <c r="AT69" s="25" t="str">
        <f aca="false">IF($A69="","",IF(AND(N(Actividades!$E35)&gt;0,AT$4&gt;=Actividades!$E35,MOD(AT$4-Actividades!$E35,IFERROR(VLOOKUP(Actividades!$D35,Listas!$A$2:$B$8,2,0),52))=0),"P",""))</f>
        <v/>
      </c>
      <c r="AU69" s="25" t="str">
        <f aca="false">IF($A69="","",IF(AND(N(Actividades!$E35)&gt;0,AU$4&gt;=Actividades!$E35,MOD(AU$4-Actividades!$E35,IFERROR(VLOOKUP(Actividades!$D35,Listas!$A$2:$B$8,2,0),52))=0),"P",""))</f>
        <v/>
      </c>
      <c r="AV69" s="25" t="str">
        <f aca="false">IF($A69="","",IF(AND(N(Actividades!$E35)&gt;0,AV$4&gt;=Actividades!$E35,MOD(AV$4-Actividades!$E35,IFERROR(VLOOKUP(Actividades!$D35,Listas!$A$2:$B$8,2,0),52))=0),"P",""))</f>
        <v/>
      </c>
      <c r="AW69" s="25" t="str">
        <f aca="false">IF($A69="","",IF(AND(N(Actividades!$E35)&gt;0,AW$4&gt;=Actividades!$E35,MOD(AW$4-Actividades!$E35,IFERROR(VLOOKUP(Actividades!$D35,Listas!$A$2:$B$8,2,0),52))=0),"P",""))</f>
        <v/>
      </c>
      <c r="AX69" s="25" t="str">
        <f aca="false">IF($A69="","",IF(AND(N(Actividades!$E35)&gt;0,AX$4&gt;=Actividades!$E35,MOD(AX$4-Actividades!$E35,IFERROR(VLOOKUP(Actividades!$D35,Listas!$A$2:$B$8,2,0),52))=0),"P",""))</f>
        <v/>
      </c>
      <c r="AY69" s="25" t="str">
        <f aca="false">IF($A69="","",IF(AND(N(Actividades!$E35)&gt;0,AY$4&gt;=Actividades!$E35,MOD(AY$4-Actividades!$E35,IFERROR(VLOOKUP(Actividades!$D35,Listas!$A$2:$B$8,2,0),52))=0),"P",""))</f>
        <v/>
      </c>
      <c r="AZ69" s="25" t="str">
        <f aca="false">IF($A69="","",IF(AND(N(Actividades!$E35)&gt;0,AZ$4&gt;=Actividades!$E35,MOD(AZ$4-Actividades!$E35,IFERROR(VLOOKUP(Actividades!$D35,Listas!$A$2:$B$8,2,0),52))=0),"P",""))</f>
        <v/>
      </c>
      <c r="BA69" s="25" t="str">
        <f aca="false">IF($A69="","",IF(AND(N(Actividades!$E35)&gt;0,BA$4&gt;=Actividades!$E35,MOD(BA$4-Actividades!$E35,IFERROR(VLOOKUP(Actividades!$D35,Listas!$A$2:$B$8,2,0),52))=0),"P",""))</f>
        <v/>
      </c>
      <c r="BB69" s="25" t="str">
        <f aca="false">IF($A69="","",IF(AND(N(Actividades!$E35)&gt;0,BB$4&gt;=Actividades!$E35,MOD(BB$4-Actividades!$E35,IFERROR(VLOOKUP(Actividades!$D35,Listas!$A$2:$B$8,2,0),52))=0),"P",""))</f>
        <v/>
      </c>
      <c r="BC69" s="25" t="str">
        <f aca="false">IF($A69="","",IF(AND(N(Actividades!$E35)&gt;0,BC$4&gt;=Actividades!$E35,MOD(BC$4-Actividades!$E35,IFERROR(VLOOKUP(Actividades!$D35,Listas!$A$2:$B$8,2,0),52))=0),"P",""))</f>
        <v/>
      </c>
      <c r="BD69" s="26" t="str">
        <f aca="false">IF($A69="","",COUNTIF(D69:BC69,"P"))</f>
        <v/>
      </c>
      <c r="BE69" s="26" t="str">
        <f aca="false">IF($A69="","",SUMPRODUCT((D69:BC69="P")*(D70:BC70="✓")))</f>
        <v/>
      </c>
      <c r="BF69" s="27" t="str">
        <f aca="false">IF($A69="","",IF(BD69=0,"",BE69/BD69))</f>
        <v/>
      </c>
    </row>
    <row r="70" customFormat="false" ht="15" hidden="false" customHeight="false" outlineLevel="0" collapsed="false">
      <c r="A70" s="28"/>
      <c r="B70" s="28"/>
      <c r="C70" s="28" t="str">
        <f aca="false">IF($A69="","","Real")</f>
        <v/>
      </c>
      <c r="D70" s="29" t="str">
        <f aca="false">IF($A69="","",IF(COUNTIFS(Historial!$B$3:$B$502,$A69,Historial!$C$3:$C$502,$B69,Historial!$G$3:$G$502,D$4,Historial!$H$3:$H$502,$B$2)&gt;0,"✓",""))</f>
        <v/>
      </c>
      <c r="E70" s="29" t="str">
        <f aca="false">IF($A69="","",IF(COUNTIFS(Historial!$B$3:$B$502,$A69,Historial!$C$3:$C$502,$B69,Historial!$G$3:$G$502,E$4,Historial!$H$3:$H$502,$B$2)&gt;0,"✓",""))</f>
        <v/>
      </c>
      <c r="F70" s="29" t="str">
        <f aca="false">IF($A69="","",IF(COUNTIFS(Historial!$B$3:$B$502,$A69,Historial!$C$3:$C$502,$B69,Historial!$G$3:$G$502,F$4,Historial!$H$3:$H$502,$B$2)&gt;0,"✓",""))</f>
        <v/>
      </c>
      <c r="G70" s="29" t="str">
        <f aca="false">IF($A69="","",IF(COUNTIFS(Historial!$B$3:$B$502,$A69,Historial!$C$3:$C$502,$B69,Historial!$G$3:$G$502,G$4,Historial!$H$3:$H$502,$B$2)&gt;0,"✓",""))</f>
        <v/>
      </c>
      <c r="H70" s="29" t="str">
        <f aca="false">IF($A69="","",IF(COUNTIFS(Historial!$B$3:$B$502,$A69,Historial!$C$3:$C$502,$B69,Historial!$G$3:$G$502,H$4,Historial!$H$3:$H$502,$B$2)&gt;0,"✓",""))</f>
        <v/>
      </c>
      <c r="I70" s="29" t="str">
        <f aca="false">IF($A69="","",IF(COUNTIFS(Historial!$B$3:$B$502,$A69,Historial!$C$3:$C$502,$B69,Historial!$G$3:$G$502,I$4,Historial!$H$3:$H$502,$B$2)&gt;0,"✓",""))</f>
        <v/>
      </c>
      <c r="J70" s="29" t="str">
        <f aca="false">IF($A69="","",IF(COUNTIFS(Historial!$B$3:$B$502,$A69,Historial!$C$3:$C$502,$B69,Historial!$G$3:$G$502,J$4,Historial!$H$3:$H$502,$B$2)&gt;0,"✓",""))</f>
        <v/>
      </c>
      <c r="K70" s="29" t="str">
        <f aca="false">IF($A69="","",IF(COUNTIFS(Historial!$B$3:$B$502,$A69,Historial!$C$3:$C$502,$B69,Historial!$G$3:$G$502,K$4,Historial!$H$3:$H$502,$B$2)&gt;0,"✓",""))</f>
        <v/>
      </c>
      <c r="L70" s="29" t="str">
        <f aca="false">IF($A69="","",IF(COUNTIFS(Historial!$B$3:$B$502,$A69,Historial!$C$3:$C$502,$B69,Historial!$G$3:$G$502,L$4,Historial!$H$3:$H$502,$B$2)&gt;0,"✓",""))</f>
        <v/>
      </c>
      <c r="M70" s="29" t="str">
        <f aca="false">IF($A69="","",IF(COUNTIFS(Historial!$B$3:$B$502,$A69,Historial!$C$3:$C$502,$B69,Historial!$G$3:$G$502,M$4,Historial!$H$3:$H$502,$B$2)&gt;0,"✓",""))</f>
        <v/>
      </c>
      <c r="N70" s="29" t="str">
        <f aca="false">IF($A69="","",IF(COUNTIFS(Historial!$B$3:$B$502,$A69,Historial!$C$3:$C$502,$B69,Historial!$G$3:$G$502,N$4,Historial!$H$3:$H$502,$B$2)&gt;0,"✓",""))</f>
        <v/>
      </c>
      <c r="O70" s="29" t="str">
        <f aca="false">IF($A69="","",IF(COUNTIFS(Historial!$B$3:$B$502,$A69,Historial!$C$3:$C$502,$B69,Historial!$G$3:$G$502,O$4,Historial!$H$3:$H$502,$B$2)&gt;0,"✓",""))</f>
        <v/>
      </c>
      <c r="P70" s="29" t="str">
        <f aca="false">IF($A69="","",IF(COUNTIFS(Historial!$B$3:$B$502,$A69,Historial!$C$3:$C$502,$B69,Historial!$G$3:$G$502,P$4,Historial!$H$3:$H$502,$B$2)&gt;0,"✓",""))</f>
        <v/>
      </c>
      <c r="Q70" s="29" t="str">
        <f aca="false">IF($A69="","",IF(COUNTIFS(Historial!$B$3:$B$502,$A69,Historial!$C$3:$C$502,$B69,Historial!$G$3:$G$502,Q$4,Historial!$H$3:$H$502,$B$2)&gt;0,"✓",""))</f>
        <v/>
      </c>
      <c r="R70" s="29" t="str">
        <f aca="false">IF($A69="","",IF(COUNTIFS(Historial!$B$3:$B$502,$A69,Historial!$C$3:$C$502,$B69,Historial!$G$3:$G$502,R$4,Historial!$H$3:$H$502,$B$2)&gt;0,"✓",""))</f>
        <v/>
      </c>
      <c r="S70" s="29" t="str">
        <f aca="false">IF($A69="","",IF(COUNTIFS(Historial!$B$3:$B$502,$A69,Historial!$C$3:$C$502,$B69,Historial!$G$3:$G$502,S$4,Historial!$H$3:$H$502,$B$2)&gt;0,"✓",""))</f>
        <v/>
      </c>
      <c r="T70" s="29" t="str">
        <f aca="false">IF($A69="","",IF(COUNTIFS(Historial!$B$3:$B$502,$A69,Historial!$C$3:$C$502,$B69,Historial!$G$3:$G$502,T$4,Historial!$H$3:$H$502,$B$2)&gt;0,"✓",""))</f>
        <v/>
      </c>
      <c r="U70" s="29" t="str">
        <f aca="false">IF($A69="","",IF(COUNTIFS(Historial!$B$3:$B$502,$A69,Historial!$C$3:$C$502,$B69,Historial!$G$3:$G$502,U$4,Historial!$H$3:$H$502,$B$2)&gt;0,"✓",""))</f>
        <v/>
      </c>
      <c r="V70" s="29" t="str">
        <f aca="false">IF($A69="","",IF(COUNTIFS(Historial!$B$3:$B$502,$A69,Historial!$C$3:$C$502,$B69,Historial!$G$3:$G$502,V$4,Historial!$H$3:$H$502,$B$2)&gt;0,"✓",""))</f>
        <v/>
      </c>
      <c r="W70" s="29" t="str">
        <f aca="false">IF($A69="","",IF(COUNTIFS(Historial!$B$3:$B$502,$A69,Historial!$C$3:$C$502,$B69,Historial!$G$3:$G$502,W$4,Historial!$H$3:$H$502,$B$2)&gt;0,"✓",""))</f>
        <v/>
      </c>
      <c r="X70" s="29" t="str">
        <f aca="false">IF($A69="","",IF(COUNTIFS(Historial!$B$3:$B$502,$A69,Historial!$C$3:$C$502,$B69,Historial!$G$3:$G$502,X$4,Historial!$H$3:$H$502,$B$2)&gt;0,"✓",""))</f>
        <v/>
      </c>
      <c r="Y70" s="29" t="str">
        <f aca="false">IF($A69="","",IF(COUNTIFS(Historial!$B$3:$B$502,$A69,Historial!$C$3:$C$502,$B69,Historial!$G$3:$G$502,Y$4,Historial!$H$3:$H$502,$B$2)&gt;0,"✓",""))</f>
        <v/>
      </c>
      <c r="Z70" s="29" t="str">
        <f aca="false">IF($A69="","",IF(COUNTIFS(Historial!$B$3:$B$502,$A69,Historial!$C$3:$C$502,$B69,Historial!$G$3:$G$502,Z$4,Historial!$H$3:$H$502,$B$2)&gt;0,"✓",""))</f>
        <v/>
      </c>
      <c r="AA70" s="29" t="str">
        <f aca="false">IF($A69="","",IF(COUNTIFS(Historial!$B$3:$B$502,$A69,Historial!$C$3:$C$502,$B69,Historial!$G$3:$G$502,AA$4,Historial!$H$3:$H$502,$B$2)&gt;0,"✓",""))</f>
        <v/>
      </c>
      <c r="AB70" s="29" t="str">
        <f aca="false">IF($A69="","",IF(COUNTIFS(Historial!$B$3:$B$502,$A69,Historial!$C$3:$C$502,$B69,Historial!$G$3:$G$502,AB$4,Historial!$H$3:$H$502,$B$2)&gt;0,"✓",""))</f>
        <v/>
      </c>
      <c r="AC70" s="29" t="str">
        <f aca="false">IF($A69="","",IF(COUNTIFS(Historial!$B$3:$B$502,$A69,Historial!$C$3:$C$502,$B69,Historial!$G$3:$G$502,AC$4,Historial!$H$3:$H$502,$B$2)&gt;0,"✓",""))</f>
        <v/>
      </c>
      <c r="AD70" s="29" t="str">
        <f aca="false">IF($A69="","",IF(COUNTIFS(Historial!$B$3:$B$502,$A69,Historial!$C$3:$C$502,$B69,Historial!$G$3:$G$502,AD$4,Historial!$H$3:$H$502,$B$2)&gt;0,"✓",""))</f>
        <v/>
      </c>
      <c r="AE70" s="29" t="str">
        <f aca="false">IF($A69="","",IF(COUNTIFS(Historial!$B$3:$B$502,$A69,Historial!$C$3:$C$502,$B69,Historial!$G$3:$G$502,AE$4,Historial!$H$3:$H$502,$B$2)&gt;0,"✓",""))</f>
        <v/>
      </c>
      <c r="AF70" s="29" t="str">
        <f aca="false">IF($A69="","",IF(COUNTIFS(Historial!$B$3:$B$502,$A69,Historial!$C$3:$C$502,$B69,Historial!$G$3:$G$502,AF$4,Historial!$H$3:$H$502,$B$2)&gt;0,"✓",""))</f>
        <v/>
      </c>
      <c r="AG70" s="29" t="str">
        <f aca="false">IF($A69="","",IF(COUNTIFS(Historial!$B$3:$B$502,$A69,Historial!$C$3:$C$502,$B69,Historial!$G$3:$G$502,AG$4,Historial!$H$3:$H$502,$B$2)&gt;0,"✓",""))</f>
        <v/>
      </c>
      <c r="AH70" s="29" t="str">
        <f aca="false">IF($A69="","",IF(COUNTIFS(Historial!$B$3:$B$502,$A69,Historial!$C$3:$C$502,$B69,Historial!$G$3:$G$502,AH$4,Historial!$H$3:$H$502,$B$2)&gt;0,"✓",""))</f>
        <v/>
      </c>
      <c r="AI70" s="29" t="str">
        <f aca="false">IF($A69="","",IF(COUNTIFS(Historial!$B$3:$B$502,$A69,Historial!$C$3:$C$502,$B69,Historial!$G$3:$G$502,AI$4,Historial!$H$3:$H$502,$B$2)&gt;0,"✓",""))</f>
        <v/>
      </c>
      <c r="AJ70" s="29" t="str">
        <f aca="false">IF($A69="","",IF(COUNTIFS(Historial!$B$3:$B$502,$A69,Historial!$C$3:$C$502,$B69,Historial!$G$3:$G$502,AJ$4,Historial!$H$3:$H$502,$B$2)&gt;0,"✓",""))</f>
        <v/>
      </c>
      <c r="AK70" s="29" t="str">
        <f aca="false">IF($A69="","",IF(COUNTIFS(Historial!$B$3:$B$502,$A69,Historial!$C$3:$C$502,$B69,Historial!$G$3:$G$502,AK$4,Historial!$H$3:$H$502,$B$2)&gt;0,"✓",""))</f>
        <v/>
      </c>
      <c r="AL70" s="29" t="str">
        <f aca="false">IF($A69="","",IF(COUNTIFS(Historial!$B$3:$B$502,$A69,Historial!$C$3:$C$502,$B69,Historial!$G$3:$G$502,AL$4,Historial!$H$3:$H$502,$B$2)&gt;0,"✓",""))</f>
        <v/>
      </c>
      <c r="AM70" s="29" t="str">
        <f aca="false">IF($A69="","",IF(COUNTIFS(Historial!$B$3:$B$502,$A69,Historial!$C$3:$C$502,$B69,Historial!$G$3:$G$502,AM$4,Historial!$H$3:$H$502,$B$2)&gt;0,"✓",""))</f>
        <v/>
      </c>
      <c r="AN70" s="29" t="str">
        <f aca="false">IF($A69="","",IF(COUNTIFS(Historial!$B$3:$B$502,$A69,Historial!$C$3:$C$502,$B69,Historial!$G$3:$G$502,AN$4,Historial!$H$3:$H$502,$B$2)&gt;0,"✓",""))</f>
        <v/>
      </c>
      <c r="AO70" s="29" t="str">
        <f aca="false">IF($A69="","",IF(COUNTIFS(Historial!$B$3:$B$502,$A69,Historial!$C$3:$C$502,$B69,Historial!$G$3:$G$502,AO$4,Historial!$H$3:$H$502,$B$2)&gt;0,"✓",""))</f>
        <v/>
      </c>
      <c r="AP70" s="29" t="str">
        <f aca="false">IF($A69="","",IF(COUNTIFS(Historial!$B$3:$B$502,$A69,Historial!$C$3:$C$502,$B69,Historial!$G$3:$G$502,AP$4,Historial!$H$3:$H$502,$B$2)&gt;0,"✓",""))</f>
        <v/>
      </c>
      <c r="AQ70" s="29" t="str">
        <f aca="false">IF($A69="","",IF(COUNTIFS(Historial!$B$3:$B$502,$A69,Historial!$C$3:$C$502,$B69,Historial!$G$3:$G$502,AQ$4,Historial!$H$3:$H$502,$B$2)&gt;0,"✓",""))</f>
        <v/>
      </c>
      <c r="AR70" s="29" t="str">
        <f aca="false">IF($A69="","",IF(COUNTIFS(Historial!$B$3:$B$502,$A69,Historial!$C$3:$C$502,$B69,Historial!$G$3:$G$502,AR$4,Historial!$H$3:$H$502,$B$2)&gt;0,"✓",""))</f>
        <v/>
      </c>
      <c r="AS70" s="29" t="str">
        <f aca="false">IF($A69="","",IF(COUNTIFS(Historial!$B$3:$B$502,$A69,Historial!$C$3:$C$502,$B69,Historial!$G$3:$G$502,AS$4,Historial!$H$3:$H$502,$B$2)&gt;0,"✓",""))</f>
        <v/>
      </c>
      <c r="AT70" s="29" t="str">
        <f aca="false">IF($A69="","",IF(COUNTIFS(Historial!$B$3:$B$502,$A69,Historial!$C$3:$C$502,$B69,Historial!$G$3:$G$502,AT$4,Historial!$H$3:$H$502,$B$2)&gt;0,"✓",""))</f>
        <v/>
      </c>
      <c r="AU70" s="29" t="str">
        <f aca="false">IF($A69="","",IF(COUNTIFS(Historial!$B$3:$B$502,$A69,Historial!$C$3:$C$502,$B69,Historial!$G$3:$G$502,AU$4,Historial!$H$3:$H$502,$B$2)&gt;0,"✓",""))</f>
        <v/>
      </c>
      <c r="AV70" s="29" t="str">
        <f aca="false">IF($A69="","",IF(COUNTIFS(Historial!$B$3:$B$502,$A69,Historial!$C$3:$C$502,$B69,Historial!$G$3:$G$502,AV$4,Historial!$H$3:$H$502,$B$2)&gt;0,"✓",""))</f>
        <v/>
      </c>
      <c r="AW70" s="29" t="str">
        <f aca="false">IF($A69="","",IF(COUNTIFS(Historial!$B$3:$B$502,$A69,Historial!$C$3:$C$502,$B69,Historial!$G$3:$G$502,AW$4,Historial!$H$3:$H$502,$B$2)&gt;0,"✓",""))</f>
        <v/>
      </c>
      <c r="AX70" s="29" t="str">
        <f aca="false">IF($A69="","",IF(COUNTIFS(Historial!$B$3:$B$502,$A69,Historial!$C$3:$C$502,$B69,Historial!$G$3:$G$502,AX$4,Historial!$H$3:$H$502,$B$2)&gt;0,"✓",""))</f>
        <v/>
      </c>
      <c r="AY70" s="29" t="str">
        <f aca="false">IF($A69="","",IF(COUNTIFS(Historial!$B$3:$B$502,$A69,Historial!$C$3:$C$502,$B69,Historial!$G$3:$G$502,AY$4,Historial!$H$3:$H$502,$B$2)&gt;0,"✓",""))</f>
        <v/>
      </c>
      <c r="AZ70" s="29" t="str">
        <f aca="false">IF($A69="","",IF(COUNTIFS(Historial!$B$3:$B$502,$A69,Historial!$C$3:$C$502,$B69,Historial!$G$3:$G$502,AZ$4,Historial!$H$3:$H$502,$B$2)&gt;0,"✓",""))</f>
        <v/>
      </c>
      <c r="BA70" s="29" t="str">
        <f aca="false">IF($A69="","",IF(COUNTIFS(Historial!$B$3:$B$502,$A69,Historial!$C$3:$C$502,$B69,Historial!$G$3:$G$502,BA$4,Historial!$H$3:$H$502,$B$2)&gt;0,"✓",""))</f>
        <v/>
      </c>
      <c r="BB70" s="29" t="str">
        <f aca="false">IF($A69="","",IF(COUNTIFS(Historial!$B$3:$B$502,$A69,Historial!$C$3:$C$502,$B69,Historial!$G$3:$G$502,BB$4,Historial!$H$3:$H$502,$B$2)&gt;0,"✓",""))</f>
        <v/>
      </c>
      <c r="BC70" s="29" t="str">
        <f aca="false">IF($A69="","",IF(COUNTIFS(Historial!$B$3:$B$502,$A69,Historial!$C$3:$C$502,$B69,Historial!$G$3:$G$502,BC$4,Historial!$H$3:$H$502,$B$2)&gt;0,"✓",""))</f>
        <v/>
      </c>
      <c r="BD70" s="29"/>
      <c r="BE70" s="29"/>
      <c r="BF70" s="29"/>
    </row>
    <row r="71" customFormat="false" ht="15" hidden="false" customHeight="false" outlineLevel="0" collapsed="false">
      <c r="A71" s="24" t="str">
        <f aca="false">IF(Actividades!$B36="","",Actividades!$B36)</f>
        <v/>
      </c>
      <c r="B71" s="24" t="str">
        <f aca="false">IF(Actividades!$C36="","",Actividades!$C36)</f>
        <v/>
      </c>
      <c r="C71" s="24" t="str">
        <f aca="false">IF($A71="","","Plan")</f>
        <v/>
      </c>
      <c r="D71" s="25" t="str">
        <f aca="false">IF($A71="","",IF(AND(N(Actividades!$E36)&gt;0,D$4&gt;=Actividades!$E36,MOD(D$4-Actividades!$E36,IFERROR(VLOOKUP(Actividades!$D36,Listas!$A$2:$B$8,2,0),52))=0),"P",""))</f>
        <v/>
      </c>
      <c r="E71" s="25" t="str">
        <f aca="false">IF($A71="","",IF(AND(N(Actividades!$E36)&gt;0,E$4&gt;=Actividades!$E36,MOD(E$4-Actividades!$E36,IFERROR(VLOOKUP(Actividades!$D36,Listas!$A$2:$B$8,2,0),52))=0),"P",""))</f>
        <v/>
      </c>
      <c r="F71" s="25" t="str">
        <f aca="false">IF($A71="","",IF(AND(N(Actividades!$E36)&gt;0,F$4&gt;=Actividades!$E36,MOD(F$4-Actividades!$E36,IFERROR(VLOOKUP(Actividades!$D36,Listas!$A$2:$B$8,2,0),52))=0),"P",""))</f>
        <v/>
      </c>
      <c r="G71" s="25" t="str">
        <f aca="false">IF($A71="","",IF(AND(N(Actividades!$E36)&gt;0,G$4&gt;=Actividades!$E36,MOD(G$4-Actividades!$E36,IFERROR(VLOOKUP(Actividades!$D36,Listas!$A$2:$B$8,2,0),52))=0),"P",""))</f>
        <v/>
      </c>
      <c r="H71" s="25" t="str">
        <f aca="false">IF($A71="","",IF(AND(N(Actividades!$E36)&gt;0,H$4&gt;=Actividades!$E36,MOD(H$4-Actividades!$E36,IFERROR(VLOOKUP(Actividades!$D36,Listas!$A$2:$B$8,2,0),52))=0),"P",""))</f>
        <v/>
      </c>
      <c r="I71" s="25" t="str">
        <f aca="false">IF($A71="","",IF(AND(N(Actividades!$E36)&gt;0,I$4&gt;=Actividades!$E36,MOD(I$4-Actividades!$E36,IFERROR(VLOOKUP(Actividades!$D36,Listas!$A$2:$B$8,2,0),52))=0),"P",""))</f>
        <v/>
      </c>
      <c r="J71" s="25" t="str">
        <f aca="false">IF($A71="","",IF(AND(N(Actividades!$E36)&gt;0,J$4&gt;=Actividades!$E36,MOD(J$4-Actividades!$E36,IFERROR(VLOOKUP(Actividades!$D36,Listas!$A$2:$B$8,2,0),52))=0),"P",""))</f>
        <v/>
      </c>
      <c r="K71" s="25" t="str">
        <f aca="false">IF($A71="","",IF(AND(N(Actividades!$E36)&gt;0,K$4&gt;=Actividades!$E36,MOD(K$4-Actividades!$E36,IFERROR(VLOOKUP(Actividades!$D36,Listas!$A$2:$B$8,2,0),52))=0),"P",""))</f>
        <v/>
      </c>
      <c r="L71" s="25" t="str">
        <f aca="false">IF($A71="","",IF(AND(N(Actividades!$E36)&gt;0,L$4&gt;=Actividades!$E36,MOD(L$4-Actividades!$E36,IFERROR(VLOOKUP(Actividades!$D36,Listas!$A$2:$B$8,2,0),52))=0),"P",""))</f>
        <v/>
      </c>
      <c r="M71" s="25" t="str">
        <f aca="false">IF($A71="","",IF(AND(N(Actividades!$E36)&gt;0,M$4&gt;=Actividades!$E36,MOD(M$4-Actividades!$E36,IFERROR(VLOOKUP(Actividades!$D36,Listas!$A$2:$B$8,2,0),52))=0),"P",""))</f>
        <v/>
      </c>
      <c r="N71" s="25" t="str">
        <f aca="false">IF($A71="","",IF(AND(N(Actividades!$E36)&gt;0,N$4&gt;=Actividades!$E36,MOD(N$4-Actividades!$E36,IFERROR(VLOOKUP(Actividades!$D36,Listas!$A$2:$B$8,2,0),52))=0),"P",""))</f>
        <v/>
      </c>
      <c r="O71" s="25" t="str">
        <f aca="false">IF($A71="","",IF(AND(N(Actividades!$E36)&gt;0,O$4&gt;=Actividades!$E36,MOD(O$4-Actividades!$E36,IFERROR(VLOOKUP(Actividades!$D36,Listas!$A$2:$B$8,2,0),52))=0),"P",""))</f>
        <v/>
      </c>
      <c r="P71" s="25" t="str">
        <f aca="false">IF($A71="","",IF(AND(N(Actividades!$E36)&gt;0,P$4&gt;=Actividades!$E36,MOD(P$4-Actividades!$E36,IFERROR(VLOOKUP(Actividades!$D36,Listas!$A$2:$B$8,2,0),52))=0),"P",""))</f>
        <v/>
      </c>
      <c r="Q71" s="25" t="str">
        <f aca="false">IF($A71="","",IF(AND(N(Actividades!$E36)&gt;0,Q$4&gt;=Actividades!$E36,MOD(Q$4-Actividades!$E36,IFERROR(VLOOKUP(Actividades!$D36,Listas!$A$2:$B$8,2,0),52))=0),"P",""))</f>
        <v/>
      </c>
      <c r="R71" s="25" t="str">
        <f aca="false">IF($A71="","",IF(AND(N(Actividades!$E36)&gt;0,R$4&gt;=Actividades!$E36,MOD(R$4-Actividades!$E36,IFERROR(VLOOKUP(Actividades!$D36,Listas!$A$2:$B$8,2,0),52))=0),"P",""))</f>
        <v/>
      </c>
      <c r="S71" s="25" t="str">
        <f aca="false">IF($A71="","",IF(AND(N(Actividades!$E36)&gt;0,S$4&gt;=Actividades!$E36,MOD(S$4-Actividades!$E36,IFERROR(VLOOKUP(Actividades!$D36,Listas!$A$2:$B$8,2,0),52))=0),"P",""))</f>
        <v/>
      </c>
      <c r="T71" s="25" t="str">
        <f aca="false">IF($A71="","",IF(AND(N(Actividades!$E36)&gt;0,T$4&gt;=Actividades!$E36,MOD(T$4-Actividades!$E36,IFERROR(VLOOKUP(Actividades!$D36,Listas!$A$2:$B$8,2,0),52))=0),"P",""))</f>
        <v/>
      </c>
      <c r="U71" s="25" t="str">
        <f aca="false">IF($A71="","",IF(AND(N(Actividades!$E36)&gt;0,U$4&gt;=Actividades!$E36,MOD(U$4-Actividades!$E36,IFERROR(VLOOKUP(Actividades!$D36,Listas!$A$2:$B$8,2,0),52))=0),"P",""))</f>
        <v/>
      </c>
      <c r="V71" s="25" t="str">
        <f aca="false">IF($A71="","",IF(AND(N(Actividades!$E36)&gt;0,V$4&gt;=Actividades!$E36,MOD(V$4-Actividades!$E36,IFERROR(VLOOKUP(Actividades!$D36,Listas!$A$2:$B$8,2,0),52))=0),"P",""))</f>
        <v/>
      </c>
      <c r="W71" s="25" t="str">
        <f aca="false">IF($A71="","",IF(AND(N(Actividades!$E36)&gt;0,W$4&gt;=Actividades!$E36,MOD(W$4-Actividades!$E36,IFERROR(VLOOKUP(Actividades!$D36,Listas!$A$2:$B$8,2,0),52))=0),"P",""))</f>
        <v/>
      </c>
      <c r="X71" s="25" t="str">
        <f aca="false">IF($A71="","",IF(AND(N(Actividades!$E36)&gt;0,X$4&gt;=Actividades!$E36,MOD(X$4-Actividades!$E36,IFERROR(VLOOKUP(Actividades!$D36,Listas!$A$2:$B$8,2,0),52))=0),"P",""))</f>
        <v/>
      </c>
      <c r="Y71" s="25" t="str">
        <f aca="false">IF($A71="","",IF(AND(N(Actividades!$E36)&gt;0,Y$4&gt;=Actividades!$E36,MOD(Y$4-Actividades!$E36,IFERROR(VLOOKUP(Actividades!$D36,Listas!$A$2:$B$8,2,0),52))=0),"P",""))</f>
        <v/>
      </c>
      <c r="Z71" s="25" t="str">
        <f aca="false">IF($A71="","",IF(AND(N(Actividades!$E36)&gt;0,Z$4&gt;=Actividades!$E36,MOD(Z$4-Actividades!$E36,IFERROR(VLOOKUP(Actividades!$D36,Listas!$A$2:$B$8,2,0),52))=0),"P",""))</f>
        <v/>
      </c>
      <c r="AA71" s="25" t="str">
        <f aca="false">IF($A71="","",IF(AND(N(Actividades!$E36)&gt;0,AA$4&gt;=Actividades!$E36,MOD(AA$4-Actividades!$E36,IFERROR(VLOOKUP(Actividades!$D36,Listas!$A$2:$B$8,2,0),52))=0),"P",""))</f>
        <v/>
      </c>
      <c r="AB71" s="25" t="str">
        <f aca="false">IF($A71="","",IF(AND(N(Actividades!$E36)&gt;0,AB$4&gt;=Actividades!$E36,MOD(AB$4-Actividades!$E36,IFERROR(VLOOKUP(Actividades!$D36,Listas!$A$2:$B$8,2,0),52))=0),"P",""))</f>
        <v/>
      </c>
      <c r="AC71" s="25" t="str">
        <f aca="false">IF($A71="","",IF(AND(N(Actividades!$E36)&gt;0,AC$4&gt;=Actividades!$E36,MOD(AC$4-Actividades!$E36,IFERROR(VLOOKUP(Actividades!$D36,Listas!$A$2:$B$8,2,0),52))=0),"P",""))</f>
        <v/>
      </c>
      <c r="AD71" s="25" t="str">
        <f aca="false">IF($A71="","",IF(AND(N(Actividades!$E36)&gt;0,AD$4&gt;=Actividades!$E36,MOD(AD$4-Actividades!$E36,IFERROR(VLOOKUP(Actividades!$D36,Listas!$A$2:$B$8,2,0),52))=0),"P",""))</f>
        <v/>
      </c>
      <c r="AE71" s="25" t="str">
        <f aca="false">IF($A71="","",IF(AND(N(Actividades!$E36)&gt;0,AE$4&gt;=Actividades!$E36,MOD(AE$4-Actividades!$E36,IFERROR(VLOOKUP(Actividades!$D36,Listas!$A$2:$B$8,2,0),52))=0),"P",""))</f>
        <v/>
      </c>
      <c r="AF71" s="25" t="str">
        <f aca="false">IF($A71="","",IF(AND(N(Actividades!$E36)&gt;0,AF$4&gt;=Actividades!$E36,MOD(AF$4-Actividades!$E36,IFERROR(VLOOKUP(Actividades!$D36,Listas!$A$2:$B$8,2,0),52))=0),"P",""))</f>
        <v/>
      </c>
      <c r="AG71" s="25" t="str">
        <f aca="false">IF($A71="","",IF(AND(N(Actividades!$E36)&gt;0,AG$4&gt;=Actividades!$E36,MOD(AG$4-Actividades!$E36,IFERROR(VLOOKUP(Actividades!$D36,Listas!$A$2:$B$8,2,0),52))=0),"P",""))</f>
        <v/>
      </c>
      <c r="AH71" s="25" t="str">
        <f aca="false">IF($A71="","",IF(AND(N(Actividades!$E36)&gt;0,AH$4&gt;=Actividades!$E36,MOD(AH$4-Actividades!$E36,IFERROR(VLOOKUP(Actividades!$D36,Listas!$A$2:$B$8,2,0),52))=0),"P",""))</f>
        <v/>
      </c>
      <c r="AI71" s="25" t="str">
        <f aca="false">IF($A71="","",IF(AND(N(Actividades!$E36)&gt;0,AI$4&gt;=Actividades!$E36,MOD(AI$4-Actividades!$E36,IFERROR(VLOOKUP(Actividades!$D36,Listas!$A$2:$B$8,2,0),52))=0),"P",""))</f>
        <v/>
      </c>
      <c r="AJ71" s="25" t="str">
        <f aca="false">IF($A71="","",IF(AND(N(Actividades!$E36)&gt;0,AJ$4&gt;=Actividades!$E36,MOD(AJ$4-Actividades!$E36,IFERROR(VLOOKUP(Actividades!$D36,Listas!$A$2:$B$8,2,0),52))=0),"P",""))</f>
        <v/>
      </c>
      <c r="AK71" s="25" t="str">
        <f aca="false">IF($A71="","",IF(AND(N(Actividades!$E36)&gt;0,AK$4&gt;=Actividades!$E36,MOD(AK$4-Actividades!$E36,IFERROR(VLOOKUP(Actividades!$D36,Listas!$A$2:$B$8,2,0),52))=0),"P",""))</f>
        <v/>
      </c>
      <c r="AL71" s="25" t="str">
        <f aca="false">IF($A71="","",IF(AND(N(Actividades!$E36)&gt;0,AL$4&gt;=Actividades!$E36,MOD(AL$4-Actividades!$E36,IFERROR(VLOOKUP(Actividades!$D36,Listas!$A$2:$B$8,2,0),52))=0),"P",""))</f>
        <v/>
      </c>
      <c r="AM71" s="25" t="str">
        <f aca="false">IF($A71="","",IF(AND(N(Actividades!$E36)&gt;0,AM$4&gt;=Actividades!$E36,MOD(AM$4-Actividades!$E36,IFERROR(VLOOKUP(Actividades!$D36,Listas!$A$2:$B$8,2,0),52))=0),"P",""))</f>
        <v/>
      </c>
      <c r="AN71" s="25" t="str">
        <f aca="false">IF($A71="","",IF(AND(N(Actividades!$E36)&gt;0,AN$4&gt;=Actividades!$E36,MOD(AN$4-Actividades!$E36,IFERROR(VLOOKUP(Actividades!$D36,Listas!$A$2:$B$8,2,0),52))=0),"P",""))</f>
        <v/>
      </c>
      <c r="AO71" s="25" t="str">
        <f aca="false">IF($A71="","",IF(AND(N(Actividades!$E36)&gt;0,AO$4&gt;=Actividades!$E36,MOD(AO$4-Actividades!$E36,IFERROR(VLOOKUP(Actividades!$D36,Listas!$A$2:$B$8,2,0),52))=0),"P",""))</f>
        <v/>
      </c>
      <c r="AP71" s="25" t="str">
        <f aca="false">IF($A71="","",IF(AND(N(Actividades!$E36)&gt;0,AP$4&gt;=Actividades!$E36,MOD(AP$4-Actividades!$E36,IFERROR(VLOOKUP(Actividades!$D36,Listas!$A$2:$B$8,2,0),52))=0),"P",""))</f>
        <v/>
      </c>
      <c r="AQ71" s="25" t="str">
        <f aca="false">IF($A71="","",IF(AND(N(Actividades!$E36)&gt;0,AQ$4&gt;=Actividades!$E36,MOD(AQ$4-Actividades!$E36,IFERROR(VLOOKUP(Actividades!$D36,Listas!$A$2:$B$8,2,0),52))=0),"P",""))</f>
        <v/>
      </c>
      <c r="AR71" s="25" t="str">
        <f aca="false">IF($A71="","",IF(AND(N(Actividades!$E36)&gt;0,AR$4&gt;=Actividades!$E36,MOD(AR$4-Actividades!$E36,IFERROR(VLOOKUP(Actividades!$D36,Listas!$A$2:$B$8,2,0),52))=0),"P",""))</f>
        <v/>
      </c>
      <c r="AS71" s="25" t="str">
        <f aca="false">IF($A71="","",IF(AND(N(Actividades!$E36)&gt;0,AS$4&gt;=Actividades!$E36,MOD(AS$4-Actividades!$E36,IFERROR(VLOOKUP(Actividades!$D36,Listas!$A$2:$B$8,2,0),52))=0),"P",""))</f>
        <v/>
      </c>
      <c r="AT71" s="25" t="str">
        <f aca="false">IF($A71="","",IF(AND(N(Actividades!$E36)&gt;0,AT$4&gt;=Actividades!$E36,MOD(AT$4-Actividades!$E36,IFERROR(VLOOKUP(Actividades!$D36,Listas!$A$2:$B$8,2,0),52))=0),"P",""))</f>
        <v/>
      </c>
      <c r="AU71" s="25" t="str">
        <f aca="false">IF($A71="","",IF(AND(N(Actividades!$E36)&gt;0,AU$4&gt;=Actividades!$E36,MOD(AU$4-Actividades!$E36,IFERROR(VLOOKUP(Actividades!$D36,Listas!$A$2:$B$8,2,0),52))=0),"P",""))</f>
        <v/>
      </c>
      <c r="AV71" s="25" t="str">
        <f aca="false">IF($A71="","",IF(AND(N(Actividades!$E36)&gt;0,AV$4&gt;=Actividades!$E36,MOD(AV$4-Actividades!$E36,IFERROR(VLOOKUP(Actividades!$D36,Listas!$A$2:$B$8,2,0),52))=0),"P",""))</f>
        <v/>
      </c>
      <c r="AW71" s="25" t="str">
        <f aca="false">IF($A71="","",IF(AND(N(Actividades!$E36)&gt;0,AW$4&gt;=Actividades!$E36,MOD(AW$4-Actividades!$E36,IFERROR(VLOOKUP(Actividades!$D36,Listas!$A$2:$B$8,2,0),52))=0),"P",""))</f>
        <v/>
      </c>
      <c r="AX71" s="25" t="str">
        <f aca="false">IF($A71="","",IF(AND(N(Actividades!$E36)&gt;0,AX$4&gt;=Actividades!$E36,MOD(AX$4-Actividades!$E36,IFERROR(VLOOKUP(Actividades!$D36,Listas!$A$2:$B$8,2,0),52))=0),"P",""))</f>
        <v/>
      </c>
      <c r="AY71" s="25" t="str">
        <f aca="false">IF($A71="","",IF(AND(N(Actividades!$E36)&gt;0,AY$4&gt;=Actividades!$E36,MOD(AY$4-Actividades!$E36,IFERROR(VLOOKUP(Actividades!$D36,Listas!$A$2:$B$8,2,0),52))=0),"P",""))</f>
        <v/>
      </c>
      <c r="AZ71" s="25" t="str">
        <f aca="false">IF($A71="","",IF(AND(N(Actividades!$E36)&gt;0,AZ$4&gt;=Actividades!$E36,MOD(AZ$4-Actividades!$E36,IFERROR(VLOOKUP(Actividades!$D36,Listas!$A$2:$B$8,2,0),52))=0),"P",""))</f>
        <v/>
      </c>
      <c r="BA71" s="25" t="str">
        <f aca="false">IF($A71="","",IF(AND(N(Actividades!$E36)&gt;0,BA$4&gt;=Actividades!$E36,MOD(BA$4-Actividades!$E36,IFERROR(VLOOKUP(Actividades!$D36,Listas!$A$2:$B$8,2,0),52))=0),"P",""))</f>
        <v/>
      </c>
      <c r="BB71" s="25" t="str">
        <f aca="false">IF($A71="","",IF(AND(N(Actividades!$E36)&gt;0,BB$4&gt;=Actividades!$E36,MOD(BB$4-Actividades!$E36,IFERROR(VLOOKUP(Actividades!$D36,Listas!$A$2:$B$8,2,0),52))=0),"P",""))</f>
        <v/>
      </c>
      <c r="BC71" s="25" t="str">
        <f aca="false">IF($A71="","",IF(AND(N(Actividades!$E36)&gt;0,BC$4&gt;=Actividades!$E36,MOD(BC$4-Actividades!$E36,IFERROR(VLOOKUP(Actividades!$D36,Listas!$A$2:$B$8,2,0),52))=0),"P",""))</f>
        <v/>
      </c>
      <c r="BD71" s="26" t="str">
        <f aca="false">IF($A71="","",COUNTIF(D71:BC71,"P"))</f>
        <v/>
      </c>
      <c r="BE71" s="26" t="str">
        <f aca="false">IF($A71="","",SUMPRODUCT((D71:BC71="P")*(D72:BC72="✓")))</f>
        <v/>
      </c>
      <c r="BF71" s="27" t="str">
        <f aca="false">IF($A71="","",IF(BD71=0,"",BE71/BD71))</f>
        <v/>
      </c>
    </row>
    <row r="72" customFormat="false" ht="15" hidden="false" customHeight="false" outlineLevel="0" collapsed="false">
      <c r="A72" s="28"/>
      <c r="B72" s="28"/>
      <c r="C72" s="28" t="str">
        <f aca="false">IF($A71="","","Real")</f>
        <v/>
      </c>
      <c r="D72" s="29" t="str">
        <f aca="false">IF($A71="","",IF(COUNTIFS(Historial!$B$3:$B$502,$A71,Historial!$C$3:$C$502,$B71,Historial!$G$3:$G$502,D$4,Historial!$H$3:$H$502,$B$2)&gt;0,"✓",""))</f>
        <v/>
      </c>
      <c r="E72" s="29" t="str">
        <f aca="false">IF($A71="","",IF(COUNTIFS(Historial!$B$3:$B$502,$A71,Historial!$C$3:$C$502,$B71,Historial!$G$3:$G$502,E$4,Historial!$H$3:$H$502,$B$2)&gt;0,"✓",""))</f>
        <v/>
      </c>
      <c r="F72" s="29" t="str">
        <f aca="false">IF($A71="","",IF(COUNTIFS(Historial!$B$3:$B$502,$A71,Historial!$C$3:$C$502,$B71,Historial!$G$3:$G$502,F$4,Historial!$H$3:$H$502,$B$2)&gt;0,"✓",""))</f>
        <v/>
      </c>
      <c r="G72" s="29" t="str">
        <f aca="false">IF($A71="","",IF(COUNTIFS(Historial!$B$3:$B$502,$A71,Historial!$C$3:$C$502,$B71,Historial!$G$3:$G$502,G$4,Historial!$H$3:$H$502,$B$2)&gt;0,"✓",""))</f>
        <v/>
      </c>
      <c r="H72" s="29" t="str">
        <f aca="false">IF($A71="","",IF(COUNTIFS(Historial!$B$3:$B$502,$A71,Historial!$C$3:$C$502,$B71,Historial!$G$3:$G$502,H$4,Historial!$H$3:$H$502,$B$2)&gt;0,"✓",""))</f>
        <v/>
      </c>
      <c r="I72" s="29" t="str">
        <f aca="false">IF($A71="","",IF(COUNTIFS(Historial!$B$3:$B$502,$A71,Historial!$C$3:$C$502,$B71,Historial!$G$3:$G$502,I$4,Historial!$H$3:$H$502,$B$2)&gt;0,"✓",""))</f>
        <v/>
      </c>
      <c r="J72" s="29" t="str">
        <f aca="false">IF($A71="","",IF(COUNTIFS(Historial!$B$3:$B$502,$A71,Historial!$C$3:$C$502,$B71,Historial!$G$3:$G$502,J$4,Historial!$H$3:$H$502,$B$2)&gt;0,"✓",""))</f>
        <v/>
      </c>
      <c r="K72" s="29" t="str">
        <f aca="false">IF($A71="","",IF(COUNTIFS(Historial!$B$3:$B$502,$A71,Historial!$C$3:$C$502,$B71,Historial!$G$3:$G$502,K$4,Historial!$H$3:$H$502,$B$2)&gt;0,"✓",""))</f>
        <v/>
      </c>
      <c r="L72" s="29" t="str">
        <f aca="false">IF($A71="","",IF(COUNTIFS(Historial!$B$3:$B$502,$A71,Historial!$C$3:$C$502,$B71,Historial!$G$3:$G$502,L$4,Historial!$H$3:$H$502,$B$2)&gt;0,"✓",""))</f>
        <v/>
      </c>
      <c r="M72" s="29" t="str">
        <f aca="false">IF($A71="","",IF(COUNTIFS(Historial!$B$3:$B$502,$A71,Historial!$C$3:$C$502,$B71,Historial!$G$3:$G$502,M$4,Historial!$H$3:$H$502,$B$2)&gt;0,"✓",""))</f>
        <v/>
      </c>
      <c r="N72" s="29" t="str">
        <f aca="false">IF($A71="","",IF(COUNTIFS(Historial!$B$3:$B$502,$A71,Historial!$C$3:$C$502,$B71,Historial!$G$3:$G$502,N$4,Historial!$H$3:$H$502,$B$2)&gt;0,"✓",""))</f>
        <v/>
      </c>
      <c r="O72" s="29" t="str">
        <f aca="false">IF($A71="","",IF(COUNTIFS(Historial!$B$3:$B$502,$A71,Historial!$C$3:$C$502,$B71,Historial!$G$3:$G$502,O$4,Historial!$H$3:$H$502,$B$2)&gt;0,"✓",""))</f>
        <v/>
      </c>
      <c r="P72" s="29" t="str">
        <f aca="false">IF($A71="","",IF(COUNTIFS(Historial!$B$3:$B$502,$A71,Historial!$C$3:$C$502,$B71,Historial!$G$3:$G$502,P$4,Historial!$H$3:$H$502,$B$2)&gt;0,"✓",""))</f>
        <v/>
      </c>
      <c r="Q72" s="29" t="str">
        <f aca="false">IF($A71="","",IF(COUNTIFS(Historial!$B$3:$B$502,$A71,Historial!$C$3:$C$502,$B71,Historial!$G$3:$G$502,Q$4,Historial!$H$3:$H$502,$B$2)&gt;0,"✓",""))</f>
        <v/>
      </c>
      <c r="R72" s="29" t="str">
        <f aca="false">IF($A71="","",IF(COUNTIFS(Historial!$B$3:$B$502,$A71,Historial!$C$3:$C$502,$B71,Historial!$G$3:$G$502,R$4,Historial!$H$3:$H$502,$B$2)&gt;0,"✓",""))</f>
        <v/>
      </c>
      <c r="S72" s="29" t="str">
        <f aca="false">IF($A71="","",IF(COUNTIFS(Historial!$B$3:$B$502,$A71,Historial!$C$3:$C$502,$B71,Historial!$G$3:$G$502,S$4,Historial!$H$3:$H$502,$B$2)&gt;0,"✓",""))</f>
        <v/>
      </c>
      <c r="T72" s="29" t="str">
        <f aca="false">IF($A71="","",IF(COUNTIFS(Historial!$B$3:$B$502,$A71,Historial!$C$3:$C$502,$B71,Historial!$G$3:$G$502,T$4,Historial!$H$3:$H$502,$B$2)&gt;0,"✓",""))</f>
        <v/>
      </c>
      <c r="U72" s="29" t="str">
        <f aca="false">IF($A71="","",IF(COUNTIFS(Historial!$B$3:$B$502,$A71,Historial!$C$3:$C$502,$B71,Historial!$G$3:$G$502,U$4,Historial!$H$3:$H$502,$B$2)&gt;0,"✓",""))</f>
        <v/>
      </c>
      <c r="V72" s="29" t="str">
        <f aca="false">IF($A71="","",IF(COUNTIFS(Historial!$B$3:$B$502,$A71,Historial!$C$3:$C$502,$B71,Historial!$G$3:$G$502,V$4,Historial!$H$3:$H$502,$B$2)&gt;0,"✓",""))</f>
        <v/>
      </c>
      <c r="W72" s="29" t="str">
        <f aca="false">IF($A71="","",IF(COUNTIFS(Historial!$B$3:$B$502,$A71,Historial!$C$3:$C$502,$B71,Historial!$G$3:$G$502,W$4,Historial!$H$3:$H$502,$B$2)&gt;0,"✓",""))</f>
        <v/>
      </c>
      <c r="X72" s="29" t="str">
        <f aca="false">IF($A71="","",IF(COUNTIFS(Historial!$B$3:$B$502,$A71,Historial!$C$3:$C$502,$B71,Historial!$G$3:$G$502,X$4,Historial!$H$3:$H$502,$B$2)&gt;0,"✓",""))</f>
        <v/>
      </c>
      <c r="Y72" s="29" t="str">
        <f aca="false">IF($A71="","",IF(COUNTIFS(Historial!$B$3:$B$502,$A71,Historial!$C$3:$C$502,$B71,Historial!$G$3:$G$502,Y$4,Historial!$H$3:$H$502,$B$2)&gt;0,"✓",""))</f>
        <v/>
      </c>
      <c r="Z72" s="29" t="str">
        <f aca="false">IF($A71="","",IF(COUNTIFS(Historial!$B$3:$B$502,$A71,Historial!$C$3:$C$502,$B71,Historial!$G$3:$G$502,Z$4,Historial!$H$3:$H$502,$B$2)&gt;0,"✓",""))</f>
        <v/>
      </c>
      <c r="AA72" s="29" t="str">
        <f aca="false">IF($A71="","",IF(COUNTIFS(Historial!$B$3:$B$502,$A71,Historial!$C$3:$C$502,$B71,Historial!$G$3:$G$502,AA$4,Historial!$H$3:$H$502,$B$2)&gt;0,"✓",""))</f>
        <v/>
      </c>
      <c r="AB72" s="29" t="str">
        <f aca="false">IF($A71="","",IF(COUNTIFS(Historial!$B$3:$B$502,$A71,Historial!$C$3:$C$502,$B71,Historial!$G$3:$G$502,AB$4,Historial!$H$3:$H$502,$B$2)&gt;0,"✓",""))</f>
        <v/>
      </c>
      <c r="AC72" s="29" t="str">
        <f aca="false">IF($A71="","",IF(COUNTIFS(Historial!$B$3:$B$502,$A71,Historial!$C$3:$C$502,$B71,Historial!$G$3:$G$502,AC$4,Historial!$H$3:$H$502,$B$2)&gt;0,"✓",""))</f>
        <v/>
      </c>
      <c r="AD72" s="29" t="str">
        <f aca="false">IF($A71="","",IF(COUNTIFS(Historial!$B$3:$B$502,$A71,Historial!$C$3:$C$502,$B71,Historial!$G$3:$G$502,AD$4,Historial!$H$3:$H$502,$B$2)&gt;0,"✓",""))</f>
        <v/>
      </c>
      <c r="AE72" s="29" t="str">
        <f aca="false">IF($A71="","",IF(COUNTIFS(Historial!$B$3:$B$502,$A71,Historial!$C$3:$C$502,$B71,Historial!$G$3:$G$502,AE$4,Historial!$H$3:$H$502,$B$2)&gt;0,"✓",""))</f>
        <v/>
      </c>
      <c r="AF72" s="29" t="str">
        <f aca="false">IF($A71="","",IF(COUNTIFS(Historial!$B$3:$B$502,$A71,Historial!$C$3:$C$502,$B71,Historial!$G$3:$G$502,AF$4,Historial!$H$3:$H$502,$B$2)&gt;0,"✓",""))</f>
        <v/>
      </c>
      <c r="AG72" s="29" t="str">
        <f aca="false">IF($A71="","",IF(COUNTIFS(Historial!$B$3:$B$502,$A71,Historial!$C$3:$C$502,$B71,Historial!$G$3:$G$502,AG$4,Historial!$H$3:$H$502,$B$2)&gt;0,"✓",""))</f>
        <v/>
      </c>
      <c r="AH72" s="29" t="str">
        <f aca="false">IF($A71="","",IF(COUNTIFS(Historial!$B$3:$B$502,$A71,Historial!$C$3:$C$502,$B71,Historial!$G$3:$G$502,AH$4,Historial!$H$3:$H$502,$B$2)&gt;0,"✓",""))</f>
        <v/>
      </c>
      <c r="AI72" s="29" t="str">
        <f aca="false">IF($A71="","",IF(COUNTIFS(Historial!$B$3:$B$502,$A71,Historial!$C$3:$C$502,$B71,Historial!$G$3:$G$502,AI$4,Historial!$H$3:$H$502,$B$2)&gt;0,"✓",""))</f>
        <v/>
      </c>
      <c r="AJ72" s="29" t="str">
        <f aca="false">IF($A71="","",IF(COUNTIFS(Historial!$B$3:$B$502,$A71,Historial!$C$3:$C$502,$B71,Historial!$G$3:$G$502,AJ$4,Historial!$H$3:$H$502,$B$2)&gt;0,"✓",""))</f>
        <v/>
      </c>
      <c r="AK72" s="29" t="str">
        <f aca="false">IF($A71="","",IF(COUNTIFS(Historial!$B$3:$B$502,$A71,Historial!$C$3:$C$502,$B71,Historial!$G$3:$G$502,AK$4,Historial!$H$3:$H$502,$B$2)&gt;0,"✓",""))</f>
        <v/>
      </c>
      <c r="AL72" s="29" t="str">
        <f aca="false">IF($A71="","",IF(COUNTIFS(Historial!$B$3:$B$502,$A71,Historial!$C$3:$C$502,$B71,Historial!$G$3:$G$502,AL$4,Historial!$H$3:$H$502,$B$2)&gt;0,"✓",""))</f>
        <v/>
      </c>
      <c r="AM72" s="29" t="str">
        <f aca="false">IF($A71="","",IF(COUNTIFS(Historial!$B$3:$B$502,$A71,Historial!$C$3:$C$502,$B71,Historial!$G$3:$G$502,AM$4,Historial!$H$3:$H$502,$B$2)&gt;0,"✓",""))</f>
        <v/>
      </c>
      <c r="AN72" s="29" t="str">
        <f aca="false">IF($A71="","",IF(COUNTIFS(Historial!$B$3:$B$502,$A71,Historial!$C$3:$C$502,$B71,Historial!$G$3:$G$502,AN$4,Historial!$H$3:$H$502,$B$2)&gt;0,"✓",""))</f>
        <v/>
      </c>
      <c r="AO72" s="29" t="str">
        <f aca="false">IF($A71="","",IF(COUNTIFS(Historial!$B$3:$B$502,$A71,Historial!$C$3:$C$502,$B71,Historial!$G$3:$G$502,AO$4,Historial!$H$3:$H$502,$B$2)&gt;0,"✓",""))</f>
        <v/>
      </c>
      <c r="AP72" s="29" t="str">
        <f aca="false">IF($A71="","",IF(COUNTIFS(Historial!$B$3:$B$502,$A71,Historial!$C$3:$C$502,$B71,Historial!$G$3:$G$502,AP$4,Historial!$H$3:$H$502,$B$2)&gt;0,"✓",""))</f>
        <v/>
      </c>
      <c r="AQ72" s="29" t="str">
        <f aca="false">IF($A71="","",IF(COUNTIFS(Historial!$B$3:$B$502,$A71,Historial!$C$3:$C$502,$B71,Historial!$G$3:$G$502,AQ$4,Historial!$H$3:$H$502,$B$2)&gt;0,"✓",""))</f>
        <v/>
      </c>
      <c r="AR72" s="29" t="str">
        <f aca="false">IF($A71="","",IF(COUNTIFS(Historial!$B$3:$B$502,$A71,Historial!$C$3:$C$502,$B71,Historial!$G$3:$G$502,AR$4,Historial!$H$3:$H$502,$B$2)&gt;0,"✓",""))</f>
        <v/>
      </c>
      <c r="AS72" s="29" t="str">
        <f aca="false">IF($A71="","",IF(COUNTIFS(Historial!$B$3:$B$502,$A71,Historial!$C$3:$C$502,$B71,Historial!$G$3:$G$502,AS$4,Historial!$H$3:$H$502,$B$2)&gt;0,"✓",""))</f>
        <v/>
      </c>
      <c r="AT72" s="29" t="str">
        <f aca="false">IF($A71="","",IF(COUNTIFS(Historial!$B$3:$B$502,$A71,Historial!$C$3:$C$502,$B71,Historial!$G$3:$G$502,AT$4,Historial!$H$3:$H$502,$B$2)&gt;0,"✓",""))</f>
        <v/>
      </c>
      <c r="AU72" s="29" t="str">
        <f aca="false">IF($A71="","",IF(COUNTIFS(Historial!$B$3:$B$502,$A71,Historial!$C$3:$C$502,$B71,Historial!$G$3:$G$502,AU$4,Historial!$H$3:$H$502,$B$2)&gt;0,"✓",""))</f>
        <v/>
      </c>
      <c r="AV72" s="29" t="str">
        <f aca="false">IF($A71="","",IF(COUNTIFS(Historial!$B$3:$B$502,$A71,Historial!$C$3:$C$502,$B71,Historial!$G$3:$G$502,AV$4,Historial!$H$3:$H$502,$B$2)&gt;0,"✓",""))</f>
        <v/>
      </c>
      <c r="AW72" s="29" t="str">
        <f aca="false">IF($A71="","",IF(COUNTIFS(Historial!$B$3:$B$502,$A71,Historial!$C$3:$C$502,$B71,Historial!$G$3:$G$502,AW$4,Historial!$H$3:$H$502,$B$2)&gt;0,"✓",""))</f>
        <v/>
      </c>
      <c r="AX72" s="29" t="str">
        <f aca="false">IF($A71="","",IF(COUNTIFS(Historial!$B$3:$B$502,$A71,Historial!$C$3:$C$502,$B71,Historial!$G$3:$G$502,AX$4,Historial!$H$3:$H$502,$B$2)&gt;0,"✓",""))</f>
        <v/>
      </c>
      <c r="AY72" s="29" t="str">
        <f aca="false">IF($A71="","",IF(COUNTIFS(Historial!$B$3:$B$502,$A71,Historial!$C$3:$C$502,$B71,Historial!$G$3:$G$502,AY$4,Historial!$H$3:$H$502,$B$2)&gt;0,"✓",""))</f>
        <v/>
      </c>
      <c r="AZ72" s="29" t="str">
        <f aca="false">IF($A71="","",IF(COUNTIFS(Historial!$B$3:$B$502,$A71,Historial!$C$3:$C$502,$B71,Historial!$G$3:$G$502,AZ$4,Historial!$H$3:$H$502,$B$2)&gt;0,"✓",""))</f>
        <v/>
      </c>
      <c r="BA72" s="29" t="str">
        <f aca="false">IF($A71="","",IF(COUNTIFS(Historial!$B$3:$B$502,$A71,Historial!$C$3:$C$502,$B71,Historial!$G$3:$G$502,BA$4,Historial!$H$3:$H$502,$B$2)&gt;0,"✓",""))</f>
        <v/>
      </c>
      <c r="BB72" s="29" t="str">
        <f aca="false">IF($A71="","",IF(COUNTIFS(Historial!$B$3:$B$502,$A71,Historial!$C$3:$C$502,$B71,Historial!$G$3:$G$502,BB$4,Historial!$H$3:$H$502,$B$2)&gt;0,"✓",""))</f>
        <v/>
      </c>
      <c r="BC72" s="29" t="str">
        <f aca="false">IF($A71="","",IF(COUNTIFS(Historial!$B$3:$B$502,$A71,Historial!$C$3:$C$502,$B71,Historial!$G$3:$G$502,BC$4,Historial!$H$3:$H$502,$B$2)&gt;0,"✓",""))</f>
        <v/>
      </c>
      <c r="BD72" s="29"/>
      <c r="BE72" s="29"/>
      <c r="BF72" s="29"/>
    </row>
    <row r="73" customFormat="false" ht="15" hidden="false" customHeight="false" outlineLevel="0" collapsed="false">
      <c r="A73" s="24" t="str">
        <f aca="false">IF(Actividades!$B37="","",Actividades!$B37)</f>
        <v/>
      </c>
      <c r="B73" s="24" t="str">
        <f aca="false">IF(Actividades!$C37="","",Actividades!$C37)</f>
        <v/>
      </c>
      <c r="C73" s="24" t="str">
        <f aca="false">IF($A73="","","Plan")</f>
        <v/>
      </c>
      <c r="D73" s="25" t="str">
        <f aca="false">IF($A73="","",IF(AND(N(Actividades!$E37)&gt;0,D$4&gt;=Actividades!$E37,MOD(D$4-Actividades!$E37,IFERROR(VLOOKUP(Actividades!$D37,Listas!$A$2:$B$8,2,0),52))=0),"P",""))</f>
        <v/>
      </c>
      <c r="E73" s="25" t="str">
        <f aca="false">IF($A73="","",IF(AND(N(Actividades!$E37)&gt;0,E$4&gt;=Actividades!$E37,MOD(E$4-Actividades!$E37,IFERROR(VLOOKUP(Actividades!$D37,Listas!$A$2:$B$8,2,0),52))=0),"P",""))</f>
        <v/>
      </c>
      <c r="F73" s="25" t="str">
        <f aca="false">IF($A73="","",IF(AND(N(Actividades!$E37)&gt;0,F$4&gt;=Actividades!$E37,MOD(F$4-Actividades!$E37,IFERROR(VLOOKUP(Actividades!$D37,Listas!$A$2:$B$8,2,0),52))=0),"P",""))</f>
        <v/>
      </c>
      <c r="G73" s="25" t="str">
        <f aca="false">IF($A73="","",IF(AND(N(Actividades!$E37)&gt;0,G$4&gt;=Actividades!$E37,MOD(G$4-Actividades!$E37,IFERROR(VLOOKUP(Actividades!$D37,Listas!$A$2:$B$8,2,0),52))=0),"P",""))</f>
        <v/>
      </c>
      <c r="H73" s="25" t="str">
        <f aca="false">IF($A73="","",IF(AND(N(Actividades!$E37)&gt;0,H$4&gt;=Actividades!$E37,MOD(H$4-Actividades!$E37,IFERROR(VLOOKUP(Actividades!$D37,Listas!$A$2:$B$8,2,0),52))=0),"P",""))</f>
        <v/>
      </c>
      <c r="I73" s="25" t="str">
        <f aca="false">IF($A73="","",IF(AND(N(Actividades!$E37)&gt;0,I$4&gt;=Actividades!$E37,MOD(I$4-Actividades!$E37,IFERROR(VLOOKUP(Actividades!$D37,Listas!$A$2:$B$8,2,0),52))=0),"P",""))</f>
        <v/>
      </c>
      <c r="J73" s="25" t="str">
        <f aca="false">IF($A73="","",IF(AND(N(Actividades!$E37)&gt;0,J$4&gt;=Actividades!$E37,MOD(J$4-Actividades!$E37,IFERROR(VLOOKUP(Actividades!$D37,Listas!$A$2:$B$8,2,0),52))=0),"P",""))</f>
        <v/>
      </c>
      <c r="K73" s="25" t="str">
        <f aca="false">IF($A73="","",IF(AND(N(Actividades!$E37)&gt;0,K$4&gt;=Actividades!$E37,MOD(K$4-Actividades!$E37,IFERROR(VLOOKUP(Actividades!$D37,Listas!$A$2:$B$8,2,0),52))=0),"P",""))</f>
        <v/>
      </c>
      <c r="L73" s="25" t="str">
        <f aca="false">IF($A73="","",IF(AND(N(Actividades!$E37)&gt;0,L$4&gt;=Actividades!$E37,MOD(L$4-Actividades!$E37,IFERROR(VLOOKUP(Actividades!$D37,Listas!$A$2:$B$8,2,0),52))=0),"P",""))</f>
        <v/>
      </c>
      <c r="M73" s="25" t="str">
        <f aca="false">IF($A73="","",IF(AND(N(Actividades!$E37)&gt;0,M$4&gt;=Actividades!$E37,MOD(M$4-Actividades!$E37,IFERROR(VLOOKUP(Actividades!$D37,Listas!$A$2:$B$8,2,0),52))=0),"P",""))</f>
        <v/>
      </c>
      <c r="N73" s="25" t="str">
        <f aca="false">IF($A73="","",IF(AND(N(Actividades!$E37)&gt;0,N$4&gt;=Actividades!$E37,MOD(N$4-Actividades!$E37,IFERROR(VLOOKUP(Actividades!$D37,Listas!$A$2:$B$8,2,0),52))=0),"P",""))</f>
        <v/>
      </c>
      <c r="O73" s="25" t="str">
        <f aca="false">IF($A73="","",IF(AND(N(Actividades!$E37)&gt;0,O$4&gt;=Actividades!$E37,MOD(O$4-Actividades!$E37,IFERROR(VLOOKUP(Actividades!$D37,Listas!$A$2:$B$8,2,0),52))=0),"P",""))</f>
        <v/>
      </c>
      <c r="P73" s="25" t="str">
        <f aca="false">IF($A73="","",IF(AND(N(Actividades!$E37)&gt;0,P$4&gt;=Actividades!$E37,MOD(P$4-Actividades!$E37,IFERROR(VLOOKUP(Actividades!$D37,Listas!$A$2:$B$8,2,0),52))=0),"P",""))</f>
        <v/>
      </c>
      <c r="Q73" s="25" t="str">
        <f aca="false">IF($A73="","",IF(AND(N(Actividades!$E37)&gt;0,Q$4&gt;=Actividades!$E37,MOD(Q$4-Actividades!$E37,IFERROR(VLOOKUP(Actividades!$D37,Listas!$A$2:$B$8,2,0),52))=0),"P",""))</f>
        <v/>
      </c>
      <c r="R73" s="25" t="str">
        <f aca="false">IF($A73="","",IF(AND(N(Actividades!$E37)&gt;0,R$4&gt;=Actividades!$E37,MOD(R$4-Actividades!$E37,IFERROR(VLOOKUP(Actividades!$D37,Listas!$A$2:$B$8,2,0),52))=0),"P",""))</f>
        <v/>
      </c>
      <c r="S73" s="25" t="str">
        <f aca="false">IF($A73="","",IF(AND(N(Actividades!$E37)&gt;0,S$4&gt;=Actividades!$E37,MOD(S$4-Actividades!$E37,IFERROR(VLOOKUP(Actividades!$D37,Listas!$A$2:$B$8,2,0),52))=0),"P",""))</f>
        <v/>
      </c>
      <c r="T73" s="25" t="str">
        <f aca="false">IF($A73="","",IF(AND(N(Actividades!$E37)&gt;0,T$4&gt;=Actividades!$E37,MOD(T$4-Actividades!$E37,IFERROR(VLOOKUP(Actividades!$D37,Listas!$A$2:$B$8,2,0),52))=0),"P",""))</f>
        <v/>
      </c>
      <c r="U73" s="25" t="str">
        <f aca="false">IF($A73="","",IF(AND(N(Actividades!$E37)&gt;0,U$4&gt;=Actividades!$E37,MOD(U$4-Actividades!$E37,IFERROR(VLOOKUP(Actividades!$D37,Listas!$A$2:$B$8,2,0),52))=0),"P",""))</f>
        <v/>
      </c>
      <c r="V73" s="25" t="str">
        <f aca="false">IF($A73="","",IF(AND(N(Actividades!$E37)&gt;0,V$4&gt;=Actividades!$E37,MOD(V$4-Actividades!$E37,IFERROR(VLOOKUP(Actividades!$D37,Listas!$A$2:$B$8,2,0),52))=0),"P",""))</f>
        <v/>
      </c>
      <c r="W73" s="25" t="str">
        <f aca="false">IF($A73="","",IF(AND(N(Actividades!$E37)&gt;0,W$4&gt;=Actividades!$E37,MOD(W$4-Actividades!$E37,IFERROR(VLOOKUP(Actividades!$D37,Listas!$A$2:$B$8,2,0),52))=0),"P",""))</f>
        <v/>
      </c>
      <c r="X73" s="25" t="str">
        <f aca="false">IF($A73="","",IF(AND(N(Actividades!$E37)&gt;0,X$4&gt;=Actividades!$E37,MOD(X$4-Actividades!$E37,IFERROR(VLOOKUP(Actividades!$D37,Listas!$A$2:$B$8,2,0),52))=0),"P",""))</f>
        <v/>
      </c>
      <c r="Y73" s="25" t="str">
        <f aca="false">IF($A73="","",IF(AND(N(Actividades!$E37)&gt;0,Y$4&gt;=Actividades!$E37,MOD(Y$4-Actividades!$E37,IFERROR(VLOOKUP(Actividades!$D37,Listas!$A$2:$B$8,2,0),52))=0),"P",""))</f>
        <v/>
      </c>
      <c r="Z73" s="25" t="str">
        <f aca="false">IF($A73="","",IF(AND(N(Actividades!$E37)&gt;0,Z$4&gt;=Actividades!$E37,MOD(Z$4-Actividades!$E37,IFERROR(VLOOKUP(Actividades!$D37,Listas!$A$2:$B$8,2,0),52))=0),"P",""))</f>
        <v/>
      </c>
      <c r="AA73" s="25" t="str">
        <f aca="false">IF($A73="","",IF(AND(N(Actividades!$E37)&gt;0,AA$4&gt;=Actividades!$E37,MOD(AA$4-Actividades!$E37,IFERROR(VLOOKUP(Actividades!$D37,Listas!$A$2:$B$8,2,0),52))=0),"P",""))</f>
        <v/>
      </c>
      <c r="AB73" s="25" t="str">
        <f aca="false">IF($A73="","",IF(AND(N(Actividades!$E37)&gt;0,AB$4&gt;=Actividades!$E37,MOD(AB$4-Actividades!$E37,IFERROR(VLOOKUP(Actividades!$D37,Listas!$A$2:$B$8,2,0),52))=0),"P",""))</f>
        <v/>
      </c>
      <c r="AC73" s="25" t="str">
        <f aca="false">IF($A73="","",IF(AND(N(Actividades!$E37)&gt;0,AC$4&gt;=Actividades!$E37,MOD(AC$4-Actividades!$E37,IFERROR(VLOOKUP(Actividades!$D37,Listas!$A$2:$B$8,2,0),52))=0),"P",""))</f>
        <v/>
      </c>
      <c r="AD73" s="25" t="str">
        <f aca="false">IF($A73="","",IF(AND(N(Actividades!$E37)&gt;0,AD$4&gt;=Actividades!$E37,MOD(AD$4-Actividades!$E37,IFERROR(VLOOKUP(Actividades!$D37,Listas!$A$2:$B$8,2,0),52))=0),"P",""))</f>
        <v/>
      </c>
      <c r="AE73" s="25" t="str">
        <f aca="false">IF($A73="","",IF(AND(N(Actividades!$E37)&gt;0,AE$4&gt;=Actividades!$E37,MOD(AE$4-Actividades!$E37,IFERROR(VLOOKUP(Actividades!$D37,Listas!$A$2:$B$8,2,0),52))=0),"P",""))</f>
        <v/>
      </c>
      <c r="AF73" s="25" t="str">
        <f aca="false">IF($A73="","",IF(AND(N(Actividades!$E37)&gt;0,AF$4&gt;=Actividades!$E37,MOD(AF$4-Actividades!$E37,IFERROR(VLOOKUP(Actividades!$D37,Listas!$A$2:$B$8,2,0),52))=0),"P",""))</f>
        <v/>
      </c>
      <c r="AG73" s="25" t="str">
        <f aca="false">IF($A73="","",IF(AND(N(Actividades!$E37)&gt;0,AG$4&gt;=Actividades!$E37,MOD(AG$4-Actividades!$E37,IFERROR(VLOOKUP(Actividades!$D37,Listas!$A$2:$B$8,2,0),52))=0),"P",""))</f>
        <v/>
      </c>
      <c r="AH73" s="25" t="str">
        <f aca="false">IF($A73="","",IF(AND(N(Actividades!$E37)&gt;0,AH$4&gt;=Actividades!$E37,MOD(AH$4-Actividades!$E37,IFERROR(VLOOKUP(Actividades!$D37,Listas!$A$2:$B$8,2,0),52))=0),"P",""))</f>
        <v/>
      </c>
      <c r="AI73" s="25" t="str">
        <f aca="false">IF($A73="","",IF(AND(N(Actividades!$E37)&gt;0,AI$4&gt;=Actividades!$E37,MOD(AI$4-Actividades!$E37,IFERROR(VLOOKUP(Actividades!$D37,Listas!$A$2:$B$8,2,0),52))=0),"P",""))</f>
        <v/>
      </c>
      <c r="AJ73" s="25" t="str">
        <f aca="false">IF($A73="","",IF(AND(N(Actividades!$E37)&gt;0,AJ$4&gt;=Actividades!$E37,MOD(AJ$4-Actividades!$E37,IFERROR(VLOOKUP(Actividades!$D37,Listas!$A$2:$B$8,2,0),52))=0),"P",""))</f>
        <v/>
      </c>
      <c r="AK73" s="25" t="str">
        <f aca="false">IF($A73="","",IF(AND(N(Actividades!$E37)&gt;0,AK$4&gt;=Actividades!$E37,MOD(AK$4-Actividades!$E37,IFERROR(VLOOKUP(Actividades!$D37,Listas!$A$2:$B$8,2,0),52))=0),"P",""))</f>
        <v/>
      </c>
      <c r="AL73" s="25" t="str">
        <f aca="false">IF($A73="","",IF(AND(N(Actividades!$E37)&gt;0,AL$4&gt;=Actividades!$E37,MOD(AL$4-Actividades!$E37,IFERROR(VLOOKUP(Actividades!$D37,Listas!$A$2:$B$8,2,0),52))=0),"P",""))</f>
        <v/>
      </c>
      <c r="AM73" s="25" t="str">
        <f aca="false">IF($A73="","",IF(AND(N(Actividades!$E37)&gt;0,AM$4&gt;=Actividades!$E37,MOD(AM$4-Actividades!$E37,IFERROR(VLOOKUP(Actividades!$D37,Listas!$A$2:$B$8,2,0),52))=0),"P",""))</f>
        <v/>
      </c>
      <c r="AN73" s="25" t="str">
        <f aca="false">IF($A73="","",IF(AND(N(Actividades!$E37)&gt;0,AN$4&gt;=Actividades!$E37,MOD(AN$4-Actividades!$E37,IFERROR(VLOOKUP(Actividades!$D37,Listas!$A$2:$B$8,2,0),52))=0),"P",""))</f>
        <v/>
      </c>
      <c r="AO73" s="25" t="str">
        <f aca="false">IF($A73="","",IF(AND(N(Actividades!$E37)&gt;0,AO$4&gt;=Actividades!$E37,MOD(AO$4-Actividades!$E37,IFERROR(VLOOKUP(Actividades!$D37,Listas!$A$2:$B$8,2,0),52))=0),"P",""))</f>
        <v/>
      </c>
      <c r="AP73" s="25" t="str">
        <f aca="false">IF($A73="","",IF(AND(N(Actividades!$E37)&gt;0,AP$4&gt;=Actividades!$E37,MOD(AP$4-Actividades!$E37,IFERROR(VLOOKUP(Actividades!$D37,Listas!$A$2:$B$8,2,0),52))=0),"P",""))</f>
        <v/>
      </c>
      <c r="AQ73" s="25" t="str">
        <f aca="false">IF($A73="","",IF(AND(N(Actividades!$E37)&gt;0,AQ$4&gt;=Actividades!$E37,MOD(AQ$4-Actividades!$E37,IFERROR(VLOOKUP(Actividades!$D37,Listas!$A$2:$B$8,2,0),52))=0),"P",""))</f>
        <v/>
      </c>
      <c r="AR73" s="25" t="str">
        <f aca="false">IF($A73="","",IF(AND(N(Actividades!$E37)&gt;0,AR$4&gt;=Actividades!$E37,MOD(AR$4-Actividades!$E37,IFERROR(VLOOKUP(Actividades!$D37,Listas!$A$2:$B$8,2,0),52))=0),"P",""))</f>
        <v/>
      </c>
      <c r="AS73" s="25" t="str">
        <f aca="false">IF($A73="","",IF(AND(N(Actividades!$E37)&gt;0,AS$4&gt;=Actividades!$E37,MOD(AS$4-Actividades!$E37,IFERROR(VLOOKUP(Actividades!$D37,Listas!$A$2:$B$8,2,0),52))=0),"P",""))</f>
        <v/>
      </c>
      <c r="AT73" s="25" t="str">
        <f aca="false">IF($A73="","",IF(AND(N(Actividades!$E37)&gt;0,AT$4&gt;=Actividades!$E37,MOD(AT$4-Actividades!$E37,IFERROR(VLOOKUP(Actividades!$D37,Listas!$A$2:$B$8,2,0),52))=0),"P",""))</f>
        <v/>
      </c>
      <c r="AU73" s="25" t="str">
        <f aca="false">IF($A73="","",IF(AND(N(Actividades!$E37)&gt;0,AU$4&gt;=Actividades!$E37,MOD(AU$4-Actividades!$E37,IFERROR(VLOOKUP(Actividades!$D37,Listas!$A$2:$B$8,2,0),52))=0),"P",""))</f>
        <v/>
      </c>
      <c r="AV73" s="25" t="str">
        <f aca="false">IF($A73="","",IF(AND(N(Actividades!$E37)&gt;0,AV$4&gt;=Actividades!$E37,MOD(AV$4-Actividades!$E37,IFERROR(VLOOKUP(Actividades!$D37,Listas!$A$2:$B$8,2,0),52))=0),"P",""))</f>
        <v/>
      </c>
      <c r="AW73" s="25" t="str">
        <f aca="false">IF($A73="","",IF(AND(N(Actividades!$E37)&gt;0,AW$4&gt;=Actividades!$E37,MOD(AW$4-Actividades!$E37,IFERROR(VLOOKUP(Actividades!$D37,Listas!$A$2:$B$8,2,0),52))=0),"P",""))</f>
        <v/>
      </c>
      <c r="AX73" s="25" t="str">
        <f aca="false">IF($A73="","",IF(AND(N(Actividades!$E37)&gt;0,AX$4&gt;=Actividades!$E37,MOD(AX$4-Actividades!$E37,IFERROR(VLOOKUP(Actividades!$D37,Listas!$A$2:$B$8,2,0),52))=0),"P",""))</f>
        <v/>
      </c>
      <c r="AY73" s="25" t="str">
        <f aca="false">IF($A73="","",IF(AND(N(Actividades!$E37)&gt;0,AY$4&gt;=Actividades!$E37,MOD(AY$4-Actividades!$E37,IFERROR(VLOOKUP(Actividades!$D37,Listas!$A$2:$B$8,2,0),52))=0),"P",""))</f>
        <v/>
      </c>
      <c r="AZ73" s="25" t="str">
        <f aca="false">IF($A73="","",IF(AND(N(Actividades!$E37)&gt;0,AZ$4&gt;=Actividades!$E37,MOD(AZ$4-Actividades!$E37,IFERROR(VLOOKUP(Actividades!$D37,Listas!$A$2:$B$8,2,0),52))=0),"P",""))</f>
        <v/>
      </c>
      <c r="BA73" s="25" t="str">
        <f aca="false">IF($A73="","",IF(AND(N(Actividades!$E37)&gt;0,BA$4&gt;=Actividades!$E37,MOD(BA$4-Actividades!$E37,IFERROR(VLOOKUP(Actividades!$D37,Listas!$A$2:$B$8,2,0),52))=0),"P",""))</f>
        <v/>
      </c>
      <c r="BB73" s="25" t="str">
        <f aca="false">IF($A73="","",IF(AND(N(Actividades!$E37)&gt;0,BB$4&gt;=Actividades!$E37,MOD(BB$4-Actividades!$E37,IFERROR(VLOOKUP(Actividades!$D37,Listas!$A$2:$B$8,2,0),52))=0),"P",""))</f>
        <v/>
      </c>
      <c r="BC73" s="25" t="str">
        <f aca="false">IF($A73="","",IF(AND(N(Actividades!$E37)&gt;0,BC$4&gt;=Actividades!$E37,MOD(BC$4-Actividades!$E37,IFERROR(VLOOKUP(Actividades!$D37,Listas!$A$2:$B$8,2,0),52))=0),"P",""))</f>
        <v/>
      </c>
      <c r="BD73" s="26" t="str">
        <f aca="false">IF($A73="","",COUNTIF(D73:BC73,"P"))</f>
        <v/>
      </c>
      <c r="BE73" s="26" t="str">
        <f aca="false">IF($A73="","",SUMPRODUCT((D73:BC73="P")*(D74:BC74="✓")))</f>
        <v/>
      </c>
      <c r="BF73" s="27" t="str">
        <f aca="false">IF($A73="","",IF(BD73=0,"",BE73/BD73))</f>
        <v/>
      </c>
    </row>
    <row r="74" customFormat="false" ht="15" hidden="false" customHeight="false" outlineLevel="0" collapsed="false">
      <c r="A74" s="28"/>
      <c r="B74" s="28"/>
      <c r="C74" s="28" t="str">
        <f aca="false">IF($A73="","","Real")</f>
        <v/>
      </c>
      <c r="D74" s="29" t="str">
        <f aca="false">IF($A73="","",IF(COUNTIFS(Historial!$B$3:$B$502,$A73,Historial!$C$3:$C$502,$B73,Historial!$G$3:$G$502,D$4,Historial!$H$3:$H$502,$B$2)&gt;0,"✓",""))</f>
        <v/>
      </c>
      <c r="E74" s="29" t="str">
        <f aca="false">IF($A73="","",IF(COUNTIFS(Historial!$B$3:$B$502,$A73,Historial!$C$3:$C$502,$B73,Historial!$G$3:$G$502,E$4,Historial!$H$3:$H$502,$B$2)&gt;0,"✓",""))</f>
        <v/>
      </c>
      <c r="F74" s="29" t="str">
        <f aca="false">IF($A73="","",IF(COUNTIFS(Historial!$B$3:$B$502,$A73,Historial!$C$3:$C$502,$B73,Historial!$G$3:$G$502,F$4,Historial!$H$3:$H$502,$B$2)&gt;0,"✓",""))</f>
        <v/>
      </c>
      <c r="G74" s="29" t="str">
        <f aca="false">IF($A73="","",IF(COUNTIFS(Historial!$B$3:$B$502,$A73,Historial!$C$3:$C$502,$B73,Historial!$G$3:$G$502,G$4,Historial!$H$3:$H$502,$B$2)&gt;0,"✓",""))</f>
        <v/>
      </c>
      <c r="H74" s="29" t="str">
        <f aca="false">IF($A73="","",IF(COUNTIFS(Historial!$B$3:$B$502,$A73,Historial!$C$3:$C$502,$B73,Historial!$G$3:$G$502,H$4,Historial!$H$3:$H$502,$B$2)&gt;0,"✓",""))</f>
        <v/>
      </c>
      <c r="I74" s="29" t="str">
        <f aca="false">IF($A73="","",IF(COUNTIFS(Historial!$B$3:$B$502,$A73,Historial!$C$3:$C$502,$B73,Historial!$G$3:$G$502,I$4,Historial!$H$3:$H$502,$B$2)&gt;0,"✓",""))</f>
        <v/>
      </c>
      <c r="J74" s="29" t="str">
        <f aca="false">IF($A73="","",IF(COUNTIFS(Historial!$B$3:$B$502,$A73,Historial!$C$3:$C$502,$B73,Historial!$G$3:$G$502,J$4,Historial!$H$3:$H$502,$B$2)&gt;0,"✓",""))</f>
        <v/>
      </c>
      <c r="K74" s="29" t="str">
        <f aca="false">IF($A73="","",IF(COUNTIFS(Historial!$B$3:$B$502,$A73,Historial!$C$3:$C$502,$B73,Historial!$G$3:$G$502,K$4,Historial!$H$3:$H$502,$B$2)&gt;0,"✓",""))</f>
        <v/>
      </c>
      <c r="L74" s="29" t="str">
        <f aca="false">IF($A73="","",IF(COUNTIFS(Historial!$B$3:$B$502,$A73,Historial!$C$3:$C$502,$B73,Historial!$G$3:$G$502,L$4,Historial!$H$3:$H$502,$B$2)&gt;0,"✓",""))</f>
        <v/>
      </c>
      <c r="M74" s="29" t="str">
        <f aca="false">IF($A73="","",IF(COUNTIFS(Historial!$B$3:$B$502,$A73,Historial!$C$3:$C$502,$B73,Historial!$G$3:$G$502,M$4,Historial!$H$3:$H$502,$B$2)&gt;0,"✓",""))</f>
        <v/>
      </c>
      <c r="N74" s="29" t="str">
        <f aca="false">IF($A73="","",IF(COUNTIFS(Historial!$B$3:$B$502,$A73,Historial!$C$3:$C$502,$B73,Historial!$G$3:$G$502,N$4,Historial!$H$3:$H$502,$B$2)&gt;0,"✓",""))</f>
        <v/>
      </c>
      <c r="O74" s="29" t="str">
        <f aca="false">IF($A73="","",IF(COUNTIFS(Historial!$B$3:$B$502,$A73,Historial!$C$3:$C$502,$B73,Historial!$G$3:$G$502,O$4,Historial!$H$3:$H$502,$B$2)&gt;0,"✓",""))</f>
        <v/>
      </c>
      <c r="P74" s="29" t="str">
        <f aca="false">IF($A73="","",IF(COUNTIFS(Historial!$B$3:$B$502,$A73,Historial!$C$3:$C$502,$B73,Historial!$G$3:$G$502,P$4,Historial!$H$3:$H$502,$B$2)&gt;0,"✓",""))</f>
        <v/>
      </c>
      <c r="Q74" s="29" t="str">
        <f aca="false">IF($A73="","",IF(COUNTIFS(Historial!$B$3:$B$502,$A73,Historial!$C$3:$C$502,$B73,Historial!$G$3:$G$502,Q$4,Historial!$H$3:$H$502,$B$2)&gt;0,"✓",""))</f>
        <v/>
      </c>
      <c r="R74" s="29" t="str">
        <f aca="false">IF($A73="","",IF(COUNTIFS(Historial!$B$3:$B$502,$A73,Historial!$C$3:$C$502,$B73,Historial!$G$3:$G$502,R$4,Historial!$H$3:$H$502,$B$2)&gt;0,"✓",""))</f>
        <v/>
      </c>
      <c r="S74" s="29" t="str">
        <f aca="false">IF($A73="","",IF(COUNTIFS(Historial!$B$3:$B$502,$A73,Historial!$C$3:$C$502,$B73,Historial!$G$3:$G$502,S$4,Historial!$H$3:$H$502,$B$2)&gt;0,"✓",""))</f>
        <v/>
      </c>
      <c r="T74" s="29" t="str">
        <f aca="false">IF($A73="","",IF(COUNTIFS(Historial!$B$3:$B$502,$A73,Historial!$C$3:$C$502,$B73,Historial!$G$3:$G$502,T$4,Historial!$H$3:$H$502,$B$2)&gt;0,"✓",""))</f>
        <v/>
      </c>
      <c r="U74" s="29" t="str">
        <f aca="false">IF($A73="","",IF(COUNTIFS(Historial!$B$3:$B$502,$A73,Historial!$C$3:$C$502,$B73,Historial!$G$3:$G$502,U$4,Historial!$H$3:$H$502,$B$2)&gt;0,"✓",""))</f>
        <v/>
      </c>
      <c r="V74" s="29" t="str">
        <f aca="false">IF($A73="","",IF(COUNTIFS(Historial!$B$3:$B$502,$A73,Historial!$C$3:$C$502,$B73,Historial!$G$3:$G$502,V$4,Historial!$H$3:$H$502,$B$2)&gt;0,"✓",""))</f>
        <v/>
      </c>
      <c r="W74" s="29" t="str">
        <f aca="false">IF($A73="","",IF(COUNTIFS(Historial!$B$3:$B$502,$A73,Historial!$C$3:$C$502,$B73,Historial!$G$3:$G$502,W$4,Historial!$H$3:$H$502,$B$2)&gt;0,"✓",""))</f>
        <v/>
      </c>
      <c r="X74" s="29" t="str">
        <f aca="false">IF($A73="","",IF(COUNTIFS(Historial!$B$3:$B$502,$A73,Historial!$C$3:$C$502,$B73,Historial!$G$3:$G$502,X$4,Historial!$H$3:$H$502,$B$2)&gt;0,"✓",""))</f>
        <v/>
      </c>
      <c r="Y74" s="29" t="str">
        <f aca="false">IF($A73="","",IF(COUNTIFS(Historial!$B$3:$B$502,$A73,Historial!$C$3:$C$502,$B73,Historial!$G$3:$G$502,Y$4,Historial!$H$3:$H$502,$B$2)&gt;0,"✓",""))</f>
        <v/>
      </c>
      <c r="Z74" s="29" t="str">
        <f aca="false">IF($A73="","",IF(COUNTIFS(Historial!$B$3:$B$502,$A73,Historial!$C$3:$C$502,$B73,Historial!$G$3:$G$502,Z$4,Historial!$H$3:$H$502,$B$2)&gt;0,"✓",""))</f>
        <v/>
      </c>
      <c r="AA74" s="29" t="str">
        <f aca="false">IF($A73="","",IF(COUNTIFS(Historial!$B$3:$B$502,$A73,Historial!$C$3:$C$502,$B73,Historial!$G$3:$G$502,AA$4,Historial!$H$3:$H$502,$B$2)&gt;0,"✓",""))</f>
        <v/>
      </c>
      <c r="AB74" s="29" t="str">
        <f aca="false">IF($A73="","",IF(COUNTIFS(Historial!$B$3:$B$502,$A73,Historial!$C$3:$C$502,$B73,Historial!$G$3:$G$502,AB$4,Historial!$H$3:$H$502,$B$2)&gt;0,"✓",""))</f>
        <v/>
      </c>
      <c r="AC74" s="29" t="str">
        <f aca="false">IF($A73="","",IF(COUNTIFS(Historial!$B$3:$B$502,$A73,Historial!$C$3:$C$502,$B73,Historial!$G$3:$G$502,AC$4,Historial!$H$3:$H$502,$B$2)&gt;0,"✓",""))</f>
        <v/>
      </c>
      <c r="AD74" s="29" t="str">
        <f aca="false">IF($A73="","",IF(COUNTIFS(Historial!$B$3:$B$502,$A73,Historial!$C$3:$C$502,$B73,Historial!$G$3:$G$502,AD$4,Historial!$H$3:$H$502,$B$2)&gt;0,"✓",""))</f>
        <v/>
      </c>
      <c r="AE74" s="29" t="str">
        <f aca="false">IF($A73="","",IF(COUNTIFS(Historial!$B$3:$B$502,$A73,Historial!$C$3:$C$502,$B73,Historial!$G$3:$G$502,AE$4,Historial!$H$3:$H$502,$B$2)&gt;0,"✓",""))</f>
        <v/>
      </c>
      <c r="AF74" s="29" t="str">
        <f aca="false">IF($A73="","",IF(COUNTIFS(Historial!$B$3:$B$502,$A73,Historial!$C$3:$C$502,$B73,Historial!$G$3:$G$502,AF$4,Historial!$H$3:$H$502,$B$2)&gt;0,"✓",""))</f>
        <v/>
      </c>
      <c r="AG74" s="29" t="str">
        <f aca="false">IF($A73="","",IF(COUNTIFS(Historial!$B$3:$B$502,$A73,Historial!$C$3:$C$502,$B73,Historial!$G$3:$G$502,AG$4,Historial!$H$3:$H$502,$B$2)&gt;0,"✓",""))</f>
        <v/>
      </c>
      <c r="AH74" s="29" t="str">
        <f aca="false">IF($A73="","",IF(COUNTIFS(Historial!$B$3:$B$502,$A73,Historial!$C$3:$C$502,$B73,Historial!$G$3:$G$502,AH$4,Historial!$H$3:$H$502,$B$2)&gt;0,"✓",""))</f>
        <v/>
      </c>
      <c r="AI74" s="29" t="str">
        <f aca="false">IF($A73="","",IF(COUNTIFS(Historial!$B$3:$B$502,$A73,Historial!$C$3:$C$502,$B73,Historial!$G$3:$G$502,AI$4,Historial!$H$3:$H$502,$B$2)&gt;0,"✓",""))</f>
        <v/>
      </c>
      <c r="AJ74" s="29" t="str">
        <f aca="false">IF($A73="","",IF(COUNTIFS(Historial!$B$3:$B$502,$A73,Historial!$C$3:$C$502,$B73,Historial!$G$3:$G$502,AJ$4,Historial!$H$3:$H$502,$B$2)&gt;0,"✓",""))</f>
        <v/>
      </c>
      <c r="AK74" s="29" t="str">
        <f aca="false">IF($A73="","",IF(COUNTIFS(Historial!$B$3:$B$502,$A73,Historial!$C$3:$C$502,$B73,Historial!$G$3:$G$502,AK$4,Historial!$H$3:$H$502,$B$2)&gt;0,"✓",""))</f>
        <v/>
      </c>
      <c r="AL74" s="29" t="str">
        <f aca="false">IF($A73="","",IF(COUNTIFS(Historial!$B$3:$B$502,$A73,Historial!$C$3:$C$502,$B73,Historial!$G$3:$G$502,AL$4,Historial!$H$3:$H$502,$B$2)&gt;0,"✓",""))</f>
        <v/>
      </c>
      <c r="AM74" s="29" t="str">
        <f aca="false">IF($A73="","",IF(COUNTIFS(Historial!$B$3:$B$502,$A73,Historial!$C$3:$C$502,$B73,Historial!$G$3:$G$502,AM$4,Historial!$H$3:$H$502,$B$2)&gt;0,"✓",""))</f>
        <v/>
      </c>
      <c r="AN74" s="29" t="str">
        <f aca="false">IF($A73="","",IF(COUNTIFS(Historial!$B$3:$B$502,$A73,Historial!$C$3:$C$502,$B73,Historial!$G$3:$G$502,AN$4,Historial!$H$3:$H$502,$B$2)&gt;0,"✓",""))</f>
        <v/>
      </c>
      <c r="AO74" s="29" t="str">
        <f aca="false">IF($A73="","",IF(COUNTIFS(Historial!$B$3:$B$502,$A73,Historial!$C$3:$C$502,$B73,Historial!$G$3:$G$502,AO$4,Historial!$H$3:$H$502,$B$2)&gt;0,"✓",""))</f>
        <v/>
      </c>
      <c r="AP74" s="29" t="str">
        <f aca="false">IF($A73="","",IF(COUNTIFS(Historial!$B$3:$B$502,$A73,Historial!$C$3:$C$502,$B73,Historial!$G$3:$G$502,AP$4,Historial!$H$3:$H$502,$B$2)&gt;0,"✓",""))</f>
        <v/>
      </c>
      <c r="AQ74" s="29" t="str">
        <f aca="false">IF($A73="","",IF(COUNTIFS(Historial!$B$3:$B$502,$A73,Historial!$C$3:$C$502,$B73,Historial!$G$3:$G$502,AQ$4,Historial!$H$3:$H$502,$B$2)&gt;0,"✓",""))</f>
        <v/>
      </c>
      <c r="AR74" s="29" t="str">
        <f aca="false">IF($A73="","",IF(COUNTIFS(Historial!$B$3:$B$502,$A73,Historial!$C$3:$C$502,$B73,Historial!$G$3:$G$502,AR$4,Historial!$H$3:$H$502,$B$2)&gt;0,"✓",""))</f>
        <v/>
      </c>
      <c r="AS74" s="29" t="str">
        <f aca="false">IF($A73="","",IF(COUNTIFS(Historial!$B$3:$B$502,$A73,Historial!$C$3:$C$502,$B73,Historial!$G$3:$G$502,AS$4,Historial!$H$3:$H$502,$B$2)&gt;0,"✓",""))</f>
        <v/>
      </c>
      <c r="AT74" s="29" t="str">
        <f aca="false">IF($A73="","",IF(COUNTIFS(Historial!$B$3:$B$502,$A73,Historial!$C$3:$C$502,$B73,Historial!$G$3:$G$502,AT$4,Historial!$H$3:$H$502,$B$2)&gt;0,"✓",""))</f>
        <v/>
      </c>
      <c r="AU74" s="29" t="str">
        <f aca="false">IF($A73="","",IF(COUNTIFS(Historial!$B$3:$B$502,$A73,Historial!$C$3:$C$502,$B73,Historial!$G$3:$G$502,AU$4,Historial!$H$3:$H$502,$B$2)&gt;0,"✓",""))</f>
        <v/>
      </c>
      <c r="AV74" s="29" t="str">
        <f aca="false">IF($A73="","",IF(COUNTIFS(Historial!$B$3:$B$502,$A73,Historial!$C$3:$C$502,$B73,Historial!$G$3:$G$502,AV$4,Historial!$H$3:$H$502,$B$2)&gt;0,"✓",""))</f>
        <v/>
      </c>
      <c r="AW74" s="29" t="str">
        <f aca="false">IF($A73="","",IF(COUNTIFS(Historial!$B$3:$B$502,$A73,Historial!$C$3:$C$502,$B73,Historial!$G$3:$G$502,AW$4,Historial!$H$3:$H$502,$B$2)&gt;0,"✓",""))</f>
        <v/>
      </c>
      <c r="AX74" s="29" t="str">
        <f aca="false">IF($A73="","",IF(COUNTIFS(Historial!$B$3:$B$502,$A73,Historial!$C$3:$C$502,$B73,Historial!$G$3:$G$502,AX$4,Historial!$H$3:$H$502,$B$2)&gt;0,"✓",""))</f>
        <v/>
      </c>
      <c r="AY74" s="29" t="str">
        <f aca="false">IF($A73="","",IF(COUNTIFS(Historial!$B$3:$B$502,$A73,Historial!$C$3:$C$502,$B73,Historial!$G$3:$G$502,AY$4,Historial!$H$3:$H$502,$B$2)&gt;0,"✓",""))</f>
        <v/>
      </c>
      <c r="AZ74" s="29" t="str">
        <f aca="false">IF($A73="","",IF(COUNTIFS(Historial!$B$3:$B$502,$A73,Historial!$C$3:$C$502,$B73,Historial!$G$3:$G$502,AZ$4,Historial!$H$3:$H$502,$B$2)&gt;0,"✓",""))</f>
        <v/>
      </c>
      <c r="BA74" s="29" t="str">
        <f aca="false">IF($A73="","",IF(COUNTIFS(Historial!$B$3:$B$502,$A73,Historial!$C$3:$C$502,$B73,Historial!$G$3:$G$502,BA$4,Historial!$H$3:$H$502,$B$2)&gt;0,"✓",""))</f>
        <v/>
      </c>
      <c r="BB74" s="29" t="str">
        <f aca="false">IF($A73="","",IF(COUNTIFS(Historial!$B$3:$B$502,$A73,Historial!$C$3:$C$502,$B73,Historial!$G$3:$G$502,BB$4,Historial!$H$3:$H$502,$B$2)&gt;0,"✓",""))</f>
        <v/>
      </c>
      <c r="BC74" s="29" t="str">
        <f aca="false">IF($A73="","",IF(COUNTIFS(Historial!$B$3:$B$502,$A73,Historial!$C$3:$C$502,$B73,Historial!$G$3:$G$502,BC$4,Historial!$H$3:$H$502,$B$2)&gt;0,"✓",""))</f>
        <v/>
      </c>
      <c r="BD74" s="29"/>
      <c r="BE74" s="29"/>
      <c r="BF74" s="29"/>
    </row>
    <row r="75" customFormat="false" ht="15" hidden="false" customHeight="false" outlineLevel="0" collapsed="false">
      <c r="A75" s="24" t="str">
        <f aca="false">IF(Actividades!$B38="","",Actividades!$B38)</f>
        <v/>
      </c>
      <c r="B75" s="24" t="str">
        <f aca="false">IF(Actividades!$C38="","",Actividades!$C38)</f>
        <v/>
      </c>
      <c r="C75" s="24" t="str">
        <f aca="false">IF($A75="","","Plan")</f>
        <v/>
      </c>
      <c r="D75" s="25" t="str">
        <f aca="false">IF($A75="","",IF(AND(N(Actividades!$E38)&gt;0,D$4&gt;=Actividades!$E38,MOD(D$4-Actividades!$E38,IFERROR(VLOOKUP(Actividades!$D38,Listas!$A$2:$B$8,2,0),52))=0),"P",""))</f>
        <v/>
      </c>
      <c r="E75" s="25" t="str">
        <f aca="false">IF($A75="","",IF(AND(N(Actividades!$E38)&gt;0,E$4&gt;=Actividades!$E38,MOD(E$4-Actividades!$E38,IFERROR(VLOOKUP(Actividades!$D38,Listas!$A$2:$B$8,2,0),52))=0),"P",""))</f>
        <v/>
      </c>
      <c r="F75" s="25" t="str">
        <f aca="false">IF($A75="","",IF(AND(N(Actividades!$E38)&gt;0,F$4&gt;=Actividades!$E38,MOD(F$4-Actividades!$E38,IFERROR(VLOOKUP(Actividades!$D38,Listas!$A$2:$B$8,2,0),52))=0),"P",""))</f>
        <v/>
      </c>
      <c r="G75" s="25" t="str">
        <f aca="false">IF($A75="","",IF(AND(N(Actividades!$E38)&gt;0,G$4&gt;=Actividades!$E38,MOD(G$4-Actividades!$E38,IFERROR(VLOOKUP(Actividades!$D38,Listas!$A$2:$B$8,2,0),52))=0),"P",""))</f>
        <v/>
      </c>
      <c r="H75" s="25" t="str">
        <f aca="false">IF($A75="","",IF(AND(N(Actividades!$E38)&gt;0,H$4&gt;=Actividades!$E38,MOD(H$4-Actividades!$E38,IFERROR(VLOOKUP(Actividades!$D38,Listas!$A$2:$B$8,2,0),52))=0),"P",""))</f>
        <v/>
      </c>
      <c r="I75" s="25" t="str">
        <f aca="false">IF($A75="","",IF(AND(N(Actividades!$E38)&gt;0,I$4&gt;=Actividades!$E38,MOD(I$4-Actividades!$E38,IFERROR(VLOOKUP(Actividades!$D38,Listas!$A$2:$B$8,2,0),52))=0),"P",""))</f>
        <v/>
      </c>
      <c r="J75" s="25" t="str">
        <f aca="false">IF($A75="","",IF(AND(N(Actividades!$E38)&gt;0,J$4&gt;=Actividades!$E38,MOD(J$4-Actividades!$E38,IFERROR(VLOOKUP(Actividades!$D38,Listas!$A$2:$B$8,2,0),52))=0),"P",""))</f>
        <v/>
      </c>
      <c r="K75" s="25" t="str">
        <f aca="false">IF($A75="","",IF(AND(N(Actividades!$E38)&gt;0,K$4&gt;=Actividades!$E38,MOD(K$4-Actividades!$E38,IFERROR(VLOOKUP(Actividades!$D38,Listas!$A$2:$B$8,2,0),52))=0),"P",""))</f>
        <v/>
      </c>
      <c r="L75" s="25" t="str">
        <f aca="false">IF($A75="","",IF(AND(N(Actividades!$E38)&gt;0,L$4&gt;=Actividades!$E38,MOD(L$4-Actividades!$E38,IFERROR(VLOOKUP(Actividades!$D38,Listas!$A$2:$B$8,2,0),52))=0),"P",""))</f>
        <v/>
      </c>
      <c r="M75" s="25" t="str">
        <f aca="false">IF($A75="","",IF(AND(N(Actividades!$E38)&gt;0,M$4&gt;=Actividades!$E38,MOD(M$4-Actividades!$E38,IFERROR(VLOOKUP(Actividades!$D38,Listas!$A$2:$B$8,2,0),52))=0),"P",""))</f>
        <v/>
      </c>
      <c r="N75" s="25" t="str">
        <f aca="false">IF($A75="","",IF(AND(N(Actividades!$E38)&gt;0,N$4&gt;=Actividades!$E38,MOD(N$4-Actividades!$E38,IFERROR(VLOOKUP(Actividades!$D38,Listas!$A$2:$B$8,2,0),52))=0),"P",""))</f>
        <v/>
      </c>
      <c r="O75" s="25" t="str">
        <f aca="false">IF($A75="","",IF(AND(N(Actividades!$E38)&gt;0,O$4&gt;=Actividades!$E38,MOD(O$4-Actividades!$E38,IFERROR(VLOOKUP(Actividades!$D38,Listas!$A$2:$B$8,2,0),52))=0),"P",""))</f>
        <v/>
      </c>
      <c r="P75" s="25" t="str">
        <f aca="false">IF($A75="","",IF(AND(N(Actividades!$E38)&gt;0,P$4&gt;=Actividades!$E38,MOD(P$4-Actividades!$E38,IFERROR(VLOOKUP(Actividades!$D38,Listas!$A$2:$B$8,2,0),52))=0),"P",""))</f>
        <v/>
      </c>
      <c r="Q75" s="25" t="str">
        <f aca="false">IF($A75="","",IF(AND(N(Actividades!$E38)&gt;0,Q$4&gt;=Actividades!$E38,MOD(Q$4-Actividades!$E38,IFERROR(VLOOKUP(Actividades!$D38,Listas!$A$2:$B$8,2,0),52))=0),"P",""))</f>
        <v/>
      </c>
      <c r="R75" s="25" t="str">
        <f aca="false">IF($A75="","",IF(AND(N(Actividades!$E38)&gt;0,R$4&gt;=Actividades!$E38,MOD(R$4-Actividades!$E38,IFERROR(VLOOKUP(Actividades!$D38,Listas!$A$2:$B$8,2,0),52))=0),"P",""))</f>
        <v/>
      </c>
      <c r="S75" s="25" t="str">
        <f aca="false">IF($A75="","",IF(AND(N(Actividades!$E38)&gt;0,S$4&gt;=Actividades!$E38,MOD(S$4-Actividades!$E38,IFERROR(VLOOKUP(Actividades!$D38,Listas!$A$2:$B$8,2,0),52))=0),"P",""))</f>
        <v/>
      </c>
      <c r="T75" s="25" t="str">
        <f aca="false">IF($A75="","",IF(AND(N(Actividades!$E38)&gt;0,T$4&gt;=Actividades!$E38,MOD(T$4-Actividades!$E38,IFERROR(VLOOKUP(Actividades!$D38,Listas!$A$2:$B$8,2,0),52))=0),"P",""))</f>
        <v/>
      </c>
      <c r="U75" s="25" t="str">
        <f aca="false">IF($A75="","",IF(AND(N(Actividades!$E38)&gt;0,U$4&gt;=Actividades!$E38,MOD(U$4-Actividades!$E38,IFERROR(VLOOKUP(Actividades!$D38,Listas!$A$2:$B$8,2,0),52))=0),"P",""))</f>
        <v/>
      </c>
      <c r="V75" s="25" t="str">
        <f aca="false">IF($A75="","",IF(AND(N(Actividades!$E38)&gt;0,V$4&gt;=Actividades!$E38,MOD(V$4-Actividades!$E38,IFERROR(VLOOKUP(Actividades!$D38,Listas!$A$2:$B$8,2,0),52))=0),"P",""))</f>
        <v/>
      </c>
      <c r="W75" s="25" t="str">
        <f aca="false">IF($A75="","",IF(AND(N(Actividades!$E38)&gt;0,W$4&gt;=Actividades!$E38,MOD(W$4-Actividades!$E38,IFERROR(VLOOKUP(Actividades!$D38,Listas!$A$2:$B$8,2,0),52))=0),"P",""))</f>
        <v/>
      </c>
      <c r="X75" s="25" t="str">
        <f aca="false">IF($A75="","",IF(AND(N(Actividades!$E38)&gt;0,X$4&gt;=Actividades!$E38,MOD(X$4-Actividades!$E38,IFERROR(VLOOKUP(Actividades!$D38,Listas!$A$2:$B$8,2,0),52))=0),"P",""))</f>
        <v/>
      </c>
      <c r="Y75" s="25" t="str">
        <f aca="false">IF($A75="","",IF(AND(N(Actividades!$E38)&gt;0,Y$4&gt;=Actividades!$E38,MOD(Y$4-Actividades!$E38,IFERROR(VLOOKUP(Actividades!$D38,Listas!$A$2:$B$8,2,0),52))=0),"P",""))</f>
        <v/>
      </c>
      <c r="Z75" s="25" t="str">
        <f aca="false">IF($A75="","",IF(AND(N(Actividades!$E38)&gt;0,Z$4&gt;=Actividades!$E38,MOD(Z$4-Actividades!$E38,IFERROR(VLOOKUP(Actividades!$D38,Listas!$A$2:$B$8,2,0),52))=0),"P",""))</f>
        <v/>
      </c>
      <c r="AA75" s="25" t="str">
        <f aca="false">IF($A75="","",IF(AND(N(Actividades!$E38)&gt;0,AA$4&gt;=Actividades!$E38,MOD(AA$4-Actividades!$E38,IFERROR(VLOOKUP(Actividades!$D38,Listas!$A$2:$B$8,2,0),52))=0),"P",""))</f>
        <v/>
      </c>
      <c r="AB75" s="25" t="str">
        <f aca="false">IF($A75="","",IF(AND(N(Actividades!$E38)&gt;0,AB$4&gt;=Actividades!$E38,MOD(AB$4-Actividades!$E38,IFERROR(VLOOKUP(Actividades!$D38,Listas!$A$2:$B$8,2,0),52))=0),"P",""))</f>
        <v/>
      </c>
      <c r="AC75" s="25" t="str">
        <f aca="false">IF($A75="","",IF(AND(N(Actividades!$E38)&gt;0,AC$4&gt;=Actividades!$E38,MOD(AC$4-Actividades!$E38,IFERROR(VLOOKUP(Actividades!$D38,Listas!$A$2:$B$8,2,0),52))=0),"P",""))</f>
        <v/>
      </c>
      <c r="AD75" s="25" t="str">
        <f aca="false">IF($A75="","",IF(AND(N(Actividades!$E38)&gt;0,AD$4&gt;=Actividades!$E38,MOD(AD$4-Actividades!$E38,IFERROR(VLOOKUP(Actividades!$D38,Listas!$A$2:$B$8,2,0),52))=0),"P",""))</f>
        <v/>
      </c>
      <c r="AE75" s="25" t="str">
        <f aca="false">IF($A75="","",IF(AND(N(Actividades!$E38)&gt;0,AE$4&gt;=Actividades!$E38,MOD(AE$4-Actividades!$E38,IFERROR(VLOOKUP(Actividades!$D38,Listas!$A$2:$B$8,2,0),52))=0),"P",""))</f>
        <v/>
      </c>
      <c r="AF75" s="25" t="str">
        <f aca="false">IF($A75="","",IF(AND(N(Actividades!$E38)&gt;0,AF$4&gt;=Actividades!$E38,MOD(AF$4-Actividades!$E38,IFERROR(VLOOKUP(Actividades!$D38,Listas!$A$2:$B$8,2,0),52))=0),"P",""))</f>
        <v/>
      </c>
      <c r="AG75" s="25" t="str">
        <f aca="false">IF($A75="","",IF(AND(N(Actividades!$E38)&gt;0,AG$4&gt;=Actividades!$E38,MOD(AG$4-Actividades!$E38,IFERROR(VLOOKUP(Actividades!$D38,Listas!$A$2:$B$8,2,0),52))=0),"P",""))</f>
        <v/>
      </c>
      <c r="AH75" s="25" t="str">
        <f aca="false">IF($A75="","",IF(AND(N(Actividades!$E38)&gt;0,AH$4&gt;=Actividades!$E38,MOD(AH$4-Actividades!$E38,IFERROR(VLOOKUP(Actividades!$D38,Listas!$A$2:$B$8,2,0),52))=0),"P",""))</f>
        <v/>
      </c>
      <c r="AI75" s="25" t="str">
        <f aca="false">IF($A75="","",IF(AND(N(Actividades!$E38)&gt;0,AI$4&gt;=Actividades!$E38,MOD(AI$4-Actividades!$E38,IFERROR(VLOOKUP(Actividades!$D38,Listas!$A$2:$B$8,2,0),52))=0),"P",""))</f>
        <v/>
      </c>
      <c r="AJ75" s="25" t="str">
        <f aca="false">IF($A75="","",IF(AND(N(Actividades!$E38)&gt;0,AJ$4&gt;=Actividades!$E38,MOD(AJ$4-Actividades!$E38,IFERROR(VLOOKUP(Actividades!$D38,Listas!$A$2:$B$8,2,0),52))=0),"P",""))</f>
        <v/>
      </c>
      <c r="AK75" s="25" t="str">
        <f aca="false">IF($A75="","",IF(AND(N(Actividades!$E38)&gt;0,AK$4&gt;=Actividades!$E38,MOD(AK$4-Actividades!$E38,IFERROR(VLOOKUP(Actividades!$D38,Listas!$A$2:$B$8,2,0),52))=0),"P",""))</f>
        <v/>
      </c>
      <c r="AL75" s="25" t="str">
        <f aca="false">IF($A75="","",IF(AND(N(Actividades!$E38)&gt;0,AL$4&gt;=Actividades!$E38,MOD(AL$4-Actividades!$E38,IFERROR(VLOOKUP(Actividades!$D38,Listas!$A$2:$B$8,2,0),52))=0),"P",""))</f>
        <v/>
      </c>
      <c r="AM75" s="25" t="str">
        <f aca="false">IF($A75="","",IF(AND(N(Actividades!$E38)&gt;0,AM$4&gt;=Actividades!$E38,MOD(AM$4-Actividades!$E38,IFERROR(VLOOKUP(Actividades!$D38,Listas!$A$2:$B$8,2,0),52))=0),"P",""))</f>
        <v/>
      </c>
      <c r="AN75" s="25" t="str">
        <f aca="false">IF($A75="","",IF(AND(N(Actividades!$E38)&gt;0,AN$4&gt;=Actividades!$E38,MOD(AN$4-Actividades!$E38,IFERROR(VLOOKUP(Actividades!$D38,Listas!$A$2:$B$8,2,0),52))=0),"P",""))</f>
        <v/>
      </c>
      <c r="AO75" s="25" t="str">
        <f aca="false">IF($A75="","",IF(AND(N(Actividades!$E38)&gt;0,AO$4&gt;=Actividades!$E38,MOD(AO$4-Actividades!$E38,IFERROR(VLOOKUP(Actividades!$D38,Listas!$A$2:$B$8,2,0),52))=0),"P",""))</f>
        <v/>
      </c>
      <c r="AP75" s="25" t="str">
        <f aca="false">IF($A75="","",IF(AND(N(Actividades!$E38)&gt;0,AP$4&gt;=Actividades!$E38,MOD(AP$4-Actividades!$E38,IFERROR(VLOOKUP(Actividades!$D38,Listas!$A$2:$B$8,2,0),52))=0),"P",""))</f>
        <v/>
      </c>
      <c r="AQ75" s="25" t="str">
        <f aca="false">IF($A75="","",IF(AND(N(Actividades!$E38)&gt;0,AQ$4&gt;=Actividades!$E38,MOD(AQ$4-Actividades!$E38,IFERROR(VLOOKUP(Actividades!$D38,Listas!$A$2:$B$8,2,0),52))=0),"P",""))</f>
        <v/>
      </c>
      <c r="AR75" s="25" t="str">
        <f aca="false">IF($A75="","",IF(AND(N(Actividades!$E38)&gt;0,AR$4&gt;=Actividades!$E38,MOD(AR$4-Actividades!$E38,IFERROR(VLOOKUP(Actividades!$D38,Listas!$A$2:$B$8,2,0),52))=0),"P",""))</f>
        <v/>
      </c>
      <c r="AS75" s="25" t="str">
        <f aca="false">IF($A75="","",IF(AND(N(Actividades!$E38)&gt;0,AS$4&gt;=Actividades!$E38,MOD(AS$4-Actividades!$E38,IFERROR(VLOOKUP(Actividades!$D38,Listas!$A$2:$B$8,2,0),52))=0),"P",""))</f>
        <v/>
      </c>
      <c r="AT75" s="25" t="str">
        <f aca="false">IF($A75="","",IF(AND(N(Actividades!$E38)&gt;0,AT$4&gt;=Actividades!$E38,MOD(AT$4-Actividades!$E38,IFERROR(VLOOKUP(Actividades!$D38,Listas!$A$2:$B$8,2,0),52))=0),"P",""))</f>
        <v/>
      </c>
      <c r="AU75" s="25" t="str">
        <f aca="false">IF($A75="","",IF(AND(N(Actividades!$E38)&gt;0,AU$4&gt;=Actividades!$E38,MOD(AU$4-Actividades!$E38,IFERROR(VLOOKUP(Actividades!$D38,Listas!$A$2:$B$8,2,0),52))=0),"P",""))</f>
        <v/>
      </c>
      <c r="AV75" s="25" t="str">
        <f aca="false">IF($A75="","",IF(AND(N(Actividades!$E38)&gt;0,AV$4&gt;=Actividades!$E38,MOD(AV$4-Actividades!$E38,IFERROR(VLOOKUP(Actividades!$D38,Listas!$A$2:$B$8,2,0),52))=0),"P",""))</f>
        <v/>
      </c>
      <c r="AW75" s="25" t="str">
        <f aca="false">IF($A75="","",IF(AND(N(Actividades!$E38)&gt;0,AW$4&gt;=Actividades!$E38,MOD(AW$4-Actividades!$E38,IFERROR(VLOOKUP(Actividades!$D38,Listas!$A$2:$B$8,2,0),52))=0),"P",""))</f>
        <v/>
      </c>
      <c r="AX75" s="25" t="str">
        <f aca="false">IF($A75="","",IF(AND(N(Actividades!$E38)&gt;0,AX$4&gt;=Actividades!$E38,MOD(AX$4-Actividades!$E38,IFERROR(VLOOKUP(Actividades!$D38,Listas!$A$2:$B$8,2,0),52))=0),"P",""))</f>
        <v/>
      </c>
      <c r="AY75" s="25" t="str">
        <f aca="false">IF($A75="","",IF(AND(N(Actividades!$E38)&gt;0,AY$4&gt;=Actividades!$E38,MOD(AY$4-Actividades!$E38,IFERROR(VLOOKUP(Actividades!$D38,Listas!$A$2:$B$8,2,0),52))=0),"P",""))</f>
        <v/>
      </c>
      <c r="AZ75" s="25" t="str">
        <f aca="false">IF($A75="","",IF(AND(N(Actividades!$E38)&gt;0,AZ$4&gt;=Actividades!$E38,MOD(AZ$4-Actividades!$E38,IFERROR(VLOOKUP(Actividades!$D38,Listas!$A$2:$B$8,2,0),52))=0),"P",""))</f>
        <v/>
      </c>
      <c r="BA75" s="25" t="str">
        <f aca="false">IF($A75="","",IF(AND(N(Actividades!$E38)&gt;0,BA$4&gt;=Actividades!$E38,MOD(BA$4-Actividades!$E38,IFERROR(VLOOKUP(Actividades!$D38,Listas!$A$2:$B$8,2,0),52))=0),"P",""))</f>
        <v/>
      </c>
      <c r="BB75" s="25" t="str">
        <f aca="false">IF($A75="","",IF(AND(N(Actividades!$E38)&gt;0,BB$4&gt;=Actividades!$E38,MOD(BB$4-Actividades!$E38,IFERROR(VLOOKUP(Actividades!$D38,Listas!$A$2:$B$8,2,0),52))=0),"P",""))</f>
        <v/>
      </c>
      <c r="BC75" s="25" t="str">
        <f aca="false">IF($A75="","",IF(AND(N(Actividades!$E38)&gt;0,BC$4&gt;=Actividades!$E38,MOD(BC$4-Actividades!$E38,IFERROR(VLOOKUP(Actividades!$D38,Listas!$A$2:$B$8,2,0),52))=0),"P",""))</f>
        <v/>
      </c>
      <c r="BD75" s="26" t="str">
        <f aca="false">IF($A75="","",COUNTIF(D75:BC75,"P"))</f>
        <v/>
      </c>
      <c r="BE75" s="26" t="str">
        <f aca="false">IF($A75="","",SUMPRODUCT((D75:BC75="P")*(D76:BC76="✓")))</f>
        <v/>
      </c>
      <c r="BF75" s="27" t="str">
        <f aca="false">IF($A75="","",IF(BD75=0,"",BE75/BD75))</f>
        <v/>
      </c>
    </row>
    <row r="76" customFormat="false" ht="15" hidden="false" customHeight="false" outlineLevel="0" collapsed="false">
      <c r="A76" s="28"/>
      <c r="B76" s="28"/>
      <c r="C76" s="28" t="str">
        <f aca="false">IF($A75="","","Real")</f>
        <v/>
      </c>
      <c r="D76" s="29" t="str">
        <f aca="false">IF($A75="","",IF(COUNTIFS(Historial!$B$3:$B$502,$A75,Historial!$C$3:$C$502,$B75,Historial!$G$3:$G$502,D$4,Historial!$H$3:$H$502,$B$2)&gt;0,"✓",""))</f>
        <v/>
      </c>
      <c r="E76" s="29" t="str">
        <f aca="false">IF($A75="","",IF(COUNTIFS(Historial!$B$3:$B$502,$A75,Historial!$C$3:$C$502,$B75,Historial!$G$3:$G$502,E$4,Historial!$H$3:$H$502,$B$2)&gt;0,"✓",""))</f>
        <v/>
      </c>
      <c r="F76" s="29" t="str">
        <f aca="false">IF($A75="","",IF(COUNTIFS(Historial!$B$3:$B$502,$A75,Historial!$C$3:$C$502,$B75,Historial!$G$3:$G$502,F$4,Historial!$H$3:$H$502,$B$2)&gt;0,"✓",""))</f>
        <v/>
      </c>
      <c r="G76" s="29" t="str">
        <f aca="false">IF($A75="","",IF(COUNTIFS(Historial!$B$3:$B$502,$A75,Historial!$C$3:$C$502,$B75,Historial!$G$3:$G$502,G$4,Historial!$H$3:$H$502,$B$2)&gt;0,"✓",""))</f>
        <v/>
      </c>
      <c r="H76" s="29" t="str">
        <f aca="false">IF($A75="","",IF(COUNTIFS(Historial!$B$3:$B$502,$A75,Historial!$C$3:$C$502,$B75,Historial!$G$3:$G$502,H$4,Historial!$H$3:$H$502,$B$2)&gt;0,"✓",""))</f>
        <v/>
      </c>
      <c r="I76" s="29" t="str">
        <f aca="false">IF($A75="","",IF(COUNTIFS(Historial!$B$3:$B$502,$A75,Historial!$C$3:$C$502,$B75,Historial!$G$3:$G$502,I$4,Historial!$H$3:$H$502,$B$2)&gt;0,"✓",""))</f>
        <v/>
      </c>
      <c r="J76" s="29" t="str">
        <f aca="false">IF($A75="","",IF(COUNTIFS(Historial!$B$3:$B$502,$A75,Historial!$C$3:$C$502,$B75,Historial!$G$3:$G$502,J$4,Historial!$H$3:$H$502,$B$2)&gt;0,"✓",""))</f>
        <v/>
      </c>
      <c r="K76" s="29" t="str">
        <f aca="false">IF($A75="","",IF(COUNTIFS(Historial!$B$3:$B$502,$A75,Historial!$C$3:$C$502,$B75,Historial!$G$3:$G$502,K$4,Historial!$H$3:$H$502,$B$2)&gt;0,"✓",""))</f>
        <v/>
      </c>
      <c r="L76" s="29" t="str">
        <f aca="false">IF($A75="","",IF(COUNTIFS(Historial!$B$3:$B$502,$A75,Historial!$C$3:$C$502,$B75,Historial!$G$3:$G$502,L$4,Historial!$H$3:$H$502,$B$2)&gt;0,"✓",""))</f>
        <v/>
      </c>
      <c r="M76" s="29" t="str">
        <f aca="false">IF($A75="","",IF(COUNTIFS(Historial!$B$3:$B$502,$A75,Historial!$C$3:$C$502,$B75,Historial!$G$3:$G$502,M$4,Historial!$H$3:$H$502,$B$2)&gt;0,"✓",""))</f>
        <v/>
      </c>
      <c r="N76" s="29" t="str">
        <f aca="false">IF($A75="","",IF(COUNTIFS(Historial!$B$3:$B$502,$A75,Historial!$C$3:$C$502,$B75,Historial!$G$3:$G$502,N$4,Historial!$H$3:$H$502,$B$2)&gt;0,"✓",""))</f>
        <v/>
      </c>
      <c r="O76" s="29" t="str">
        <f aca="false">IF($A75="","",IF(COUNTIFS(Historial!$B$3:$B$502,$A75,Historial!$C$3:$C$502,$B75,Historial!$G$3:$G$502,O$4,Historial!$H$3:$H$502,$B$2)&gt;0,"✓",""))</f>
        <v/>
      </c>
      <c r="P76" s="29" t="str">
        <f aca="false">IF($A75="","",IF(COUNTIFS(Historial!$B$3:$B$502,$A75,Historial!$C$3:$C$502,$B75,Historial!$G$3:$G$502,P$4,Historial!$H$3:$H$502,$B$2)&gt;0,"✓",""))</f>
        <v/>
      </c>
      <c r="Q76" s="29" t="str">
        <f aca="false">IF($A75="","",IF(COUNTIFS(Historial!$B$3:$B$502,$A75,Historial!$C$3:$C$502,$B75,Historial!$G$3:$G$502,Q$4,Historial!$H$3:$H$502,$B$2)&gt;0,"✓",""))</f>
        <v/>
      </c>
      <c r="R76" s="29" t="str">
        <f aca="false">IF($A75="","",IF(COUNTIFS(Historial!$B$3:$B$502,$A75,Historial!$C$3:$C$502,$B75,Historial!$G$3:$G$502,R$4,Historial!$H$3:$H$502,$B$2)&gt;0,"✓",""))</f>
        <v/>
      </c>
      <c r="S76" s="29" t="str">
        <f aca="false">IF($A75="","",IF(COUNTIFS(Historial!$B$3:$B$502,$A75,Historial!$C$3:$C$502,$B75,Historial!$G$3:$G$502,S$4,Historial!$H$3:$H$502,$B$2)&gt;0,"✓",""))</f>
        <v/>
      </c>
      <c r="T76" s="29" t="str">
        <f aca="false">IF($A75="","",IF(COUNTIFS(Historial!$B$3:$B$502,$A75,Historial!$C$3:$C$502,$B75,Historial!$G$3:$G$502,T$4,Historial!$H$3:$H$502,$B$2)&gt;0,"✓",""))</f>
        <v/>
      </c>
      <c r="U76" s="29" t="str">
        <f aca="false">IF($A75="","",IF(COUNTIFS(Historial!$B$3:$B$502,$A75,Historial!$C$3:$C$502,$B75,Historial!$G$3:$G$502,U$4,Historial!$H$3:$H$502,$B$2)&gt;0,"✓",""))</f>
        <v/>
      </c>
      <c r="V76" s="29" t="str">
        <f aca="false">IF($A75="","",IF(COUNTIFS(Historial!$B$3:$B$502,$A75,Historial!$C$3:$C$502,$B75,Historial!$G$3:$G$502,V$4,Historial!$H$3:$H$502,$B$2)&gt;0,"✓",""))</f>
        <v/>
      </c>
      <c r="W76" s="29" t="str">
        <f aca="false">IF($A75="","",IF(COUNTIFS(Historial!$B$3:$B$502,$A75,Historial!$C$3:$C$502,$B75,Historial!$G$3:$G$502,W$4,Historial!$H$3:$H$502,$B$2)&gt;0,"✓",""))</f>
        <v/>
      </c>
      <c r="X76" s="29" t="str">
        <f aca="false">IF($A75="","",IF(COUNTIFS(Historial!$B$3:$B$502,$A75,Historial!$C$3:$C$502,$B75,Historial!$G$3:$G$502,X$4,Historial!$H$3:$H$502,$B$2)&gt;0,"✓",""))</f>
        <v/>
      </c>
      <c r="Y76" s="29" t="str">
        <f aca="false">IF($A75="","",IF(COUNTIFS(Historial!$B$3:$B$502,$A75,Historial!$C$3:$C$502,$B75,Historial!$G$3:$G$502,Y$4,Historial!$H$3:$H$502,$B$2)&gt;0,"✓",""))</f>
        <v/>
      </c>
      <c r="Z76" s="29" t="str">
        <f aca="false">IF($A75="","",IF(COUNTIFS(Historial!$B$3:$B$502,$A75,Historial!$C$3:$C$502,$B75,Historial!$G$3:$G$502,Z$4,Historial!$H$3:$H$502,$B$2)&gt;0,"✓",""))</f>
        <v/>
      </c>
      <c r="AA76" s="29" t="str">
        <f aca="false">IF($A75="","",IF(COUNTIFS(Historial!$B$3:$B$502,$A75,Historial!$C$3:$C$502,$B75,Historial!$G$3:$G$502,AA$4,Historial!$H$3:$H$502,$B$2)&gt;0,"✓",""))</f>
        <v/>
      </c>
      <c r="AB76" s="29" t="str">
        <f aca="false">IF($A75="","",IF(COUNTIFS(Historial!$B$3:$B$502,$A75,Historial!$C$3:$C$502,$B75,Historial!$G$3:$G$502,AB$4,Historial!$H$3:$H$502,$B$2)&gt;0,"✓",""))</f>
        <v/>
      </c>
      <c r="AC76" s="29" t="str">
        <f aca="false">IF($A75="","",IF(COUNTIFS(Historial!$B$3:$B$502,$A75,Historial!$C$3:$C$502,$B75,Historial!$G$3:$G$502,AC$4,Historial!$H$3:$H$502,$B$2)&gt;0,"✓",""))</f>
        <v/>
      </c>
      <c r="AD76" s="29" t="str">
        <f aca="false">IF($A75="","",IF(COUNTIFS(Historial!$B$3:$B$502,$A75,Historial!$C$3:$C$502,$B75,Historial!$G$3:$G$502,AD$4,Historial!$H$3:$H$502,$B$2)&gt;0,"✓",""))</f>
        <v/>
      </c>
      <c r="AE76" s="29" t="str">
        <f aca="false">IF($A75="","",IF(COUNTIFS(Historial!$B$3:$B$502,$A75,Historial!$C$3:$C$502,$B75,Historial!$G$3:$G$502,AE$4,Historial!$H$3:$H$502,$B$2)&gt;0,"✓",""))</f>
        <v/>
      </c>
      <c r="AF76" s="29" t="str">
        <f aca="false">IF($A75="","",IF(COUNTIFS(Historial!$B$3:$B$502,$A75,Historial!$C$3:$C$502,$B75,Historial!$G$3:$G$502,AF$4,Historial!$H$3:$H$502,$B$2)&gt;0,"✓",""))</f>
        <v/>
      </c>
      <c r="AG76" s="29" t="str">
        <f aca="false">IF($A75="","",IF(COUNTIFS(Historial!$B$3:$B$502,$A75,Historial!$C$3:$C$502,$B75,Historial!$G$3:$G$502,AG$4,Historial!$H$3:$H$502,$B$2)&gt;0,"✓",""))</f>
        <v/>
      </c>
      <c r="AH76" s="29" t="str">
        <f aca="false">IF($A75="","",IF(COUNTIFS(Historial!$B$3:$B$502,$A75,Historial!$C$3:$C$502,$B75,Historial!$G$3:$G$502,AH$4,Historial!$H$3:$H$502,$B$2)&gt;0,"✓",""))</f>
        <v/>
      </c>
      <c r="AI76" s="29" t="str">
        <f aca="false">IF($A75="","",IF(COUNTIFS(Historial!$B$3:$B$502,$A75,Historial!$C$3:$C$502,$B75,Historial!$G$3:$G$502,AI$4,Historial!$H$3:$H$502,$B$2)&gt;0,"✓",""))</f>
        <v/>
      </c>
      <c r="AJ76" s="29" t="str">
        <f aca="false">IF($A75="","",IF(COUNTIFS(Historial!$B$3:$B$502,$A75,Historial!$C$3:$C$502,$B75,Historial!$G$3:$G$502,AJ$4,Historial!$H$3:$H$502,$B$2)&gt;0,"✓",""))</f>
        <v/>
      </c>
      <c r="AK76" s="29" t="str">
        <f aca="false">IF($A75="","",IF(COUNTIFS(Historial!$B$3:$B$502,$A75,Historial!$C$3:$C$502,$B75,Historial!$G$3:$G$502,AK$4,Historial!$H$3:$H$502,$B$2)&gt;0,"✓",""))</f>
        <v/>
      </c>
      <c r="AL76" s="29" t="str">
        <f aca="false">IF($A75="","",IF(COUNTIFS(Historial!$B$3:$B$502,$A75,Historial!$C$3:$C$502,$B75,Historial!$G$3:$G$502,AL$4,Historial!$H$3:$H$502,$B$2)&gt;0,"✓",""))</f>
        <v/>
      </c>
      <c r="AM76" s="29" t="str">
        <f aca="false">IF($A75="","",IF(COUNTIFS(Historial!$B$3:$B$502,$A75,Historial!$C$3:$C$502,$B75,Historial!$G$3:$G$502,AM$4,Historial!$H$3:$H$502,$B$2)&gt;0,"✓",""))</f>
        <v/>
      </c>
      <c r="AN76" s="29" t="str">
        <f aca="false">IF($A75="","",IF(COUNTIFS(Historial!$B$3:$B$502,$A75,Historial!$C$3:$C$502,$B75,Historial!$G$3:$G$502,AN$4,Historial!$H$3:$H$502,$B$2)&gt;0,"✓",""))</f>
        <v/>
      </c>
      <c r="AO76" s="29" t="str">
        <f aca="false">IF($A75="","",IF(COUNTIFS(Historial!$B$3:$B$502,$A75,Historial!$C$3:$C$502,$B75,Historial!$G$3:$G$502,AO$4,Historial!$H$3:$H$502,$B$2)&gt;0,"✓",""))</f>
        <v/>
      </c>
      <c r="AP76" s="29" t="str">
        <f aca="false">IF($A75="","",IF(COUNTIFS(Historial!$B$3:$B$502,$A75,Historial!$C$3:$C$502,$B75,Historial!$G$3:$G$502,AP$4,Historial!$H$3:$H$502,$B$2)&gt;0,"✓",""))</f>
        <v/>
      </c>
      <c r="AQ76" s="29" t="str">
        <f aca="false">IF($A75="","",IF(COUNTIFS(Historial!$B$3:$B$502,$A75,Historial!$C$3:$C$502,$B75,Historial!$G$3:$G$502,AQ$4,Historial!$H$3:$H$502,$B$2)&gt;0,"✓",""))</f>
        <v/>
      </c>
      <c r="AR76" s="29" t="str">
        <f aca="false">IF($A75="","",IF(COUNTIFS(Historial!$B$3:$B$502,$A75,Historial!$C$3:$C$502,$B75,Historial!$G$3:$G$502,AR$4,Historial!$H$3:$H$502,$B$2)&gt;0,"✓",""))</f>
        <v/>
      </c>
      <c r="AS76" s="29" t="str">
        <f aca="false">IF($A75="","",IF(COUNTIFS(Historial!$B$3:$B$502,$A75,Historial!$C$3:$C$502,$B75,Historial!$G$3:$G$502,AS$4,Historial!$H$3:$H$502,$B$2)&gt;0,"✓",""))</f>
        <v/>
      </c>
      <c r="AT76" s="29" t="str">
        <f aca="false">IF($A75="","",IF(COUNTIFS(Historial!$B$3:$B$502,$A75,Historial!$C$3:$C$502,$B75,Historial!$G$3:$G$502,AT$4,Historial!$H$3:$H$502,$B$2)&gt;0,"✓",""))</f>
        <v/>
      </c>
      <c r="AU76" s="29" t="str">
        <f aca="false">IF($A75="","",IF(COUNTIFS(Historial!$B$3:$B$502,$A75,Historial!$C$3:$C$502,$B75,Historial!$G$3:$G$502,AU$4,Historial!$H$3:$H$502,$B$2)&gt;0,"✓",""))</f>
        <v/>
      </c>
      <c r="AV76" s="29" t="str">
        <f aca="false">IF($A75="","",IF(COUNTIFS(Historial!$B$3:$B$502,$A75,Historial!$C$3:$C$502,$B75,Historial!$G$3:$G$502,AV$4,Historial!$H$3:$H$502,$B$2)&gt;0,"✓",""))</f>
        <v/>
      </c>
      <c r="AW76" s="29" t="str">
        <f aca="false">IF($A75="","",IF(COUNTIFS(Historial!$B$3:$B$502,$A75,Historial!$C$3:$C$502,$B75,Historial!$G$3:$G$502,AW$4,Historial!$H$3:$H$502,$B$2)&gt;0,"✓",""))</f>
        <v/>
      </c>
      <c r="AX76" s="29" t="str">
        <f aca="false">IF($A75="","",IF(COUNTIFS(Historial!$B$3:$B$502,$A75,Historial!$C$3:$C$502,$B75,Historial!$G$3:$G$502,AX$4,Historial!$H$3:$H$502,$B$2)&gt;0,"✓",""))</f>
        <v/>
      </c>
      <c r="AY76" s="29" t="str">
        <f aca="false">IF($A75="","",IF(COUNTIFS(Historial!$B$3:$B$502,$A75,Historial!$C$3:$C$502,$B75,Historial!$G$3:$G$502,AY$4,Historial!$H$3:$H$502,$B$2)&gt;0,"✓",""))</f>
        <v/>
      </c>
      <c r="AZ76" s="29" t="str">
        <f aca="false">IF($A75="","",IF(COUNTIFS(Historial!$B$3:$B$502,$A75,Historial!$C$3:$C$502,$B75,Historial!$G$3:$G$502,AZ$4,Historial!$H$3:$H$502,$B$2)&gt;0,"✓",""))</f>
        <v/>
      </c>
      <c r="BA76" s="29" t="str">
        <f aca="false">IF($A75="","",IF(COUNTIFS(Historial!$B$3:$B$502,$A75,Historial!$C$3:$C$502,$B75,Historial!$G$3:$G$502,BA$4,Historial!$H$3:$H$502,$B$2)&gt;0,"✓",""))</f>
        <v/>
      </c>
      <c r="BB76" s="29" t="str">
        <f aca="false">IF($A75="","",IF(COUNTIFS(Historial!$B$3:$B$502,$A75,Historial!$C$3:$C$502,$B75,Historial!$G$3:$G$502,BB$4,Historial!$H$3:$H$502,$B$2)&gt;0,"✓",""))</f>
        <v/>
      </c>
      <c r="BC76" s="29" t="str">
        <f aca="false">IF($A75="","",IF(COUNTIFS(Historial!$B$3:$B$502,$A75,Historial!$C$3:$C$502,$B75,Historial!$G$3:$G$502,BC$4,Historial!$H$3:$H$502,$B$2)&gt;0,"✓",""))</f>
        <v/>
      </c>
      <c r="BD76" s="29"/>
      <c r="BE76" s="29"/>
      <c r="BF76" s="29"/>
    </row>
    <row r="77" customFormat="false" ht="15" hidden="false" customHeight="false" outlineLevel="0" collapsed="false">
      <c r="A77" s="24" t="str">
        <f aca="false">IF(Actividades!$B39="","",Actividades!$B39)</f>
        <v/>
      </c>
      <c r="B77" s="24" t="str">
        <f aca="false">IF(Actividades!$C39="","",Actividades!$C39)</f>
        <v/>
      </c>
      <c r="C77" s="24" t="str">
        <f aca="false">IF($A77="","","Plan")</f>
        <v/>
      </c>
      <c r="D77" s="25" t="str">
        <f aca="false">IF($A77="","",IF(AND(N(Actividades!$E39)&gt;0,D$4&gt;=Actividades!$E39,MOD(D$4-Actividades!$E39,IFERROR(VLOOKUP(Actividades!$D39,Listas!$A$2:$B$8,2,0),52))=0),"P",""))</f>
        <v/>
      </c>
      <c r="E77" s="25" t="str">
        <f aca="false">IF($A77="","",IF(AND(N(Actividades!$E39)&gt;0,E$4&gt;=Actividades!$E39,MOD(E$4-Actividades!$E39,IFERROR(VLOOKUP(Actividades!$D39,Listas!$A$2:$B$8,2,0),52))=0),"P",""))</f>
        <v/>
      </c>
      <c r="F77" s="25" t="str">
        <f aca="false">IF($A77="","",IF(AND(N(Actividades!$E39)&gt;0,F$4&gt;=Actividades!$E39,MOD(F$4-Actividades!$E39,IFERROR(VLOOKUP(Actividades!$D39,Listas!$A$2:$B$8,2,0),52))=0),"P",""))</f>
        <v/>
      </c>
      <c r="G77" s="25" t="str">
        <f aca="false">IF($A77="","",IF(AND(N(Actividades!$E39)&gt;0,G$4&gt;=Actividades!$E39,MOD(G$4-Actividades!$E39,IFERROR(VLOOKUP(Actividades!$D39,Listas!$A$2:$B$8,2,0),52))=0),"P",""))</f>
        <v/>
      </c>
      <c r="H77" s="25" t="str">
        <f aca="false">IF($A77="","",IF(AND(N(Actividades!$E39)&gt;0,H$4&gt;=Actividades!$E39,MOD(H$4-Actividades!$E39,IFERROR(VLOOKUP(Actividades!$D39,Listas!$A$2:$B$8,2,0),52))=0),"P",""))</f>
        <v/>
      </c>
      <c r="I77" s="25" t="str">
        <f aca="false">IF($A77="","",IF(AND(N(Actividades!$E39)&gt;0,I$4&gt;=Actividades!$E39,MOD(I$4-Actividades!$E39,IFERROR(VLOOKUP(Actividades!$D39,Listas!$A$2:$B$8,2,0),52))=0),"P",""))</f>
        <v/>
      </c>
      <c r="J77" s="25" t="str">
        <f aca="false">IF($A77="","",IF(AND(N(Actividades!$E39)&gt;0,J$4&gt;=Actividades!$E39,MOD(J$4-Actividades!$E39,IFERROR(VLOOKUP(Actividades!$D39,Listas!$A$2:$B$8,2,0),52))=0),"P",""))</f>
        <v/>
      </c>
      <c r="K77" s="25" t="str">
        <f aca="false">IF($A77="","",IF(AND(N(Actividades!$E39)&gt;0,K$4&gt;=Actividades!$E39,MOD(K$4-Actividades!$E39,IFERROR(VLOOKUP(Actividades!$D39,Listas!$A$2:$B$8,2,0),52))=0),"P",""))</f>
        <v/>
      </c>
      <c r="L77" s="25" t="str">
        <f aca="false">IF($A77="","",IF(AND(N(Actividades!$E39)&gt;0,L$4&gt;=Actividades!$E39,MOD(L$4-Actividades!$E39,IFERROR(VLOOKUP(Actividades!$D39,Listas!$A$2:$B$8,2,0),52))=0),"P",""))</f>
        <v/>
      </c>
      <c r="M77" s="25" t="str">
        <f aca="false">IF($A77="","",IF(AND(N(Actividades!$E39)&gt;0,M$4&gt;=Actividades!$E39,MOD(M$4-Actividades!$E39,IFERROR(VLOOKUP(Actividades!$D39,Listas!$A$2:$B$8,2,0),52))=0),"P",""))</f>
        <v/>
      </c>
      <c r="N77" s="25" t="str">
        <f aca="false">IF($A77="","",IF(AND(N(Actividades!$E39)&gt;0,N$4&gt;=Actividades!$E39,MOD(N$4-Actividades!$E39,IFERROR(VLOOKUP(Actividades!$D39,Listas!$A$2:$B$8,2,0),52))=0),"P",""))</f>
        <v/>
      </c>
      <c r="O77" s="25" t="str">
        <f aca="false">IF($A77="","",IF(AND(N(Actividades!$E39)&gt;0,O$4&gt;=Actividades!$E39,MOD(O$4-Actividades!$E39,IFERROR(VLOOKUP(Actividades!$D39,Listas!$A$2:$B$8,2,0),52))=0),"P",""))</f>
        <v/>
      </c>
      <c r="P77" s="25" t="str">
        <f aca="false">IF($A77="","",IF(AND(N(Actividades!$E39)&gt;0,P$4&gt;=Actividades!$E39,MOD(P$4-Actividades!$E39,IFERROR(VLOOKUP(Actividades!$D39,Listas!$A$2:$B$8,2,0),52))=0),"P",""))</f>
        <v/>
      </c>
      <c r="Q77" s="25" t="str">
        <f aca="false">IF($A77="","",IF(AND(N(Actividades!$E39)&gt;0,Q$4&gt;=Actividades!$E39,MOD(Q$4-Actividades!$E39,IFERROR(VLOOKUP(Actividades!$D39,Listas!$A$2:$B$8,2,0),52))=0),"P",""))</f>
        <v/>
      </c>
      <c r="R77" s="25" t="str">
        <f aca="false">IF($A77="","",IF(AND(N(Actividades!$E39)&gt;0,R$4&gt;=Actividades!$E39,MOD(R$4-Actividades!$E39,IFERROR(VLOOKUP(Actividades!$D39,Listas!$A$2:$B$8,2,0),52))=0),"P",""))</f>
        <v/>
      </c>
      <c r="S77" s="25" t="str">
        <f aca="false">IF($A77="","",IF(AND(N(Actividades!$E39)&gt;0,S$4&gt;=Actividades!$E39,MOD(S$4-Actividades!$E39,IFERROR(VLOOKUP(Actividades!$D39,Listas!$A$2:$B$8,2,0),52))=0),"P",""))</f>
        <v/>
      </c>
      <c r="T77" s="25" t="str">
        <f aca="false">IF($A77="","",IF(AND(N(Actividades!$E39)&gt;0,T$4&gt;=Actividades!$E39,MOD(T$4-Actividades!$E39,IFERROR(VLOOKUP(Actividades!$D39,Listas!$A$2:$B$8,2,0),52))=0),"P",""))</f>
        <v/>
      </c>
      <c r="U77" s="25" t="str">
        <f aca="false">IF($A77="","",IF(AND(N(Actividades!$E39)&gt;0,U$4&gt;=Actividades!$E39,MOD(U$4-Actividades!$E39,IFERROR(VLOOKUP(Actividades!$D39,Listas!$A$2:$B$8,2,0),52))=0),"P",""))</f>
        <v/>
      </c>
      <c r="V77" s="25" t="str">
        <f aca="false">IF($A77="","",IF(AND(N(Actividades!$E39)&gt;0,V$4&gt;=Actividades!$E39,MOD(V$4-Actividades!$E39,IFERROR(VLOOKUP(Actividades!$D39,Listas!$A$2:$B$8,2,0),52))=0),"P",""))</f>
        <v/>
      </c>
      <c r="W77" s="25" t="str">
        <f aca="false">IF($A77="","",IF(AND(N(Actividades!$E39)&gt;0,W$4&gt;=Actividades!$E39,MOD(W$4-Actividades!$E39,IFERROR(VLOOKUP(Actividades!$D39,Listas!$A$2:$B$8,2,0),52))=0),"P",""))</f>
        <v/>
      </c>
      <c r="X77" s="25" t="str">
        <f aca="false">IF($A77="","",IF(AND(N(Actividades!$E39)&gt;0,X$4&gt;=Actividades!$E39,MOD(X$4-Actividades!$E39,IFERROR(VLOOKUP(Actividades!$D39,Listas!$A$2:$B$8,2,0),52))=0),"P",""))</f>
        <v/>
      </c>
      <c r="Y77" s="25" t="str">
        <f aca="false">IF($A77="","",IF(AND(N(Actividades!$E39)&gt;0,Y$4&gt;=Actividades!$E39,MOD(Y$4-Actividades!$E39,IFERROR(VLOOKUP(Actividades!$D39,Listas!$A$2:$B$8,2,0),52))=0),"P",""))</f>
        <v/>
      </c>
      <c r="Z77" s="25" t="str">
        <f aca="false">IF($A77="","",IF(AND(N(Actividades!$E39)&gt;0,Z$4&gt;=Actividades!$E39,MOD(Z$4-Actividades!$E39,IFERROR(VLOOKUP(Actividades!$D39,Listas!$A$2:$B$8,2,0),52))=0),"P",""))</f>
        <v/>
      </c>
      <c r="AA77" s="25" t="str">
        <f aca="false">IF($A77="","",IF(AND(N(Actividades!$E39)&gt;0,AA$4&gt;=Actividades!$E39,MOD(AA$4-Actividades!$E39,IFERROR(VLOOKUP(Actividades!$D39,Listas!$A$2:$B$8,2,0),52))=0),"P",""))</f>
        <v/>
      </c>
      <c r="AB77" s="25" t="str">
        <f aca="false">IF($A77="","",IF(AND(N(Actividades!$E39)&gt;0,AB$4&gt;=Actividades!$E39,MOD(AB$4-Actividades!$E39,IFERROR(VLOOKUP(Actividades!$D39,Listas!$A$2:$B$8,2,0),52))=0),"P",""))</f>
        <v/>
      </c>
      <c r="AC77" s="25" t="str">
        <f aca="false">IF($A77="","",IF(AND(N(Actividades!$E39)&gt;0,AC$4&gt;=Actividades!$E39,MOD(AC$4-Actividades!$E39,IFERROR(VLOOKUP(Actividades!$D39,Listas!$A$2:$B$8,2,0),52))=0),"P",""))</f>
        <v/>
      </c>
      <c r="AD77" s="25" t="str">
        <f aca="false">IF($A77="","",IF(AND(N(Actividades!$E39)&gt;0,AD$4&gt;=Actividades!$E39,MOD(AD$4-Actividades!$E39,IFERROR(VLOOKUP(Actividades!$D39,Listas!$A$2:$B$8,2,0),52))=0),"P",""))</f>
        <v/>
      </c>
      <c r="AE77" s="25" t="str">
        <f aca="false">IF($A77="","",IF(AND(N(Actividades!$E39)&gt;0,AE$4&gt;=Actividades!$E39,MOD(AE$4-Actividades!$E39,IFERROR(VLOOKUP(Actividades!$D39,Listas!$A$2:$B$8,2,0),52))=0),"P",""))</f>
        <v/>
      </c>
      <c r="AF77" s="25" t="str">
        <f aca="false">IF($A77="","",IF(AND(N(Actividades!$E39)&gt;0,AF$4&gt;=Actividades!$E39,MOD(AF$4-Actividades!$E39,IFERROR(VLOOKUP(Actividades!$D39,Listas!$A$2:$B$8,2,0),52))=0),"P",""))</f>
        <v/>
      </c>
      <c r="AG77" s="25" t="str">
        <f aca="false">IF($A77="","",IF(AND(N(Actividades!$E39)&gt;0,AG$4&gt;=Actividades!$E39,MOD(AG$4-Actividades!$E39,IFERROR(VLOOKUP(Actividades!$D39,Listas!$A$2:$B$8,2,0),52))=0),"P",""))</f>
        <v/>
      </c>
      <c r="AH77" s="25" t="str">
        <f aca="false">IF($A77="","",IF(AND(N(Actividades!$E39)&gt;0,AH$4&gt;=Actividades!$E39,MOD(AH$4-Actividades!$E39,IFERROR(VLOOKUP(Actividades!$D39,Listas!$A$2:$B$8,2,0),52))=0),"P",""))</f>
        <v/>
      </c>
      <c r="AI77" s="25" t="str">
        <f aca="false">IF($A77="","",IF(AND(N(Actividades!$E39)&gt;0,AI$4&gt;=Actividades!$E39,MOD(AI$4-Actividades!$E39,IFERROR(VLOOKUP(Actividades!$D39,Listas!$A$2:$B$8,2,0),52))=0),"P",""))</f>
        <v/>
      </c>
      <c r="AJ77" s="25" t="str">
        <f aca="false">IF($A77="","",IF(AND(N(Actividades!$E39)&gt;0,AJ$4&gt;=Actividades!$E39,MOD(AJ$4-Actividades!$E39,IFERROR(VLOOKUP(Actividades!$D39,Listas!$A$2:$B$8,2,0),52))=0),"P",""))</f>
        <v/>
      </c>
      <c r="AK77" s="25" t="str">
        <f aca="false">IF($A77="","",IF(AND(N(Actividades!$E39)&gt;0,AK$4&gt;=Actividades!$E39,MOD(AK$4-Actividades!$E39,IFERROR(VLOOKUP(Actividades!$D39,Listas!$A$2:$B$8,2,0),52))=0),"P",""))</f>
        <v/>
      </c>
      <c r="AL77" s="25" t="str">
        <f aca="false">IF($A77="","",IF(AND(N(Actividades!$E39)&gt;0,AL$4&gt;=Actividades!$E39,MOD(AL$4-Actividades!$E39,IFERROR(VLOOKUP(Actividades!$D39,Listas!$A$2:$B$8,2,0),52))=0),"P",""))</f>
        <v/>
      </c>
      <c r="AM77" s="25" t="str">
        <f aca="false">IF($A77="","",IF(AND(N(Actividades!$E39)&gt;0,AM$4&gt;=Actividades!$E39,MOD(AM$4-Actividades!$E39,IFERROR(VLOOKUP(Actividades!$D39,Listas!$A$2:$B$8,2,0),52))=0),"P",""))</f>
        <v/>
      </c>
      <c r="AN77" s="25" t="str">
        <f aca="false">IF($A77="","",IF(AND(N(Actividades!$E39)&gt;0,AN$4&gt;=Actividades!$E39,MOD(AN$4-Actividades!$E39,IFERROR(VLOOKUP(Actividades!$D39,Listas!$A$2:$B$8,2,0),52))=0),"P",""))</f>
        <v/>
      </c>
      <c r="AO77" s="25" t="str">
        <f aca="false">IF($A77="","",IF(AND(N(Actividades!$E39)&gt;0,AO$4&gt;=Actividades!$E39,MOD(AO$4-Actividades!$E39,IFERROR(VLOOKUP(Actividades!$D39,Listas!$A$2:$B$8,2,0),52))=0),"P",""))</f>
        <v/>
      </c>
      <c r="AP77" s="25" t="str">
        <f aca="false">IF($A77="","",IF(AND(N(Actividades!$E39)&gt;0,AP$4&gt;=Actividades!$E39,MOD(AP$4-Actividades!$E39,IFERROR(VLOOKUP(Actividades!$D39,Listas!$A$2:$B$8,2,0),52))=0),"P",""))</f>
        <v/>
      </c>
      <c r="AQ77" s="25" t="str">
        <f aca="false">IF($A77="","",IF(AND(N(Actividades!$E39)&gt;0,AQ$4&gt;=Actividades!$E39,MOD(AQ$4-Actividades!$E39,IFERROR(VLOOKUP(Actividades!$D39,Listas!$A$2:$B$8,2,0),52))=0),"P",""))</f>
        <v/>
      </c>
      <c r="AR77" s="25" t="str">
        <f aca="false">IF($A77="","",IF(AND(N(Actividades!$E39)&gt;0,AR$4&gt;=Actividades!$E39,MOD(AR$4-Actividades!$E39,IFERROR(VLOOKUP(Actividades!$D39,Listas!$A$2:$B$8,2,0),52))=0),"P",""))</f>
        <v/>
      </c>
      <c r="AS77" s="25" t="str">
        <f aca="false">IF($A77="","",IF(AND(N(Actividades!$E39)&gt;0,AS$4&gt;=Actividades!$E39,MOD(AS$4-Actividades!$E39,IFERROR(VLOOKUP(Actividades!$D39,Listas!$A$2:$B$8,2,0),52))=0),"P",""))</f>
        <v/>
      </c>
      <c r="AT77" s="25" t="str">
        <f aca="false">IF($A77="","",IF(AND(N(Actividades!$E39)&gt;0,AT$4&gt;=Actividades!$E39,MOD(AT$4-Actividades!$E39,IFERROR(VLOOKUP(Actividades!$D39,Listas!$A$2:$B$8,2,0),52))=0),"P",""))</f>
        <v/>
      </c>
      <c r="AU77" s="25" t="str">
        <f aca="false">IF($A77="","",IF(AND(N(Actividades!$E39)&gt;0,AU$4&gt;=Actividades!$E39,MOD(AU$4-Actividades!$E39,IFERROR(VLOOKUP(Actividades!$D39,Listas!$A$2:$B$8,2,0),52))=0),"P",""))</f>
        <v/>
      </c>
      <c r="AV77" s="25" t="str">
        <f aca="false">IF($A77="","",IF(AND(N(Actividades!$E39)&gt;0,AV$4&gt;=Actividades!$E39,MOD(AV$4-Actividades!$E39,IFERROR(VLOOKUP(Actividades!$D39,Listas!$A$2:$B$8,2,0),52))=0),"P",""))</f>
        <v/>
      </c>
      <c r="AW77" s="25" t="str">
        <f aca="false">IF($A77="","",IF(AND(N(Actividades!$E39)&gt;0,AW$4&gt;=Actividades!$E39,MOD(AW$4-Actividades!$E39,IFERROR(VLOOKUP(Actividades!$D39,Listas!$A$2:$B$8,2,0),52))=0),"P",""))</f>
        <v/>
      </c>
      <c r="AX77" s="25" t="str">
        <f aca="false">IF($A77="","",IF(AND(N(Actividades!$E39)&gt;0,AX$4&gt;=Actividades!$E39,MOD(AX$4-Actividades!$E39,IFERROR(VLOOKUP(Actividades!$D39,Listas!$A$2:$B$8,2,0),52))=0),"P",""))</f>
        <v/>
      </c>
      <c r="AY77" s="25" t="str">
        <f aca="false">IF($A77="","",IF(AND(N(Actividades!$E39)&gt;0,AY$4&gt;=Actividades!$E39,MOD(AY$4-Actividades!$E39,IFERROR(VLOOKUP(Actividades!$D39,Listas!$A$2:$B$8,2,0),52))=0),"P",""))</f>
        <v/>
      </c>
      <c r="AZ77" s="25" t="str">
        <f aca="false">IF($A77="","",IF(AND(N(Actividades!$E39)&gt;0,AZ$4&gt;=Actividades!$E39,MOD(AZ$4-Actividades!$E39,IFERROR(VLOOKUP(Actividades!$D39,Listas!$A$2:$B$8,2,0),52))=0),"P",""))</f>
        <v/>
      </c>
      <c r="BA77" s="25" t="str">
        <f aca="false">IF($A77="","",IF(AND(N(Actividades!$E39)&gt;0,BA$4&gt;=Actividades!$E39,MOD(BA$4-Actividades!$E39,IFERROR(VLOOKUP(Actividades!$D39,Listas!$A$2:$B$8,2,0),52))=0),"P",""))</f>
        <v/>
      </c>
      <c r="BB77" s="25" t="str">
        <f aca="false">IF($A77="","",IF(AND(N(Actividades!$E39)&gt;0,BB$4&gt;=Actividades!$E39,MOD(BB$4-Actividades!$E39,IFERROR(VLOOKUP(Actividades!$D39,Listas!$A$2:$B$8,2,0),52))=0),"P",""))</f>
        <v/>
      </c>
      <c r="BC77" s="25" t="str">
        <f aca="false">IF($A77="","",IF(AND(N(Actividades!$E39)&gt;0,BC$4&gt;=Actividades!$E39,MOD(BC$4-Actividades!$E39,IFERROR(VLOOKUP(Actividades!$D39,Listas!$A$2:$B$8,2,0),52))=0),"P",""))</f>
        <v/>
      </c>
      <c r="BD77" s="26" t="str">
        <f aca="false">IF($A77="","",COUNTIF(D77:BC77,"P"))</f>
        <v/>
      </c>
      <c r="BE77" s="26" t="str">
        <f aca="false">IF($A77="","",SUMPRODUCT((D77:BC77="P")*(D78:BC78="✓")))</f>
        <v/>
      </c>
      <c r="BF77" s="27" t="str">
        <f aca="false">IF($A77="","",IF(BD77=0,"",BE77/BD77))</f>
        <v/>
      </c>
    </row>
    <row r="78" customFormat="false" ht="15" hidden="false" customHeight="false" outlineLevel="0" collapsed="false">
      <c r="A78" s="28"/>
      <c r="B78" s="28"/>
      <c r="C78" s="28" t="str">
        <f aca="false">IF($A77="","","Real")</f>
        <v/>
      </c>
      <c r="D78" s="29" t="str">
        <f aca="false">IF($A77="","",IF(COUNTIFS(Historial!$B$3:$B$502,$A77,Historial!$C$3:$C$502,$B77,Historial!$G$3:$G$502,D$4,Historial!$H$3:$H$502,$B$2)&gt;0,"✓",""))</f>
        <v/>
      </c>
      <c r="E78" s="29" t="str">
        <f aca="false">IF($A77="","",IF(COUNTIFS(Historial!$B$3:$B$502,$A77,Historial!$C$3:$C$502,$B77,Historial!$G$3:$G$502,E$4,Historial!$H$3:$H$502,$B$2)&gt;0,"✓",""))</f>
        <v/>
      </c>
      <c r="F78" s="29" t="str">
        <f aca="false">IF($A77="","",IF(COUNTIFS(Historial!$B$3:$B$502,$A77,Historial!$C$3:$C$502,$B77,Historial!$G$3:$G$502,F$4,Historial!$H$3:$H$502,$B$2)&gt;0,"✓",""))</f>
        <v/>
      </c>
      <c r="G78" s="29" t="str">
        <f aca="false">IF($A77="","",IF(COUNTIFS(Historial!$B$3:$B$502,$A77,Historial!$C$3:$C$502,$B77,Historial!$G$3:$G$502,G$4,Historial!$H$3:$H$502,$B$2)&gt;0,"✓",""))</f>
        <v/>
      </c>
      <c r="H78" s="29" t="str">
        <f aca="false">IF($A77="","",IF(COUNTIFS(Historial!$B$3:$B$502,$A77,Historial!$C$3:$C$502,$B77,Historial!$G$3:$G$502,H$4,Historial!$H$3:$H$502,$B$2)&gt;0,"✓",""))</f>
        <v/>
      </c>
      <c r="I78" s="29" t="str">
        <f aca="false">IF($A77="","",IF(COUNTIFS(Historial!$B$3:$B$502,$A77,Historial!$C$3:$C$502,$B77,Historial!$G$3:$G$502,I$4,Historial!$H$3:$H$502,$B$2)&gt;0,"✓",""))</f>
        <v/>
      </c>
      <c r="J78" s="29" t="str">
        <f aca="false">IF($A77="","",IF(COUNTIFS(Historial!$B$3:$B$502,$A77,Historial!$C$3:$C$502,$B77,Historial!$G$3:$G$502,J$4,Historial!$H$3:$H$502,$B$2)&gt;0,"✓",""))</f>
        <v/>
      </c>
      <c r="K78" s="29" t="str">
        <f aca="false">IF($A77="","",IF(COUNTIFS(Historial!$B$3:$B$502,$A77,Historial!$C$3:$C$502,$B77,Historial!$G$3:$G$502,K$4,Historial!$H$3:$H$502,$B$2)&gt;0,"✓",""))</f>
        <v/>
      </c>
      <c r="L78" s="29" t="str">
        <f aca="false">IF($A77="","",IF(COUNTIFS(Historial!$B$3:$B$502,$A77,Historial!$C$3:$C$502,$B77,Historial!$G$3:$G$502,L$4,Historial!$H$3:$H$502,$B$2)&gt;0,"✓",""))</f>
        <v/>
      </c>
      <c r="M78" s="29" t="str">
        <f aca="false">IF($A77="","",IF(COUNTIFS(Historial!$B$3:$B$502,$A77,Historial!$C$3:$C$502,$B77,Historial!$G$3:$G$502,M$4,Historial!$H$3:$H$502,$B$2)&gt;0,"✓",""))</f>
        <v/>
      </c>
      <c r="N78" s="29" t="str">
        <f aca="false">IF($A77="","",IF(COUNTIFS(Historial!$B$3:$B$502,$A77,Historial!$C$3:$C$502,$B77,Historial!$G$3:$G$502,N$4,Historial!$H$3:$H$502,$B$2)&gt;0,"✓",""))</f>
        <v/>
      </c>
      <c r="O78" s="29" t="str">
        <f aca="false">IF($A77="","",IF(COUNTIFS(Historial!$B$3:$B$502,$A77,Historial!$C$3:$C$502,$B77,Historial!$G$3:$G$502,O$4,Historial!$H$3:$H$502,$B$2)&gt;0,"✓",""))</f>
        <v/>
      </c>
      <c r="P78" s="29" t="str">
        <f aca="false">IF($A77="","",IF(COUNTIFS(Historial!$B$3:$B$502,$A77,Historial!$C$3:$C$502,$B77,Historial!$G$3:$G$502,P$4,Historial!$H$3:$H$502,$B$2)&gt;0,"✓",""))</f>
        <v/>
      </c>
      <c r="Q78" s="29" t="str">
        <f aca="false">IF($A77="","",IF(COUNTIFS(Historial!$B$3:$B$502,$A77,Historial!$C$3:$C$502,$B77,Historial!$G$3:$G$502,Q$4,Historial!$H$3:$H$502,$B$2)&gt;0,"✓",""))</f>
        <v/>
      </c>
      <c r="R78" s="29" t="str">
        <f aca="false">IF($A77="","",IF(COUNTIFS(Historial!$B$3:$B$502,$A77,Historial!$C$3:$C$502,$B77,Historial!$G$3:$G$502,R$4,Historial!$H$3:$H$502,$B$2)&gt;0,"✓",""))</f>
        <v/>
      </c>
      <c r="S78" s="29" t="str">
        <f aca="false">IF($A77="","",IF(COUNTIFS(Historial!$B$3:$B$502,$A77,Historial!$C$3:$C$502,$B77,Historial!$G$3:$G$502,S$4,Historial!$H$3:$H$502,$B$2)&gt;0,"✓",""))</f>
        <v/>
      </c>
      <c r="T78" s="29" t="str">
        <f aca="false">IF($A77="","",IF(COUNTIFS(Historial!$B$3:$B$502,$A77,Historial!$C$3:$C$502,$B77,Historial!$G$3:$G$502,T$4,Historial!$H$3:$H$502,$B$2)&gt;0,"✓",""))</f>
        <v/>
      </c>
      <c r="U78" s="29" t="str">
        <f aca="false">IF($A77="","",IF(COUNTIFS(Historial!$B$3:$B$502,$A77,Historial!$C$3:$C$502,$B77,Historial!$G$3:$G$502,U$4,Historial!$H$3:$H$502,$B$2)&gt;0,"✓",""))</f>
        <v/>
      </c>
      <c r="V78" s="29" t="str">
        <f aca="false">IF($A77="","",IF(COUNTIFS(Historial!$B$3:$B$502,$A77,Historial!$C$3:$C$502,$B77,Historial!$G$3:$G$502,V$4,Historial!$H$3:$H$502,$B$2)&gt;0,"✓",""))</f>
        <v/>
      </c>
      <c r="W78" s="29" t="str">
        <f aca="false">IF($A77="","",IF(COUNTIFS(Historial!$B$3:$B$502,$A77,Historial!$C$3:$C$502,$B77,Historial!$G$3:$G$502,W$4,Historial!$H$3:$H$502,$B$2)&gt;0,"✓",""))</f>
        <v/>
      </c>
      <c r="X78" s="29" t="str">
        <f aca="false">IF($A77="","",IF(COUNTIFS(Historial!$B$3:$B$502,$A77,Historial!$C$3:$C$502,$B77,Historial!$G$3:$G$502,X$4,Historial!$H$3:$H$502,$B$2)&gt;0,"✓",""))</f>
        <v/>
      </c>
      <c r="Y78" s="29" t="str">
        <f aca="false">IF($A77="","",IF(COUNTIFS(Historial!$B$3:$B$502,$A77,Historial!$C$3:$C$502,$B77,Historial!$G$3:$G$502,Y$4,Historial!$H$3:$H$502,$B$2)&gt;0,"✓",""))</f>
        <v/>
      </c>
      <c r="Z78" s="29" t="str">
        <f aca="false">IF($A77="","",IF(COUNTIFS(Historial!$B$3:$B$502,$A77,Historial!$C$3:$C$502,$B77,Historial!$G$3:$G$502,Z$4,Historial!$H$3:$H$502,$B$2)&gt;0,"✓",""))</f>
        <v/>
      </c>
      <c r="AA78" s="29" t="str">
        <f aca="false">IF($A77="","",IF(COUNTIFS(Historial!$B$3:$B$502,$A77,Historial!$C$3:$C$502,$B77,Historial!$G$3:$G$502,AA$4,Historial!$H$3:$H$502,$B$2)&gt;0,"✓",""))</f>
        <v/>
      </c>
      <c r="AB78" s="29" t="str">
        <f aca="false">IF($A77="","",IF(COUNTIFS(Historial!$B$3:$B$502,$A77,Historial!$C$3:$C$502,$B77,Historial!$G$3:$G$502,AB$4,Historial!$H$3:$H$502,$B$2)&gt;0,"✓",""))</f>
        <v/>
      </c>
      <c r="AC78" s="29" t="str">
        <f aca="false">IF($A77="","",IF(COUNTIFS(Historial!$B$3:$B$502,$A77,Historial!$C$3:$C$502,$B77,Historial!$G$3:$G$502,AC$4,Historial!$H$3:$H$502,$B$2)&gt;0,"✓",""))</f>
        <v/>
      </c>
      <c r="AD78" s="29" t="str">
        <f aca="false">IF($A77="","",IF(COUNTIFS(Historial!$B$3:$B$502,$A77,Historial!$C$3:$C$502,$B77,Historial!$G$3:$G$502,AD$4,Historial!$H$3:$H$502,$B$2)&gt;0,"✓",""))</f>
        <v/>
      </c>
      <c r="AE78" s="29" t="str">
        <f aca="false">IF($A77="","",IF(COUNTIFS(Historial!$B$3:$B$502,$A77,Historial!$C$3:$C$502,$B77,Historial!$G$3:$G$502,AE$4,Historial!$H$3:$H$502,$B$2)&gt;0,"✓",""))</f>
        <v/>
      </c>
      <c r="AF78" s="29" t="str">
        <f aca="false">IF($A77="","",IF(COUNTIFS(Historial!$B$3:$B$502,$A77,Historial!$C$3:$C$502,$B77,Historial!$G$3:$G$502,AF$4,Historial!$H$3:$H$502,$B$2)&gt;0,"✓",""))</f>
        <v/>
      </c>
      <c r="AG78" s="29" t="str">
        <f aca="false">IF($A77="","",IF(COUNTIFS(Historial!$B$3:$B$502,$A77,Historial!$C$3:$C$502,$B77,Historial!$G$3:$G$502,AG$4,Historial!$H$3:$H$502,$B$2)&gt;0,"✓",""))</f>
        <v/>
      </c>
      <c r="AH78" s="29" t="str">
        <f aca="false">IF($A77="","",IF(COUNTIFS(Historial!$B$3:$B$502,$A77,Historial!$C$3:$C$502,$B77,Historial!$G$3:$G$502,AH$4,Historial!$H$3:$H$502,$B$2)&gt;0,"✓",""))</f>
        <v/>
      </c>
      <c r="AI78" s="29" t="str">
        <f aca="false">IF($A77="","",IF(COUNTIFS(Historial!$B$3:$B$502,$A77,Historial!$C$3:$C$502,$B77,Historial!$G$3:$G$502,AI$4,Historial!$H$3:$H$502,$B$2)&gt;0,"✓",""))</f>
        <v/>
      </c>
      <c r="AJ78" s="29" t="str">
        <f aca="false">IF($A77="","",IF(COUNTIFS(Historial!$B$3:$B$502,$A77,Historial!$C$3:$C$502,$B77,Historial!$G$3:$G$502,AJ$4,Historial!$H$3:$H$502,$B$2)&gt;0,"✓",""))</f>
        <v/>
      </c>
      <c r="AK78" s="29" t="str">
        <f aca="false">IF($A77="","",IF(COUNTIFS(Historial!$B$3:$B$502,$A77,Historial!$C$3:$C$502,$B77,Historial!$G$3:$G$502,AK$4,Historial!$H$3:$H$502,$B$2)&gt;0,"✓",""))</f>
        <v/>
      </c>
      <c r="AL78" s="29" t="str">
        <f aca="false">IF($A77="","",IF(COUNTIFS(Historial!$B$3:$B$502,$A77,Historial!$C$3:$C$502,$B77,Historial!$G$3:$G$502,AL$4,Historial!$H$3:$H$502,$B$2)&gt;0,"✓",""))</f>
        <v/>
      </c>
      <c r="AM78" s="29" t="str">
        <f aca="false">IF($A77="","",IF(COUNTIFS(Historial!$B$3:$B$502,$A77,Historial!$C$3:$C$502,$B77,Historial!$G$3:$G$502,AM$4,Historial!$H$3:$H$502,$B$2)&gt;0,"✓",""))</f>
        <v/>
      </c>
      <c r="AN78" s="29" t="str">
        <f aca="false">IF($A77="","",IF(COUNTIFS(Historial!$B$3:$B$502,$A77,Historial!$C$3:$C$502,$B77,Historial!$G$3:$G$502,AN$4,Historial!$H$3:$H$502,$B$2)&gt;0,"✓",""))</f>
        <v/>
      </c>
      <c r="AO78" s="29" t="str">
        <f aca="false">IF($A77="","",IF(COUNTIFS(Historial!$B$3:$B$502,$A77,Historial!$C$3:$C$502,$B77,Historial!$G$3:$G$502,AO$4,Historial!$H$3:$H$502,$B$2)&gt;0,"✓",""))</f>
        <v/>
      </c>
      <c r="AP78" s="29" t="str">
        <f aca="false">IF($A77="","",IF(COUNTIFS(Historial!$B$3:$B$502,$A77,Historial!$C$3:$C$502,$B77,Historial!$G$3:$G$502,AP$4,Historial!$H$3:$H$502,$B$2)&gt;0,"✓",""))</f>
        <v/>
      </c>
      <c r="AQ78" s="29" t="str">
        <f aca="false">IF($A77="","",IF(COUNTIFS(Historial!$B$3:$B$502,$A77,Historial!$C$3:$C$502,$B77,Historial!$G$3:$G$502,AQ$4,Historial!$H$3:$H$502,$B$2)&gt;0,"✓",""))</f>
        <v/>
      </c>
      <c r="AR78" s="29" t="str">
        <f aca="false">IF($A77="","",IF(COUNTIFS(Historial!$B$3:$B$502,$A77,Historial!$C$3:$C$502,$B77,Historial!$G$3:$G$502,AR$4,Historial!$H$3:$H$502,$B$2)&gt;0,"✓",""))</f>
        <v/>
      </c>
      <c r="AS78" s="29" t="str">
        <f aca="false">IF($A77="","",IF(COUNTIFS(Historial!$B$3:$B$502,$A77,Historial!$C$3:$C$502,$B77,Historial!$G$3:$G$502,AS$4,Historial!$H$3:$H$502,$B$2)&gt;0,"✓",""))</f>
        <v/>
      </c>
      <c r="AT78" s="29" t="str">
        <f aca="false">IF($A77="","",IF(COUNTIFS(Historial!$B$3:$B$502,$A77,Historial!$C$3:$C$502,$B77,Historial!$G$3:$G$502,AT$4,Historial!$H$3:$H$502,$B$2)&gt;0,"✓",""))</f>
        <v/>
      </c>
      <c r="AU78" s="29" t="str">
        <f aca="false">IF($A77="","",IF(COUNTIFS(Historial!$B$3:$B$502,$A77,Historial!$C$3:$C$502,$B77,Historial!$G$3:$G$502,AU$4,Historial!$H$3:$H$502,$B$2)&gt;0,"✓",""))</f>
        <v/>
      </c>
      <c r="AV78" s="29" t="str">
        <f aca="false">IF($A77="","",IF(COUNTIFS(Historial!$B$3:$B$502,$A77,Historial!$C$3:$C$502,$B77,Historial!$G$3:$G$502,AV$4,Historial!$H$3:$H$502,$B$2)&gt;0,"✓",""))</f>
        <v/>
      </c>
      <c r="AW78" s="29" t="str">
        <f aca="false">IF($A77="","",IF(COUNTIFS(Historial!$B$3:$B$502,$A77,Historial!$C$3:$C$502,$B77,Historial!$G$3:$G$502,AW$4,Historial!$H$3:$H$502,$B$2)&gt;0,"✓",""))</f>
        <v/>
      </c>
      <c r="AX78" s="29" t="str">
        <f aca="false">IF($A77="","",IF(COUNTIFS(Historial!$B$3:$B$502,$A77,Historial!$C$3:$C$502,$B77,Historial!$G$3:$G$502,AX$4,Historial!$H$3:$H$502,$B$2)&gt;0,"✓",""))</f>
        <v/>
      </c>
      <c r="AY78" s="29" t="str">
        <f aca="false">IF($A77="","",IF(COUNTIFS(Historial!$B$3:$B$502,$A77,Historial!$C$3:$C$502,$B77,Historial!$G$3:$G$502,AY$4,Historial!$H$3:$H$502,$B$2)&gt;0,"✓",""))</f>
        <v/>
      </c>
      <c r="AZ78" s="29" t="str">
        <f aca="false">IF($A77="","",IF(COUNTIFS(Historial!$B$3:$B$502,$A77,Historial!$C$3:$C$502,$B77,Historial!$G$3:$G$502,AZ$4,Historial!$H$3:$H$502,$B$2)&gt;0,"✓",""))</f>
        <v/>
      </c>
      <c r="BA78" s="29" t="str">
        <f aca="false">IF($A77="","",IF(COUNTIFS(Historial!$B$3:$B$502,$A77,Historial!$C$3:$C$502,$B77,Historial!$G$3:$G$502,BA$4,Historial!$H$3:$H$502,$B$2)&gt;0,"✓",""))</f>
        <v/>
      </c>
      <c r="BB78" s="29" t="str">
        <f aca="false">IF($A77="","",IF(COUNTIFS(Historial!$B$3:$B$502,$A77,Historial!$C$3:$C$502,$B77,Historial!$G$3:$G$502,BB$4,Historial!$H$3:$H$502,$B$2)&gt;0,"✓",""))</f>
        <v/>
      </c>
      <c r="BC78" s="29" t="str">
        <f aca="false">IF($A77="","",IF(COUNTIFS(Historial!$B$3:$B$502,$A77,Historial!$C$3:$C$502,$B77,Historial!$G$3:$G$502,BC$4,Historial!$H$3:$H$502,$B$2)&gt;0,"✓",""))</f>
        <v/>
      </c>
      <c r="BD78" s="29"/>
      <c r="BE78" s="29"/>
      <c r="BF78" s="29"/>
    </row>
    <row r="79" customFormat="false" ht="15" hidden="false" customHeight="false" outlineLevel="0" collapsed="false">
      <c r="A79" s="24" t="str">
        <f aca="false">IF(Actividades!$B40="","",Actividades!$B40)</f>
        <v/>
      </c>
      <c r="B79" s="24" t="str">
        <f aca="false">IF(Actividades!$C40="","",Actividades!$C40)</f>
        <v/>
      </c>
      <c r="C79" s="24" t="str">
        <f aca="false">IF($A79="","","Plan")</f>
        <v/>
      </c>
      <c r="D79" s="25" t="str">
        <f aca="false">IF($A79="","",IF(AND(N(Actividades!$E40)&gt;0,D$4&gt;=Actividades!$E40,MOD(D$4-Actividades!$E40,IFERROR(VLOOKUP(Actividades!$D40,Listas!$A$2:$B$8,2,0),52))=0),"P",""))</f>
        <v/>
      </c>
      <c r="E79" s="25" t="str">
        <f aca="false">IF($A79="","",IF(AND(N(Actividades!$E40)&gt;0,E$4&gt;=Actividades!$E40,MOD(E$4-Actividades!$E40,IFERROR(VLOOKUP(Actividades!$D40,Listas!$A$2:$B$8,2,0),52))=0),"P",""))</f>
        <v/>
      </c>
      <c r="F79" s="25" t="str">
        <f aca="false">IF($A79="","",IF(AND(N(Actividades!$E40)&gt;0,F$4&gt;=Actividades!$E40,MOD(F$4-Actividades!$E40,IFERROR(VLOOKUP(Actividades!$D40,Listas!$A$2:$B$8,2,0),52))=0),"P",""))</f>
        <v/>
      </c>
      <c r="G79" s="25" t="str">
        <f aca="false">IF($A79="","",IF(AND(N(Actividades!$E40)&gt;0,G$4&gt;=Actividades!$E40,MOD(G$4-Actividades!$E40,IFERROR(VLOOKUP(Actividades!$D40,Listas!$A$2:$B$8,2,0),52))=0),"P",""))</f>
        <v/>
      </c>
      <c r="H79" s="25" t="str">
        <f aca="false">IF($A79="","",IF(AND(N(Actividades!$E40)&gt;0,H$4&gt;=Actividades!$E40,MOD(H$4-Actividades!$E40,IFERROR(VLOOKUP(Actividades!$D40,Listas!$A$2:$B$8,2,0),52))=0),"P",""))</f>
        <v/>
      </c>
      <c r="I79" s="25" t="str">
        <f aca="false">IF($A79="","",IF(AND(N(Actividades!$E40)&gt;0,I$4&gt;=Actividades!$E40,MOD(I$4-Actividades!$E40,IFERROR(VLOOKUP(Actividades!$D40,Listas!$A$2:$B$8,2,0),52))=0),"P",""))</f>
        <v/>
      </c>
      <c r="J79" s="25" t="str">
        <f aca="false">IF($A79="","",IF(AND(N(Actividades!$E40)&gt;0,J$4&gt;=Actividades!$E40,MOD(J$4-Actividades!$E40,IFERROR(VLOOKUP(Actividades!$D40,Listas!$A$2:$B$8,2,0),52))=0),"P",""))</f>
        <v/>
      </c>
      <c r="K79" s="25" t="str">
        <f aca="false">IF($A79="","",IF(AND(N(Actividades!$E40)&gt;0,K$4&gt;=Actividades!$E40,MOD(K$4-Actividades!$E40,IFERROR(VLOOKUP(Actividades!$D40,Listas!$A$2:$B$8,2,0),52))=0),"P",""))</f>
        <v/>
      </c>
      <c r="L79" s="25" t="str">
        <f aca="false">IF($A79="","",IF(AND(N(Actividades!$E40)&gt;0,L$4&gt;=Actividades!$E40,MOD(L$4-Actividades!$E40,IFERROR(VLOOKUP(Actividades!$D40,Listas!$A$2:$B$8,2,0),52))=0),"P",""))</f>
        <v/>
      </c>
      <c r="M79" s="25" t="str">
        <f aca="false">IF($A79="","",IF(AND(N(Actividades!$E40)&gt;0,M$4&gt;=Actividades!$E40,MOD(M$4-Actividades!$E40,IFERROR(VLOOKUP(Actividades!$D40,Listas!$A$2:$B$8,2,0),52))=0),"P",""))</f>
        <v/>
      </c>
      <c r="N79" s="25" t="str">
        <f aca="false">IF($A79="","",IF(AND(N(Actividades!$E40)&gt;0,N$4&gt;=Actividades!$E40,MOD(N$4-Actividades!$E40,IFERROR(VLOOKUP(Actividades!$D40,Listas!$A$2:$B$8,2,0),52))=0),"P",""))</f>
        <v/>
      </c>
      <c r="O79" s="25" t="str">
        <f aca="false">IF($A79="","",IF(AND(N(Actividades!$E40)&gt;0,O$4&gt;=Actividades!$E40,MOD(O$4-Actividades!$E40,IFERROR(VLOOKUP(Actividades!$D40,Listas!$A$2:$B$8,2,0),52))=0),"P",""))</f>
        <v/>
      </c>
      <c r="P79" s="25" t="str">
        <f aca="false">IF($A79="","",IF(AND(N(Actividades!$E40)&gt;0,P$4&gt;=Actividades!$E40,MOD(P$4-Actividades!$E40,IFERROR(VLOOKUP(Actividades!$D40,Listas!$A$2:$B$8,2,0),52))=0),"P",""))</f>
        <v/>
      </c>
      <c r="Q79" s="25" t="str">
        <f aca="false">IF($A79="","",IF(AND(N(Actividades!$E40)&gt;0,Q$4&gt;=Actividades!$E40,MOD(Q$4-Actividades!$E40,IFERROR(VLOOKUP(Actividades!$D40,Listas!$A$2:$B$8,2,0),52))=0),"P",""))</f>
        <v/>
      </c>
      <c r="R79" s="25" t="str">
        <f aca="false">IF($A79="","",IF(AND(N(Actividades!$E40)&gt;0,R$4&gt;=Actividades!$E40,MOD(R$4-Actividades!$E40,IFERROR(VLOOKUP(Actividades!$D40,Listas!$A$2:$B$8,2,0),52))=0),"P",""))</f>
        <v/>
      </c>
      <c r="S79" s="25" t="str">
        <f aca="false">IF($A79="","",IF(AND(N(Actividades!$E40)&gt;0,S$4&gt;=Actividades!$E40,MOD(S$4-Actividades!$E40,IFERROR(VLOOKUP(Actividades!$D40,Listas!$A$2:$B$8,2,0),52))=0),"P",""))</f>
        <v/>
      </c>
      <c r="T79" s="25" t="str">
        <f aca="false">IF($A79="","",IF(AND(N(Actividades!$E40)&gt;0,T$4&gt;=Actividades!$E40,MOD(T$4-Actividades!$E40,IFERROR(VLOOKUP(Actividades!$D40,Listas!$A$2:$B$8,2,0),52))=0),"P",""))</f>
        <v/>
      </c>
      <c r="U79" s="25" t="str">
        <f aca="false">IF($A79="","",IF(AND(N(Actividades!$E40)&gt;0,U$4&gt;=Actividades!$E40,MOD(U$4-Actividades!$E40,IFERROR(VLOOKUP(Actividades!$D40,Listas!$A$2:$B$8,2,0),52))=0),"P",""))</f>
        <v/>
      </c>
      <c r="V79" s="25" t="str">
        <f aca="false">IF($A79="","",IF(AND(N(Actividades!$E40)&gt;0,V$4&gt;=Actividades!$E40,MOD(V$4-Actividades!$E40,IFERROR(VLOOKUP(Actividades!$D40,Listas!$A$2:$B$8,2,0),52))=0),"P",""))</f>
        <v/>
      </c>
      <c r="W79" s="25" t="str">
        <f aca="false">IF($A79="","",IF(AND(N(Actividades!$E40)&gt;0,W$4&gt;=Actividades!$E40,MOD(W$4-Actividades!$E40,IFERROR(VLOOKUP(Actividades!$D40,Listas!$A$2:$B$8,2,0),52))=0),"P",""))</f>
        <v/>
      </c>
      <c r="X79" s="25" t="str">
        <f aca="false">IF($A79="","",IF(AND(N(Actividades!$E40)&gt;0,X$4&gt;=Actividades!$E40,MOD(X$4-Actividades!$E40,IFERROR(VLOOKUP(Actividades!$D40,Listas!$A$2:$B$8,2,0),52))=0),"P",""))</f>
        <v/>
      </c>
      <c r="Y79" s="25" t="str">
        <f aca="false">IF($A79="","",IF(AND(N(Actividades!$E40)&gt;0,Y$4&gt;=Actividades!$E40,MOD(Y$4-Actividades!$E40,IFERROR(VLOOKUP(Actividades!$D40,Listas!$A$2:$B$8,2,0),52))=0),"P",""))</f>
        <v/>
      </c>
      <c r="Z79" s="25" t="str">
        <f aca="false">IF($A79="","",IF(AND(N(Actividades!$E40)&gt;0,Z$4&gt;=Actividades!$E40,MOD(Z$4-Actividades!$E40,IFERROR(VLOOKUP(Actividades!$D40,Listas!$A$2:$B$8,2,0),52))=0),"P",""))</f>
        <v/>
      </c>
      <c r="AA79" s="25" t="str">
        <f aca="false">IF($A79="","",IF(AND(N(Actividades!$E40)&gt;0,AA$4&gt;=Actividades!$E40,MOD(AA$4-Actividades!$E40,IFERROR(VLOOKUP(Actividades!$D40,Listas!$A$2:$B$8,2,0),52))=0),"P",""))</f>
        <v/>
      </c>
      <c r="AB79" s="25" t="str">
        <f aca="false">IF($A79="","",IF(AND(N(Actividades!$E40)&gt;0,AB$4&gt;=Actividades!$E40,MOD(AB$4-Actividades!$E40,IFERROR(VLOOKUP(Actividades!$D40,Listas!$A$2:$B$8,2,0),52))=0),"P",""))</f>
        <v/>
      </c>
      <c r="AC79" s="25" t="str">
        <f aca="false">IF($A79="","",IF(AND(N(Actividades!$E40)&gt;0,AC$4&gt;=Actividades!$E40,MOD(AC$4-Actividades!$E40,IFERROR(VLOOKUP(Actividades!$D40,Listas!$A$2:$B$8,2,0),52))=0),"P",""))</f>
        <v/>
      </c>
      <c r="AD79" s="25" t="str">
        <f aca="false">IF($A79="","",IF(AND(N(Actividades!$E40)&gt;0,AD$4&gt;=Actividades!$E40,MOD(AD$4-Actividades!$E40,IFERROR(VLOOKUP(Actividades!$D40,Listas!$A$2:$B$8,2,0),52))=0),"P",""))</f>
        <v/>
      </c>
      <c r="AE79" s="25" t="str">
        <f aca="false">IF($A79="","",IF(AND(N(Actividades!$E40)&gt;0,AE$4&gt;=Actividades!$E40,MOD(AE$4-Actividades!$E40,IFERROR(VLOOKUP(Actividades!$D40,Listas!$A$2:$B$8,2,0),52))=0),"P",""))</f>
        <v/>
      </c>
      <c r="AF79" s="25" t="str">
        <f aca="false">IF($A79="","",IF(AND(N(Actividades!$E40)&gt;0,AF$4&gt;=Actividades!$E40,MOD(AF$4-Actividades!$E40,IFERROR(VLOOKUP(Actividades!$D40,Listas!$A$2:$B$8,2,0),52))=0),"P",""))</f>
        <v/>
      </c>
      <c r="AG79" s="25" t="str">
        <f aca="false">IF($A79="","",IF(AND(N(Actividades!$E40)&gt;0,AG$4&gt;=Actividades!$E40,MOD(AG$4-Actividades!$E40,IFERROR(VLOOKUP(Actividades!$D40,Listas!$A$2:$B$8,2,0),52))=0),"P",""))</f>
        <v/>
      </c>
      <c r="AH79" s="25" t="str">
        <f aca="false">IF($A79="","",IF(AND(N(Actividades!$E40)&gt;0,AH$4&gt;=Actividades!$E40,MOD(AH$4-Actividades!$E40,IFERROR(VLOOKUP(Actividades!$D40,Listas!$A$2:$B$8,2,0),52))=0),"P",""))</f>
        <v/>
      </c>
      <c r="AI79" s="25" t="str">
        <f aca="false">IF($A79="","",IF(AND(N(Actividades!$E40)&gt;0,AI$4&gt;=Actividades!$E40,MOD(AI$4-Actividades!$E40,IFERROR(VLOOKUP(Actividades!$D40,Listas!$A$2:$B$8,2,0),52))=0),"P",""))</f>
        <v/>
      </c>
      <c r="AJ79" s="25" t="str">
        <f aca="false">IF($A79="","",IF(AND(N(Actividades!$E40)&gt;0,AJ$4&gt;=Actividades!$E40,MOD(AJ$4-Actividades!$E40,IFERROR(VLOOKUP(Actividades!$D40,Listas!$A$2:$B$8,2,0),52))=0),"P",""))</f>
        <v/>
      </c>
      <c r="AK79" s="25" t="str">
        <f aca="false">IF($A79="","",IF(AND(N(Actividades!$E40)&gt;0,AK$4&gt;=Actividades!$E40,MOD(AK$4-Actividades!$E40,IFERROR(VLOOKUP(Actividades!$D40,Listas!$A$2:$B$8,2,0),52))=0),"P",""))</f>
        <v/>
      </c>
      <c r="AL79" s="25" t="str">
        <f aca="false">IF($A79="","",IF(AND(N(Actividades!$E40)&gt;0,AL$4&gt;=Actividades!$E40,MOD(AL$4-Actividades!$E40,IFERROR(VLOOKUP(Actividades!$D40,Listas!$A$2:$B$8,2,0),52))=0),"P",""))</f>
        <v/>
      </c>
      <c r="AM79" s="25" t="str">
        <f aca="false">IF($A79="","",IF(AND(N(Actividades!$E40)&gt;0,AM$4&gt;=Actividades!$E40,MOD(AM$4-Actividades!$E40,IFERROR(VLOOKUP(Actividades!$D40,Listas!$A$2:$B$8,2,0),52))=0),"P",""))</f>
        <v/>
      </c>
      <c r="AN79" s="25" t="str">
        <f aca="false">IF($A79="","",IF(AND(N(Actividades!$E40)&gt;0,AN$4&gt;=Actividades!$E40,MOD(AN$4-Actividades!$E40,IFERROR(VLOOKUP(Actividades!$D40,Listas!$A$2:$B$8,2,0),52))=0),"P",""))</f>
        <v/>
      </c>
      <c r="AO79" s="25" t="str">
        <f aca="false">IF($A79="","",IF(AND(N(Actividades!$E40)&gt;0,AO$4&gt;=Actividades!$E40,MOD(AO$4-Actividades!$E40,IFERROR(VLOOKUP(Actividades!$D40,Listas!$A$2:$B$8,2,0),52))=0),"P",""))</f>
        <v/>
      </c>
      <c r="AP79" s="25" t="str">
        <f aca="false">IF($A79="","",IF(AND(N(Actividades!$E40)&gt;0,AP$4&gt;=Actividades!$E40,MOD(AP$4-Actividades!$E40,IFERROR(VLOOKUP(Actividades!$D40,Listas!$A$2:$B$8,2,0),52))=0),"P",""))</f>
        <v/>
      </c>
      <c r="AQ79" s="25" t="str">
        <f aca="false">IF($A79="","",IF(AND(N(Actividades!$E40)&gt;0,AQ$4&gt;=Actividades!$E40,MOD(AQ$4-Actividades!$E40,IFERROR(VLOOKUP(Actividades!$D40,Listas!$A$2:$B$8,2,0),52))=0),"P",""))</f>
        <v/>
      </c>
      <c r="AR79" s="25" t="str">
        <f aca="false">IF($A79="","",IF(AND(N(Actividades!$E40)&gt;0,AR$4&gt;=Actividades!$E40,MOD(AR$4-Actividades!$E40,IFERROR(VLOOKUP(Actividades!$D40,Listas!$A$2:$B$8,2,0),52))=0),"P",""))</f>
        <v/>
      </c>
      <c r="AS79" s="25" t="str">
        <f aca="false">IF($A79="","",IF(AND(N(Actividades!$E40)&gt;0,AS$4&gt;=Actividades!$E40,MOD(AS$4-Actividades!$E40,IFERROR(VLOOKUP(Actividades!$D40,Listas!$A$2:$B$8,2,0),52))=0),"P",""))</f>
        <v/>
      </c>
      <c r="AT79" s="25" t="str">
        <f aca="false">IF($A79="","",IF(AND(N(Actividades!$E40)&gt;0,AT$4&gt;=Actividades!$E40,MOD(AT$4-Actividades!$E40,IFERROR(VLOOKUP(Actividades!$D40,Listas!$A$2:$B$8,2,0),52))=0),"P",""))</f>
        <v/>
      </c>
      <c r="AU79" s="25" t="str">
        <f aca="false">IF($A79="","",IF(AND(N(Actividades!$E40)&gt;0,AU$4&gt;=Actividades!$E40,MOD(AU$4-Actividades!$E40,IFERROR(VLOOKUP(Actividades!$D40,Listas!$A$2:$B$8,2,0),52))=0),"P",""))</f>
        <v/>
      </c>
      <c r="AV79" s="25" t="str">
        <f aca="false">IF($A79="","",IF(AND(N(Actividades!$E40)&gt;0,AV$4&gt;=Actividades!$E40,MOD(AV$4-Actividades!$E40,IFERROR(VLOOKUP(Actividades!$D40,Listas!$A$2:$B$8,2,0),52))=0),"P",""))</f>
        <v/>
      </c>
      <c r="AW79" s="25" t="str">
        <f aca="false">IF($A79="","",IF(AND(N(Actividades!$E40)&gt;0,AW$4&gt;=Actividades!$E40,MOD(AW$4-Actividades!$E40,IFERROR(VLOOKUP(Actividades!$D40,Listas!$A$2:$B$8,2,0),52))=0),"P",""))</f>
        <v/>
      </c>
      <c r="AX79" s="25" t="str">
        <f aca="false">IF($A79="","",IF(AND(N(Actividades!$E40)&gt;0,AX$4&gt;=Actividades!$E40,MOD(AX$4-Actividades!$E40,IFERROR(VLOOKUP(Actividades!$D40,Listas!$A$2:$B$8,2,0),52))=0),"P",""))</f>
        <v/>
      </c>
      <c r="AY79" s="25" t="str">
        <f aca="false">IF($A79="","",IF(AND(N(Actividades!$E40)&gt;0,AY$4&gt;=Actividades!$E40,MOD(AY$4-Actividades!$E40,IFERROR(VLOOKUP(Actividades!$D40,Listas!$A$2:$B$8,2,0),52))=0),"P",""))</f>
        <v/>
      </c>
      <c r="AZ79" s="25" t="str">
        <f aca="false">IF($A79="","",IF(AND(N(Actividades!$E40)&gt;0,AZ$4&gt;=Actividades!$E40,MOD(AZ$4-Actividades!$E40,IFERROR(VLOOKUP(Actividades!$D40,Listas!$A$2:$B$8,2,0),52))=0),"P",""))</f>
        <v/>
      </c>
      <c r="BA79" s="25" t="str">
        <f aca="false">IF($A79="","",IF(AND(N(Actividades!$E40)&gt;0,BA$4&gt;=Actividades!$E40,MOD(BA$4-Actividades!$E40,IFERROR(VLOOKUP(Actividades!$D40,Listas!$A$2:$B$8,2,0),52))=0),"P",""))</f>
        <v/>
      </c>
      <c r="BB79" s="25" t="str">
        <f aca="false">IF($A79="","",IF(AND(N(Actividades!$E40)&gt;0,BB$4&gt;=Actividades!$E40,MOD(BB$4-Actividades!$E40,IFERROR(VLOOKUP(Actividades!$D40,Listas!$A$2:$B$8,2,0),52))=0),"P",""))</f>
        <v/>
      </c>
      <c r="BC79" s="25" t="str">
        <f aca="false">IF($A79="","",IF(AND(N(Actividades!$E40)&gt;0,BC$4&gt;=Actividades!$E40,MOD(BC$4-Actividades!$E40,IFERROR(VLOOKUP(Actividades!$D40,Listas!$A$2:$B$8,2,0),52))=0),"P",""))</f>
        <v/>
      </c>
      <c r="BD79" s="26" t="str">
        <f aca="false">IF($A79="","",COUNTIF(D79:BC79,"P"))</f>
        <v/>
      </c>
      <c r="BE79" s="26" t="str">
        <f aca="false">IF($A79="","",SUMPRODUCT((D79:BC79="P")*(D80:BC80="✓")))</f>
        <v/>
      </c>
      <c r="BF79" s="27" t="str">
        <f aca="false">IF($A79="","",IF(BD79=0,"",BE79/BD79))</f>
        <v/>
      </c>
    </row>
    <row r="80" customFormat="false" ht="15" hidden="false" customHeight="false" outlineLevel="0" collapsed="false">
      <c r="A80" s="28"/>
      <c r="B80" s="28"/>
      <c r="C80" s="28" t="str">
        <f aca="false">IF($A79="","","Real")</f>
        <v/>
      </c>
      <c r="D80" s="29" t="str">
        <f aca="false">IF($A79="","",IF(COUNTIFS(Historial!$B$3:$B$502,$A79,Historial!$C$3:$C$502,$B79,Historial!$G$3:$G$502,D$4,Historial!$H$3:$H$502,$B$2)&gt;0,"✓",""))</f>
        <v/>
      </c>
      <c r="E80" s="29" t="str">
        <f aca="false">IF($A79="","",IF(COUNTIFS(Historial!$B$3:$B$502,$A79,Historial!$C$3:$C$502,$B79,Historial!$G$3:$G$502,E$4,Historial!$H$3:$H$502,$B$2)&gt;0,"✓",""))</f>
        <v/>
      </c>
      <c r="F80" s="29" t="str">
        <f aca="false">IF($A79="","",IF(COUNTIFS(Historial!$B$3:$B$502,$A79,Historial!$C$3:$C$502,$B79,Historial!$G$3:$G$502,F$4,Historial!$H$3:$H$502,$B$2)&gt;0,"✓",""))</f>
        <v/>
      </c>
      <c r="G80" s="29" t="str">
        <f aca="false">IF($A79="","",IF(COUNTIFS(Historial!$B$3:$B$502,$A79,Historial!$C$3:$C$502,$B79,Historial!$G$3:$G$502,G$4,Historial!$H$3:$H$502,$B$2)&gt;0,"✓",""))</f>
        <v/>
      </c>
      <c r="H80" s="29" t="str">
        <f aca="false">IF($A79="","",IF(COUNTIFS(Historial!$B$3:$B$502,$A79,Historial!$C$3:$C$502,$B79,Historial!$G$3:$G$502,H$4,Historial!$H$3:$H$502,$B$2)&gt;0,"✓",""))</f>
        <v/>
      </c>
      <c r="I80" s="29" t="str">
        <f aca="false">IF($A79="","",IF(COUNTIFS(Historial!$B$3:$B$502,$A79,Historial!$C$3:$C$502,$B79,Historial!$G$3:$G$502,I$4,Historial!$H$3:$H$502,$B$2)&gt;0,"✓",""))</f>
        <v/>
      </c>
      <c r="J80" s="29" t="str">
        <f aca="false">IF($A79="","",IF(COUNTIFS(Historial!$B$3:$B$502,$A79,Historial!$C$3:$C$502,$B79,Historial!$G$3:$G$502,J$4,Historial!$H$3:$H$502,$B$2)&gt;0,"✓",""))</f>
        <v/>
      </c>
      <c r="K80" s="29" t="str">
        <f aca="false">IF($A79="","",IF(COUNTIFS(Historial!$B$3:$B$502,$A79,Historial!$C$3:$C$502,$B79,Historial!$G$3:$G$502,K$4,Historial!$H$3:$H$502,$B$2)&gt;0,"✓",""))</f>
        <v/>
      </c>
      <c r="L80" s="29" t="str">
        <f aca="false">IF($A79="","",IF(COUNTIFS(Historial!$B$3:$B$502,$A79,Historial!$C$3:$C$502,$B79,Historial!$G$3:$G$502,L$4,Historial!$H$3:$H$502,$B$2)&gt;0,"✓",""))</f>
        <v/>
      </c>
      <c r="M80" s="29" t="str">
        <f aca="false">IF($A79="","",IF(COUNTIFS(Historial!$B$3:$B$502,$A79,Historial!$C$3:$C$502,$B79,Historial!$G$3:$G$502,M$4,Historial!$H$3:$H$502,$B$2)&gt;0,"✓",""))</f>
        <v/>
      </c>
      <c r="N80" s="29" t="str">
        <f aca="false">IF($A79="","",IF(COUNTIFS(Historial!$B$3:$B$502,$A79,Historial!$C$3:$C$502,$B79,Historial!$G$3:$G$502,N$4,Historial!$H$3:$H$502,$B$2)&gt;0,"✓",""))</f>
        <v/>
      </c>
      <c r="O80" s="29" t="str">
        <f aca="false">IF($A79="","",IF(COUNTIFS(Historial!$B$3:$B$502,$A79,Historial!$C$3:$C$502,$B79,Historial!$G$3:$G$502,O$4,Historial!$H$3:$H$502,$B$2)&gt;0,"✓",""))</f>
        <v/>
      </c>
      <c r="P80" s="29" t="str">
        <f aca="false">IF($A79="","",IF(COUNTIFS(Historial!$B$3:$B$502,$A79,Historial!$C$3:$C$502,$B79,Historial!$G$3:$G$502,P$4,Historial!$H$3:$H$502,$B$2)&gt;0,"✓",""))</f>
        <v/>
      </c>
      <c r="Q80" s="29" t="str">
        <f aca="false">IF($A79="","",IF(COUNTIFS(Historial!$B$3:$B$502,$A79,Historial!$C$3:$C$502,$B79,Historial!$G$3:$G$502,Q$4,Historial!$H$3:$H$502,$B$2)&gt;0,"✓",""))</f>
        <v/>
      </c>
      <c r="R80" s="29" t="str">
        <f aca="false">IF($A79="","",IF(COUNTIFS(Historial!$B$3:$B$502,$A79,Historial!$C$3:$C$502,$B79,Historial!$G$3:$G$502,R$4,Historial!$H$3:$H$502,$B$2)&gt;0,"✓",""))</f>
        <v/>
      </c>
      <c r="S80" s="29" t="str">
        <f aca="false">IF($A79="","",IF(COUNTIFS(Historial!$B$3:$B$502,$A79,Historial!$C$3:$C$502,$B79,Historial!$G$3:$G$502,S$4,Historial!$H$3:$H$502,$B$2)&gt;0,"✓",""))</f>
        <v/>
      </c>
      <c r="T80" s="29" t="str">
        <f aca="false">IF($A79="","",IF(COUNTIFS(Historial!$B$3:$B$502,$A79,Historial!$C$3:$C$502,$B79,Historial!$G$3:$G$502,T$4,Historial!$H$3:$H$502,$B$2)&gt;0,"✓",""))</f>
        <v/>
      </c>
      <c r="U80" s="29" t="str">
        <f aca="false">IF($A79="","",IF(COUNTIFS(Historial!$B$3:$B$502,$A79,Historial!$C$3:$C$502,$B79,Historial!$G$3:$G$502,U$4,Historial!$H$3:$H$502,$B$2)&gt;0,"✓",""))</f>
        <v/>
      </c>
      <c r="V80" s="29" t="str">
        <f aca="false">IF($A79="","",IF(COUNTIFS(Historial!$B$3:$B$502,$A79,Historial!$C$3:$C$502,$B79,Historial!$G$3:$G$502,V$4,Historial!$H$3:$H$502,$B$2)&gt;0,"✓",""))</f>
        <v/>
      </c>
      <c r="W80" s="29" t="str">
        <f aca="false">IF($A79="","",IF(COUNTIFS(Historial!$B$3:$B$502,$A79,Historial!$C$3:$C$502,$B79,Historial!$G$3:$G$502,W$4,Historial!$H$3:$H$502,$B$2)&gt;0,"✓",""))</f>
        <v/>
      </c>
      <c r="X80" s="29" t="str">
        <f aca="false">IF($A79="","",IF(COUNTIFS(Historial!$B$3:$B$502,$A79,Historial!$C$3:$C$502,$B79,Historial!$G$3:$G$502,X$4,Historial!$H$3:$H$502,$B$2)&gt;0,"✓",""))</f>
        <v/>
      </c>
      <c r="Y80" s="29" t="str">
        <f aca="false">IF($A79="","",IF(COUNTIFS(Historial!$B$3:$B$502,$A79,Historial!$C$3:$C$502,$B79,Historial!$G$3:$G$502,Y$4,Historial!$H$3:$H$502,$B$2)&gt;0,"✓",""))</f>
        <v/>
      </c>
      <c r="Z80" s="29" t="str">
        <f aca="false">IF($A79="","",IF(COUNTIFS(Historial!$B$3:$B$502,$A79,Historial!$C$3:$C$502,$B79,Historial!$G$3:$G$502,Z$4,Historial!$H$3:$H$502,$B$2)&gt;0,"✓",""))</f>
        <v/>
      </c>
      <c r="AA80" s="29" t="str">
        <f aca="false">IF($A79="","",IF(COUNTIFS(Historial!$B$3:$B$502,$A79,Historial!$C$3:$C$502,$B79,Historial!$G$3:$G$502,AA$4,Historial!$H$3:$H$502,$B$2)&gt;0,"✓",""))</f>
        <v/>
      </c>
      <c r="AB80" s="29" t="str">
        <f aca="false">IF($A79="","",IF(COUNTIFS(Historial!$B$3:$B$502,$A79,Historial!$C$3:$C$502,$B79,Historial!$G$3:$G$502,AB$4,Historial!$H$3:$H$502,$B$2)&gt;0,"✓",""))</f>
        <v/>
      </c>
      <c r="AC80" s="29" t="str">
        <f aca="false">IF($A79="","",IF(COUNTIFS(Historial!$B$3:$B$502,$A79,Historial!$C$3:$C$502,$B79,Historial!$G$3:$G$502,AC$4,Historial!$H$3:$H$502,$B$2)&gt;0,"✓",""))</f>
        <v/>
      </c>
      <c r="AD80" s="29" t="str">
        <f aca="false">IF($A79="","",IF(COUNTIFS(Historial!$B$3:$B$502,$A79,Historial!$C$3:$C$502,$B79,Historial!$G$3:$G$502,AD$4,Historial!$H$3:$H$502,$B$2)&gt;0,"✓",""))</f>
        <v/>
      </c>
      <c r="AE80" s="29" t="str">
        <f aca="false">IF($A79="","",IF(COUNTIFS(Historial!$B$3:$B$502,$A79,Historial!$C$3:$C$502,$B79,Historial!$G$3:$G$502,AE$4,Historial!$H$3:$H$502,$B$2)&gt;0,"✓",""))</f>
        <v/>
      </c>
      <c r="AF80" s="29" t="str">
        <f aca="false">IF($A79="","",IF(COUNTIFS(Historial!$B$3:$B$502,$A79,Historial!$C$3:$C$502,$B79,Historial!$G$3:$G$502,AF$4,Historial!$H$3:$H$502,$B$2)&gt;0,"✓",""))</f>
        <v/>
      </c>
      <c r="AG80" s="29" t="str">
        <f aca="false">IF($A79="","",IF(COUNTIFS(Historial!$B$3:$B$502,$A79,Historial!$C$3:$C$502,$B79,Historial!$G$3:$G$502,AG$4,Historial!$H$3:$H$502,$B$2)&gt;0,"✓",""))</f>
        <v/>
      </c>
      <c r="AH80" s="29" t="str">
        <f aca="false">IF($A79="","",IF(COUNTIFS(Historial!$B$3:$B$502,$A79,Historial!$C$3:$C$502,$B79,Historial!$G$3:$G$502,AH$4,Historial!$H$3:$H$502,$B$2)&gt;0,"✓",""))</f>
        <v/>
      </c>
      <c r="AI80" s="29" t="str">
        <f aca="false">IF($A79="","",IF(COUNTIFS(Historial!$B$3:$B$502,$A79,Historial!$C$3:$C$502,$B79,Historial!$G$3:$G$502,AI$4,Historial!$H$3:$H$502,$B$2)&gt;0,"✓",""))</f>
        <v/>
      </c>
      <c r="AJ80" s="29" t="str">
        <f aca="false">IF($A79="","",IF(COUNTIFS(Historial!$B$3:$B$502,$A79,Historial!$C$3:$C$502,$B79,Historial!$G$3:$G$502,AJ$4,Historial!$H$3:$H$502,$B$2)&gt;0,"✓",""))</f>
        <v/>
      </c>
      <c r="AK80" s="29" t="str">
        <f aca="false">IF($A79="","",IF(COUNTIFS(Historial!$B$3:$B$502,$A79,Historial!$C$3:$C$502,$B79,Historial!$G$3:$G$502,AK$4,Historial!$H$3:$H$502,$B$2)&gt;0,"✓",""))</f>
        <v/>
      </c>
      <c r="AL80" s="29" t="str">
        <f aca="false">IF($A79="","",IF(COUNTIFS(Historial!$B$3:$B$502,$A79,Historial!$C$3:$C$502,$B79,Historial!$G$3:$G$502,AL$4,Historial!$H$3:$H$502,$B$2)&gt;0,"✓",""))</f>
        <v/>
      </c>
      <c r="AM80" s="29" t="str">
        <f aca="false">IF($A79="","",IF(COUNTIFS(Historial!$B$3:$B$502,$A79,Historial!$C$3:$C$502,$B79,Historial!$G$3:$G$502,AM$4,Historial!$H$3:$H$502,$B$2)&gt;0,"✓",""))</f>
        <v/>
      </c>
      <c r="AN80" s="29" t="str">
        <f aca="false">IF($A79="","",IF(COUNTIFS(Historial!$B$3:$B$502,$A79,Historial!$C$3:$C$502,$B79,Historial!$G$3:$G$502,AN$4,Historial!$H$3:$H$502,$B$2)&gt;0,"✓",""))</f>
        <v/>
      </c>
      <c r="AO80" s="29" t="str">
        <f aca="false">IF($A79="","",IF(COUNTIFS(Historial!$B$3:$B$502,$A79,Historial!$C$3:$C$502,$B79,Historial!$G$3:$G$502,AO$4,Historial!$H$3:$H$502,$B$2)&gt;0,"✓",""))</f>
        <v/>
      </c>
      <c r="AP80" s="29" t="str">
        <f aca="false">IF($A79="","",IF(COUNTIFS(Historial!$B$3:$B$502,$A79,Historial!$C$3:$C$502,$B79,Historial!$G$3:$G$502,AP$4,Historial!$H$3:$H$502,$B$2)&gt;0,"✓",""))</f>
        <v/>
      </c>
      <c r="AQ80" s="29" t="str">
        <f aca="false">IF($A79="","",IF(COUNTIFS(Historial!$B$3:$B$502,$A79,Historial!$C$3:$C$502,$B79,Historial!$G$3:$G$502,AQ$4,Historial!$H$3:$H$502,$B$2)&gt;0,"✓",""))</f>
        <v/>
      </c>
      <c r="AR80" s="29" t="str">
        <f aca="false">IF($A79="","",IF(COUNTIFS(Historial!$B$3:$B$502,$A79,Historial!$C$3:$C$502,$B79,Historial!$G$3:$G$502,AR$4,Historial!$H$3:$H$502,$B$2)&gt;0,"✓",""))</f>
        <v/>
      </c>
      <c r="AS80" s="29" t="str">
        <f aca="false">IF($A79="","",IF(COUNTIFS(Historial!$B$3:$B$502,$A79,Historial!$C$3:$C$502,$B79,Historial!$G$3:$G$502,AS$4,Historial!$H$3:$H$502,$B$2)&gt;0,"✓",""))</f>
        <v/>
      </c>
      <c r="AT80" s="29" t="str">
        <f aca="false">IF($A79="","",IF(COUNTIFS(Historial!$B$3:$B$502,$A79,Historial!$C$3:$C$502,$B79,Historial!$G$3:$G$502,AT$4,Historial!$H$3:$H$502,$B$2)&gt;0,"✓",""))</f>
        <v/>
      </c>
      <c r="AU80" s="29" t="str">
        <f aca="false">IF($A79="","",IF(COUNTIFS(Historial!$B$3:$B$502,$A79,Historial!$C$3:$C$502,$B79,Historial!$G$3:$G$502,AU$4,Historial!$H$3:$H$502,$B$2)&gt;0,"✓",""))</f>
        <v/>
      </c>
      <c r="AV80" s="29" t="str">
        <f aca="false">IF($A79="","",IF(COUNTIFS(Historial!$B$3:$B$502,$A79,Historial!$C$3:$C$502,$B79,Historial!$G$3:$G$502,AV$4,Historial!$H$3:$H$502,$B$2)&gt;0,"✓",""))</f>
        <v/>
      </c>
      <c r="AW80" s="29" t="str">
        <f aca="false">IF($A79="","",IF(COUNTIFS(Historial!$B$3:$B$502,$A79,Historial!$C$3:$C$502,$B79,Historial!$G$3:$G$502,AW$4,Historial!$H$3:$H$502,$B$2)&gt;0,"✓",""))</f>
        <v/>
      </c>
      <c r="AX80" s="29" t="str">
        <f aca="false">IF($A79="","",IF(COUNTIFS(Historial!$B$3:$B$502,$A79,Historial!$C$3:$C$502,$B79,Historial!$G$3:$G$502,AX$4,Historial!$H$3:$H$502,$B$2)&gt;0,"✓",""))</f>
        <v/>
      </c>
      <c r="AY80" s="29" t="str">
        <f aca="false">IF($A79="","",IF(COUNTIFS(Historial!$B$3:$B$502,$A79,Historial!$C$3:$C$502,$B79,Historial!$G$3:$G$502,AY$4,Historial!$H$3:$H$502,$B$2)&gt;0,"✓",""))</f>
        <v/>
      </c>
      <c r="AZ80" s="29" t="str">
        <f aca="false">IF($A79="","",IF(COUNTIFS(Historial!$B$3:$B$502,$A79,Historial!$C$3:$C$502,$B79,Historial!$G$3:$G$502,AZ$4,Historial!$H$3:$H$502,$B$2)&gt;0,"✓",""))</f>
        <v/>
      </c>
      <c r="BA80" s="29" t="str">
        <f aca="false">IF($A79="","",IF(COUNTIFS(Historial!$B$3:$B$502,$A79,Historial!$C$3:$C$502,$B79,Historial!$G$3:$G$502,BA$4,Historial!$H$3:$H$502,$B$2)&gt;0,"✓",""))</f>
        <v/>
      </c>
      <c r="BB80" s="29" t="str">
        <f aca="false">IF($A79="","",IF(COUNTIFS(Historial!$B$3:$B$502,$A79,Historial!$C$3:$C$502,$B79,Historial!$G$3:$G$502,BB$4,Historial!$H$3:$H$502,$B$2)&gt;0,"✓",""))</f>
        <v/>
      </c>
      <c r="BC80" s="29" t="str">
        <f aca="false">IF($A79="","",IF(COUNTIFS(Historial!$B$3:$B$502,$A79,Historial!$C$3:$C$502,$B79,Historial!$G$3:$G$502,BC$4,Historial!$H$3:$H$502,$B$2)&gt;0,"✓",""))</f>
        <v/>
      </c>
      <c r="BD80" s="29"/>
      <c r="BE80" s="29"/>
      <c r="BF80" s="29"/>
    </row>
    <row r="81" customFormat="false" ht="15" hidden="false" customHeight="false" outlineLevel="0" collapsed="false">
      <c r="A81" s="24" t="str">
        <f aca="false">IF(Actividades!$B41="","",Actividades!$B41)</f>
        <v/>
      </c>
      <c r="B81" s="24" t="str">
        <f aca="false">IF(Actividades!$C41="","",Actividades!$C41)</f>
        <v/>
      </c>
      <c r="C81" s="24" t="str">
        <f aca="false">IF($A81="","","Plan")</f>
        <v/>
      </c>
      <c r="D81" s="25" t="str">
        <f aca="false">IF($A81="","",IF(AND(N(Actividades!$E41)&gt;0,D$4&gt;=Actividades!$E41,MOD(D$4-Actividades!$E41,IFERROR(VLOOKUP(Actividades!$D41,Listas!$A$2:$B$8,2,0),52))=0),"P",""))</f>
        <v/>
      </c>
      <c r="E81" s="25" t="str">
        <f aca="false">IF($A81="","",IF(AND(N(Actividades!$E41)&gt;0,E$4&gt;=Actividades!$E41,MOD(E$4-Actividades!$E41,IFERROR(VLOOKUP(Actividades!$D41,Listas!$A$2:$B$8,2,0),52))=0),"P",""))</f>
        <v/>
      </c>
      <c r="F81" s="25" t="str">
        <f aca="false">IF($A81="","",IF(AND(N(Actividades!$E41)&gt;0,F$4&gt;=Actividades!$E41,MOD(F$4-Actividades!$E41,IFERROR(VLOOKUP(Actividades!$D41,Listas!$A$2:$B$8,2,0),52))=0),"P",""))</f>
        <v/>
      </c>
      <c r="G81" s="25" t="str">
        <f aca="false">IF($A81="","",IF(AND(N(Actividades!$E41)&gt;0,G$4&gt;=Actividades!$E41,MOD(G$4-Actividades!$E41,IFERROR(VLOOKUP(Actividades!$D41,Listas!$A$2:$B$8,2,0),52))=0),"P",""))</f>
        <v/>
      </c>
      <c r="H81" s="25" t="str">
        <f aca="false">IF($A81="","",IF(AND(N(Actividades!$E41)&gt;0,H$4&gt;=Actividades!$E41,MOD(H$4-Actividades!$E41,IFERROR(VLOOKUP(Actividades!$D41,Listas!$A$2:$B$8,2,0),52))=0),"P",""))</f>
        <v/>
      </c>
      <c r="I81" s="25" t="str">
        <f aca="false">IF($A81="","",IF(AND(N(Actividades!$E41)&gt;0,I$4&gt;=Actividades!$E41,MOD(I$4-Actividades!$E41,IFERROR(VLOOKUP(Actividades!$D41,Listas!$A$2:$B$8,2,0),52))=0),"P",""))</f>
        <v/>
      </c>
      <c r="J81" s="25" t="str">
        <f aca="false">IF($A81="","",IF(AND(N(Actividades!$E41)&gt;0,J$4&gt;=Actividades!$E41,MOD(J$4-Actividades!$E41,IFERROR(VLOOKUP(Actividades!$D41,Listas!$A$2:$B$8,2,0),52))=0),"P",""))</f>
        <v/>
      </c>
      <c r="K81" s="25" t="str">
        <f aca="false">IF($A81="","",IF(AND(N(Actividades!$E41)&gt;0,K$4&gt;=Actividades!$E41,MOD(K$4-Actividades!$E41,IFERROR(VLOOKUP(Actividades!$D41,Listas!$A$2:$B$8,2,0),52))=0),"P",""))</f>
        <v/>
      </c>
      <c r="L81" s="25" t="str">
        <f aca="false">IF($A81="","",IF(AND(N(Actividades!$E41)&gt;0,L$4&gt;=Actividades!$E41,MOD(L$4-Actividades!$E41,IFERROR(VLOOKUP(Actividades!$D41,Listas!$A$2:$B$8,2,0),52))=0),"P",""))</f>
        <v/>
      </c>
      <c r="M81" s="25" t="str">
        <f aca="false">IF($A81="","",IF(AND(N(Actividades!$E41)&gt;0,M$4&gt;=Actividades!$E41,MOD(M$4-Actividades!$E41,IFERROR(VLOOKUP(Actividades!$D41,Listas!$A$2:$B$8,2,0),52))=0),"P",""))</f>
        <v/>
      </c>
      <c r="N81" s="25" t="str">
        <f aca="false">IF($A81="","",IF(AND(N(Actividades!$E41)&gt;0,N$4&gt;=Actividades!$E41,MOD(N$4-Actividades!$E41,IFERROR(VLOOKUP(Actividades!$D41,Listas!$A$2:$B$8,2,0),52))=0),"P",""))</f>
        <v/>
      </c>
      <c r="O81" s="25" t="str">
        <f aca="false">IF($A81="","",IF(AND(N(Actividades!$E41)&gt;0,O$4&gt;=Actividades!$E41,MOD(O$4-Actividades!$E41,IFERROR(VLOOKUP(Actividades!$D41,Listas!$A$2:$B$8,2,0),52))=0),"P",""))</f>
        <v/>
      </c>
      <c r="P81" s="25" t="str">
        <f aca="false">IF($A81="","",IF(AND(N(Actividades!$E41)&gt;0,P$4&gt;=Actividades!$E41,MOD(P$4-Actividades!$E41,IFERROR(VLOOKUP(Actividades!$D41,Listas!$A$2:$B$8,2,0),52))=0),"P",""))</f>
        <v/>
      </c>
      <c r="Q81" s="25" t="str">
        <f aca="false">IF($A81="","",IF(AND(N(Actividades!$E41)&gt;0,Q$4&gt;=Actividades!$E41,MOD(Q$4-Actividades!$E41,IFERROR(VLOOKUP(Actividades!$D41,Listas!$A$2:$B$8,2,0),52))=0),"P",""))</f>
        <v/>
      </c>
      <c r="R81" s="25" t="str">
        <f aca="false">IF($A81="","",IF(AND(N(Actividades!$E41)&gt;0,R$4&gt;=Actividades!$E41,MOD(R$4-Actividades!$E41,IFERROR(VLOOKUP(Actividades!$D41,Listas!$A$2:$B$8,2,0),52))=0),"P",""))</f>
        <v/>
      </c>
      <c r="S81" s="25" t="str">
        <f aca="false">IF($A81="","",IF(AND(N(Actividades!$E41)&gt;0,S$4&gt;=Actividades!$E41,MOD(S$4-Actividades!$E41,IFERROR(VLOOKUP(Actividades!$D41,Listas!$A$2:$B$8,2,0),52))=0),"P",""))</f>
        <v/>
      </c>
      <c r="T81" s="25" t="str">
        <f aca="false">IF($A81="","",IF(AND(N(Actividades!$E41)&gt;0,T$4&gt;=Actividades!$E41,MOD(T$4-Actividades!$E41,IFERROR(VLOOKUP(Actividades!$D41,Listas!$A$2:$B$8,2,0),52))=0),"P",""))</f>
        <v/>
      </c>
      <c r="U81" s="25" t="str">
        <f aca="false">IF($A81="","",IF(AND(N(Actividades!$E41)&gt;0,U$4&gt;=Actividades!$E41,MOD(U$4-Actividades!$E41,IFERROR(VLOOKUP(Actividades!$D41,Listas!$A$2:$B$8,2,0),52))=0),"P",""))</f>
        <v/>
      </c>
      <c r="V81" s="25" t="str">
        <f aca="false">IF($A81="","",IF(AND(N(Actividades!$E41)&gt;0,V$4&gt;=Actividades!$E41,MOD(V$4-Actividades!$E41,IFERROR(VLOOKUP(Actividades!$D41,Listas!$A$2:$B$8,2,0),52))=0),"P",""))</f>
        <v/>
      </c>
      <c r="W81" s="25" t="str">
        <f aca="false">IF($A81="","",IF(AND(N(Actividades!$E41)&gt;0,W$4&gt;=Actividades!$E41,MOD(W$4-Actividades!$E41,IFERROR(VLOOKUP(Actividades!$D41,Listas!$A$2:$B$8,2,0),52))=0),"P",""))</f>
        <v/>
      </c>
      <c r="X81" s="25" t="str">
        <f aca="false">IF($A81="","",IF(AND(N(Actividades!$E41)&gt;0,X$4&gt;=Actividades!$E41,MOD(X$4-Actividades!$E41,IFERROR(VLOOKUP(Actividades!$D41,Listas!$A$2:$B$8,2,0),52))=0),"P",""))</f>
        <v/>
      </c>
      <c r="Y81" s="25" t="str">
        <f aca="false">IF($A81="","",IF(AND(N(Actividades!$E41)&gt;0,Y$4&gt;=Actividades!$E41,MOD(Y$4-Actividades!$E41,IFERROR(VLOOKUP(Actividades!$D41,Listas!$A$2:$B$8,2,0),52))=0),"P",""))</f>
        <v/>
      </c>
      <c r="Z81" s="25" t="str">
        <f aca="false">IF($A81="","",IF(AND(N(Actividades!$E41)&gt;0,Z$4&gt;=Actividades!$E41,MOD(Z$4-Actividades!$E41,IFERROR(VLOOKUP(Actividades!$D41,Listas!$A$2:$B$8,2,0),52))=0),"P",""))</f>
        <v/>
      </c>
      <c r="AA81" s="25" t="str">
        <f aca="false">IF($A81="","",IF(AND(N(Actividades!$E41)&gt;0,AA$4&gt;=Actividades!$E41,MOD(AA$4-Actividades!$E41,IFERROR(VLOOKUP(Actividades!$D41,Listas!$A$2:$B$8,2,0),52))=0),"P",""))</f>
        <v/>
      </c>
      <c r="AB81" s="25" t="str">
        <f aca="false">IF($A81="","",IF(AND(N(Actividades!$E41)&gt;0,AB$4&gt;=Actividades!$E41,MOD(AB$4-Actividades!$E41,IFERROR(VLOOKUP(Actividades!$D41,Listas!$A$2:$B$8,2,0),52))=0),"P",""))</f>
        <v/>
      </c>
      <c r="AC81" s="25" t="str">
        <f aca="false">IF($A81="","",IF(AND(N(Actividades!$E41)&gt;0,AC$4&gt;=Actividades!$E41,MOD(AC$4-Actividades!$E41,IFERROR(VLOOKUP(Actividades!$D41,Listas!$A$2:$B$8,2,0),52))=0),"P",""))</f>
        <v/>
      </c>
      <c r="AD81" s="25" t="str">
        <f aca="false">IF($A81="","",IF(AND(N(Actividades!$E41)&gt;0,AD$4&gt;=Actividades!$E41,MOD(AD$4-Actividades!$E41,IFERROR(VLOOKUP(Actividades!$D41,Listas!$A$2:$B$8,2,0),52))=0),"P",""))</f>
        <v/>
      </c>
      <c r="AE81" s="25" t="str">
        <f aca="false">IF($A81="","",IF(AND(N(Actividades!$E41)&gt;0,AE$4&gt;=Actividades!$E41,MOD(AE$4-Actividades!$E41,IFERROR(VLOOKUP(Actividades!$D41,Listas!$A$2:$B$8,2,0),52))=0),"P",""))</f>
        <v/>
      </c>
      <c r="AF81" s="25" t="str">
        <f aca="false">IF($A81="","",IF(AND(N(Actividades!$E41)&gt;0,AF$4&gt;=Actividades!$E41,MOD(AF$4-Actividades!$E41,IFERROR(VLOOKUP(Actividades!$D41,Listas!$A$2:$B$8,2,0),52))=0),"P",""))</f>
        <v/>
      </c>
      <c r="AG81" s="25" t="str">
        <f aca="false">IF($A81="","",IF(AND(N(Actividades!$E41)&gt;0,AG$4&gt;=Actividades!$E41,MOD(AG$4-Actividades!$E41,IFERROR(VLOOKUP(Actividades!$D41,Listas!$A$2:$B$8,2,0),52))=0),"P",""))</f>
        <v/>
      </c>
      <c r="AH81" s="25" t="str">
        <f aca="false">IF($A81="","",IF(AND(N(Actividades!$E41)&gt;0,AH$4&gt;=Actividades!$E41,MOD(AH$4-Actividades!$E41,IFERROR(VLOOKUP(Actividades!$D41,Listas!$A$2:$B$8,2,0),52))=0),"P",""))</f>
        <v/>
      </c>
      <c r="AI81" s="25" t="str">
        <f aca="false">IF($A81="","",IF(AND(N(Actividades!$E41)&gt;0,AI$4&gt;=Actividades!$E41,MOD(AI$4-Actividades!$E41,IFERROR(VLOOKUP(Actividades!$D41,Listas!$A$2:$B$8,2,0),52))=0),"P",""))</f>
        <v/>
      </c>
      <c r="AJ81" s="25" t="str">
        <f aca="false">IF($A81="","",IF(AND(N(Actividades!$E41)&gt;0,AJ$4&gt;=Actividades!$E41,MOD(AJ$4-Actividades!$E41,IFERROR(VLOOKUP(Actividades!$D41,Listas!$A$2:$B$8,2,0),52))=0),"P",""))</f>
        <v/>
      </c>
      <c r="AK81" s="25" t="str">
        <f aca="false">IF($A81="","",IF(AND(N(Actividades!$E41)&gt;0,AK$4&gt;=Actividades!$E41,MOD(AK$4-Actividades!$E41,IFERROR(VLOOKUP(Actividades!$D41,Listas!$A$2:$B$8,2,0),52))=0),"P",""))</f>
        <v/>
      </c>
      <c r="AL81" s="25" t="str">
        <f aca="false">IF($A81="","",IF(AND(N(Actividades!$E41)&gt;0,AL$4&gt;=Actividades!$E41,MOD(AL$4-Actividades!$E41,IFERROR(VLOOKUP(Actividades!$D41,Listas!$A$2:$B$8,2,0),52))=0),"P",""))</f>
        <v/>
      </c>
      <c r="AM81" s="25" t="str">
        <f aca="false">IF($A81="","",IF(AND(N(Actividades!$E41)&gt;0,AM$4&gt;=Actividades!$E41,MOD(AM$4-Actividades!$E41,IFERROR(VLOOKUP(Actividades!$D41,Listas!$A$2:$B$8,2,0),52))=0),"P",""))</f>
        <v/>
      </c>
      <c r="AN81" s="25" t="str">
        <f aca="false">IF($A81="","",IF(AND(N(Actividades!$E41)&gt;0,AN$4&gt;=Actividades!$E41,MOD(AN$4-Actividades!$E41,IFERROR(VLOOKUP(Actividades!$D41,Listas!$A$2:$B$8,2,0),52))=0),"P",""))</f>
        <v/>
      </c>
      <c r="AO81" s="25" t="str">
        <f aca="false">IF($A81="","",IF(AND(N(Actividades!$E41)&gt;0,AO$4&gt;=Actividades!$E41,MOD(AO$4-Actividades!$E41,IFERROR(VLOOKUP(Actividades!$D41,Listas!$A$2:$B$8,2,0),52))=0),"P",""))</f>
        <v/>
      </c>
      <c r="AP81" s="25" t="str">
        <f aca="false">IF($A81="","",IF(AND(N(Actividades!$E41)&gt;0,AP$4&gt;=Actividades!$E41,MOD(AP$4-Actividades!$E41,IFERROR(VLOOKUP(Actividades!$D41,Listas!$A$2:$B$8,2,0),52))=0),"P",""))</f>
        <v/>
      </c>
      <c r="AQ81" s="25" t="str">
        <f aca="false">IF($A81="","",IF(AND(N(Actividades!$E41)&gt;0,AQ$4&gt;=Actividades!$E41,MOD(AQ$4-Actividades!$E41,IFERROR(VLOOKUP(Actividades!$D41,Listas!$A$2:$B$8,2,0),52))=0),"P",""))</f>
        <v/>
      </c>
      <c r="AR81" s="25" t="str">
        <f aca="false">IF($A81="","",IF(AND(N(Actividades!$E41)&gt;0,AR$4&gt;=Actividades!$E41,MOD(AR$4-Actividades!$E41,IFERROR(VLOOKUP(Actividades!$D41,Listas!$A$2:$B$8,2,0),52))=0),"P",""))</f>
        <v/>
      </c>
      <c r="AS81" s="25" t="str">
        <f aca="false">IF($A81="","",IF(AND(N(Actividades!$E41)&gt;0,AS$4&gt;=Actividades!$E41,MOD(AS$4-Actividades!$E41,IFERROR(VLOOKUP(Actividades!$D41,Listas!$A$2:$B$8,2,0),52))=0),"P",""))</f>
        <v/>
      </c>
      <c r="AT81" s="25" t="str">
        <f aca="false">IF($A81="","",IF(AND(N(Actividades!$E41)&gt;0,AT$4&gt;=Actividades!$E41,MOD(AT$4-Actividades!$E41,IFERROR(VLOOKUP(Actividades!$D41,Listas!$A$2:$B$8,2,0),52))=0),"P",""))</f>
        <v/>
      </c>
      <c r="AU81" s="25" t="str">
        <f aca="false">IF($A81="","",IF(AND(N(Actividades!$E41)&gt;0,AU$4&gt;=Actividades!$E41,MOD(AU$4-Actividades!$E41,IFERROR(VLOOKUP(Actividades!$D41,Listas!$A$2:$B$8,2,0),52))=0),"P",""))</f>
        <v/>
      </c>
      <c r="AV81" s="25" t="str">
        <f aca="false">IF($A81="","",IF(AND(N(Actividades!$E41)&gt;0,AV$4&gt;=Actividades!$E41,MOD(AV$4-Actividades!$E41,IFERROR(VLOOKUP(Actividades!$D41,Listas!$A$2:$B$8,2,0),52))=0),"P",""))</f>
        <v/>
      </c>
      <c r="AW81" s="25" t="str">
        <f aca="false">IF($A81="","",IF(AND(N(Actividades!$E41)&gt;0,AW$4&gt;=Actividades!$E41,MOD(AW$4-Actividades!$E41,IFERROR(VLOOKUP(Actividades!$D41,Listas!$A$2:$B$8,2,0),52))=0),"P",""))</f>
        <v/>
      </c>
      <c r="AX81" s="25" t="str">
        <f aca="false">IF($A81="","",IF(AND(N(Actividades!$E41)&gt;0,AX$4&gt;=Actividades!$E41,MOD(AX$4-Actividades!$E41,IFERROR(VLOOKUP(Actividades!$D41,Listas!$A$2:$B$8,2,0),52))=0),"P",""))</f>
        <v/>
      </c>
      <c r="AY81" s="25" t="str">
        <f aca="false">IF($A81="","",IF(AND(N(Actividades!$E41)&gt;0,AY$4&gt;=Actividades!$E41,MOD(AY$4-Actividades!$E41,IFERROR(VLOOKUP(Actividades!$D41,Listas!$A$2:$B$8,2,0),52))=0),"P",""))</f>
        <v/>
      </c>
      <c r="AZ81" s="25" t="str">
        <f aca="false">IF($A81="","",IF(AND(N(Actividades!$E41)&gt;0,AZ$4&gt;=Actividades!$E41,MOD(AZ$4-Actividades!$E41,IFERROR(VLOOKUP(Actividades!$D41,Listas!$A$2:$B$8,2,0),52))=0),"P",""))</f>
        <v/>
      </c>
      <c r="BA81" s="25" t="str">
        <f aca="false">IF($A81="","",IF(AND(N(Actividades!$E41)&gt;0,BA$4&gt;=Actividades!$E41,MOD(BA$4-Actividades!$E41,IFERROR(VLOOKUP(Actividades!$D41,Listas!$A$2:$B$8,2,0),52))=0),"P",""))</f>
        <v/>
      </c>
      <c r="BB81" s="25" t="str">
        <f aca="false">IF($A81="","",IF(AND(N(Actividades!$E41)&gt;0,BB$4&gt;=Actividades!$E41,MOD(BB$4-Actividades!$E41,IFERROR(VLOOKUP(Actividades!$D41,Listas!$A$2:$B$8,2,0),52))=0),"P",""))</f>
        <v/>
      </c>
      <c r="BC81" s="25" t="str">
        <f aca="false">IF($A81="","",IF(AND(N(Actividades!$E41)&gt;0,BC$4&gt;=Actividades!$E41,MOD(BC$4-Actividades!$E41,IFERROR(VLOOKUP(Actividades!$D41,Listas!$A$2:$B$8,2,0),52))=0),"P",""))</f>
        <v/>
      </c>
      <c r="BD81" s="26" t="str">
        <f aca="false">IF($A81="","",COUNTIF(D81:BC81,"P"))</f>
        <v/>
      </c>
      <c r="BE81" s="26" t="str">
        <f aca="false">IF($A81="","",SUMPRODUCT((D81:BC81="P")*(D82:BC82="✓")))</f>
        <v/>
      </c>
      <c r="BF81" s="27" t="str">
        <f aca="false">IF($A81="","",IF(BD81=0,"",BE81/BD81))</f>
        <v/>
      </c>
    </row>
    <row r="82" customFormat="false" ht="15" hidden="false" customHeight="false" outlineLevel="0" collapsed="false">
      <c r="A82" s="28"/>
      <c r="B82" s="28"/>
      <c r="C82" s="28" t="str">
        <f aca="false">IF($A81="","","Real")</f>
        <v/>
      </c>
      <c r="D82" s="29" t="str">
        <f aca="false">IF($A81="","",IF(COUNTIFS(Historial!$B$3:$B$502,$A81,Historial!$C$3:$C$502,$B81,Historial!$G$3:$G$502,D$4,Historial!$H$3:$H$502,$B$2)&gt;0,"✓",""))</f>
        <v/>
      </c>
      <c r="E82" s="29" t="str">
        <f aca="false">IF($A81="","",IF(COUNTIFS(Historial!$B$3:$B$502,$A81,Historial!$C$3:$C$502,$B81,Historial!$G$3:$G$502,E$4,Historial!$H$3:$H$502,$B$2)&gt;0,"✓",""))</f>
        <v/>
      </c>
      <c r="F82" s="29" t="str">
        <f aca="false">IF($A81="","",IF(COUNTIFS(Historial!$B$3:$B$502,$A81,Historial!$C$3:$C$502,$B81,Historial!$G$3:$G$502,F$4,Historial!$H$3:$H$502,$B$2)&gt;0,"✓",""))</f>
        <v/>
      </c>
      <c r="G82" s="29" t="str">
        <f aca="false">IF($A81="","",IF(COUNTIFS(Historial!$B$3:$B$502,$A81,Historial!$C$3:$C$502,$B81,Historial!$G$3:$G$502,G$4,Historial!$H$3:$H$502,$B$2)&gt;0,"✓",""))</f>
        <v/>
      </c>
      <c r="H82" s="29" t="str">
        <f aca="false">IF($A81="","",IF(COUNTIFS(Historial!$B$3:$B$502,$A81,Historial!$C$3:$C$502,$B81,Historial!$G$3:$G$502,H$4,Historial!$H$3:$H$502,$B$2)&gt;0,"✓",""))</f>
        <v/>
      </c>
      <c r="I82" s="29" t="str">
        <f aca="false">IF($A81="","",IF(COUNTIFS(Historial!$B$3:$B$502,$A81,Historial!$C$3:$C$502,$B81,Historial!$G$3:$G$502,I$4,Historial!$H$3:$H$502,$B$2)&gt;0,"✓",""))</f>
        <v/>
      </c>
      <c r="J82" s="29" t="str">
        <f aca="false">IF($A81="","",IF(COUNTIFS(Historial!$B$3:$B$502,$A81,Historial!$C$3:$C$502,$B81,Historial!$G$3:$G$502,J$4,Historial!$H$3:$H$502,$B$2)&gt;0,"✓",""))</f>
        <v/>
      </c>
      <c r="K82" s="29" t="str">
        <f aca="false">IF($A81="","",IF(COUNTIFS(Historial!$B$3:$B$502,$A81,Historial!$C$3:$C$502,$B81,Historial!$G$3:$G$502,K$4,Historial!$H$3:$H$502,$B$2)&gt;0,"✓",""))</f>
        <v/>
      </c>
      <c r="L82" s="29" t="str">
        <f aca="false">IF($A81="","",IF(COUNTIFS(Historial!$B$3:$B$502,$A81,Historial!$C$3:$C$502,$B81,Historial!$G$3:$G$502,L$4,Historial!$H$3:$H$502,$B$2)&gt;0,"✓",""))</f>
        <v/>
      </c>
      <c r="M82" s="29" t="str">
        <f aca="false">IF($A81="","",IF(COUNTIFS(Historial!$B$3:$B$502,$A81,Historial!$C$3:$C$502,$B81,Historial!$G$3:$G$502,M$4,Historial!$H$3:$H$502,$B$2)&gt;0,"✓",""))</f>
        <v/>
      </c>
      <c r="N82" s="29" t="str">
        <f aca="false">IF($A81="","",IF(COUNTIFS(Historial!$B$3:$B$502,$A81,Historial!$C$3:$C$502,$B81,Historial!$G$3:$G$502,N$4,Historial!$H$3:$H$502,$B$2)&gt;0,"✓",""))</f>
        <v/>
      </c>
      <c r="O82" s="29" t="str">
        <f aca="false">IF($A81="","",IF(COUNTIFS(Historial!$B$3:$B$502,$A81,Historial!$C$3:$C$502,$B81,Historial!$G$3:$G$502,O$4,Historial!$H$3:$H$502,$B$2)&gt;0,"✓",""))</f>
        <v/>
      </c>
      <c r="P82" s="29" t="str">
        <f aca="false">IF($A81="","",IF(COUNTIFS(Historial!$B$3:$B$502,$A81,Historial!$C$3:$C$502,$B81,Historial!$G$3:$G$502,P$4,Historial!$H$3:$H$502,$B$2)&gt;0,"✓",""))</f>
        <v/>
      </c>
      <c r="Q82" s="29" t="str">
        <f aca="false">IF($A81="","",IF(COUNTIFS(Historial!$B$3:$B$502,$A81,Historial!$C$3:$C$502,$B81,Historial!$G$3:$G$502,Q$4,Historial!$H$3:$H$502,$B$2)&gt;0,"✓",""))</f>
        <v/>
      </c>
      <c r="R82" s="29" t="str">
        <f aca="false">IF($A81="","",IF(COUNTIFS(Historial!$B$3:$B$502,$A81,Historial!$C$3:$C$502,$B81,Historial!$G$3:$G$502,R$4,Historial!$H$3:$H$502,$B$2)&gt;0,"✓",""))</f>
        <v/>
      </c>
      <c r="S82" s="29" t="str">
        <f aca="false">IF($A81="","",IF(COUNTIFS(Historial!$B$3:$B$502,$A81,Historial!$C$3:$C$502,$B81,Historial!$G$3:$G$502,S$4,Historial!$H$3:$H$502,$B$2)&gt;0,"✓",""))</f>
        <v/>
      </c>
      <c r="T82" s="29" t="str">
        <f aca="false">IF($A81="","",IF(COUNTIFS(Historial!$B$3:$B$502,$A81,Historial!$C$3:$C$502,$B81,Historial!$G$3:$G$502,T$4,Historial!$H$3:$H$502,$B$2)&gt;0,"✓",""))</f>
        <v/>
      </c>
      <c r="U82" s="29" t="str">
        <f aca="false">IF($A81="","",IF(COUNTIFS(Historial!$B$3:$B$502,$A81,Historial!$C$3:$C$502,$B81,Historial!$G$3:$G$502,U$4,Historial!$H$3:$H$502,$B$2)&gt;0,"✓",""))</f>
        <v/>
      </c>
      <c r="V82" s="29" t="str">
        <f aca="false">IF($A81="","",IF(COUNTIFS(Historial!$B$3:$B$502,$A81,Historial!$C$3:$C$502,$B81,Historial!$G$3:$G$502,V$4,Historial!$H$3:$H$502,$B$2)&gt;0,"✓",""))</f>
        <v/>
      </c>
      <c r="W82" s="29" t="str">
        <f aca="false">IF($A81="","",IF(COUNTIFS(Historial!$B$3:$B$502,$A81,Historial!$C$3:$C$502,$B81,Historial!$G$3:$G$502,W$4,Historial!$H$3:$H$502,$B$2)&gt;0,"✓",""))</f>
        <v/>
      </c>
      <c r="X82" s="29" t="str">
        <f aca="false">IF($A81="","",IF(COUNTIFS(Historial!$B$3:$B$502,$A81,Historial!$C$3:$C$502,$B81,Historial!$G$3:$G$502,X$4,Historial!$H$3:$H$502,$B$2)&gt;0,"✓",""))</f>
        <v/>
      </c>
      <c r="Y82" s="29" t="str">
        <f aca="false">IF($A81="","",IF(COUNTIFS(Historial!$B$3:$B$502,$A81,Historial!$C$3:$C$502,$B81,Historial!$G$3:$G$502,Y$4,Historial!$H$3:$H$502,$B$2)&gt;0,"✓",""))</f>
        <v/>
      </c>
      <c r="Z82" s="29" t="str">
        <f aca="false">IF($A81="","",IF(COUNTIFS(Historial!$B$3:$B$502,$A81,Historial!$C$3:$C$502,$B81,Historial!$G$3:$G$502,Z$4,Historial!$H$3:$H$502,$B$2)&gt;0,"✓",""))</f>
        <v/>
      </c>
      <c r="AA82" s="29" t="str">
        <f aca="false">IF($A81="","",IF(COUNTIFS(Historial!$B$3:$B$502,$A81,Historial!$C$3:$C$502,$B81,Historial!$G$3:$G$502,AA$4,Historial!$H$3:$H$502,$B$2)&gt;0,"✓",""))</f>
        <v/>
      </c>
      <c r="AB82" s="29" t="str">
        <f aca="false">IF($A81="","",IF(COUNTIFS(Historial!$B$3:$B$502,$A81,Historial!$C$3:$C$502,$B81,Historial!$G$3:$G$502,AB$4,Historial!$H$3:$H$502,$B$2)&gt;0,"✓",""))</f>
        <v/>
      </c>
      <c r="AC82" s="29" t="str">
        <f aca="false">IF($A81="","",IF(COUNTIFS(Historial!$B$3:$B$502,$A81,Historial!$C$3:$C$502,$B81,Historial!$G$3:$G$502,AC$4,Historial!$H$3:$H$502,$B$2)&gt;0,"✓",""))</f>
        <v/>
      </c>
      <c r="AD82" s="29" t="str">
        <f aca="false">IF($A81="","",IF(COUNTIFS(Historial!$B$3:$B$502,$A81,Historial!$C$3:$C$502,$B81,Historial!$G$3:$G$502,AD$4,Historial!$H$3:$H$502,$B$2)&gt;0,"✓",""))</f>
        <v/>
      </c>
      <c r="AE82" s="29" t="str">
        <f aca="false">IF($A81="","",IF(COUNTIFS(Historial!$B$3:$B$502,$A81,Historial!$C$3:$C$502,$B81,Historial!$G$3:$G$502,AE$4,Historial!$H$3:$H$502,$B$2)&gt;0,"✓",""))</f>
        <v/>
      </c>
      <c r="AF82" s="29" t="str">
        <f aca="false">IF($A81="","",IF(COUNTIFS(Historial!$B$3:$B$502,$A81,Historial!$C$3:$C$502,$B81,Historial!$G$3:$G$502,AF$4,Historial!$H$3:$H$502,$B$2)&gt;0,"✓",""))</f>
        <v/>
      </c>
      <c r="AG82" s="29" t="str">
        <f aca="false">IF($A81="","",IF(COUNTIFS(Historial!$B$3:$B$502,$A81,Historial!$C$3:$C$502,$B81,Historial!$G$3:$G$502,AG$4,Historial!$H$3:$H$502,$B$2)&gt;0,"✓",""))</f>
        <v/>
      </c>
      <c r="AH82" s="29" t="str">
        <f aca="false">IF($A81="","",IF(COUNTIFS(Historial!$B$3:$B$502,$A81,Historial!$C$3:$C$502,$B81,Historial!$G$3:$G$502,AH$4,Historial!$H$3:$H$502,$B$2)&gt;0,"✓",""))</f>
        <v/>
      </c>
      <c r="AI82" s="29" t="str">
        <f aca="false">IF($A81="","",IF(COUNTIFS(Historial!$B$3:$B$502,$A81,Historial!$C$3:$C$502,$B81,Historial!$G$3:$G$502,AI$4,Historial!$H$3:$H$502,$B$2)&gt;0,"✓",""))</f>
        <v/>
      </c>
      <c r="AJ82" s="29" t="str">
        <f aca="false">IF($A81="","",IF(COUNTIFS(Historial!$B$3:$B$502,$A81,Historial!$C$3:$C$502,$B81,Historial!$G$3:$G$502,AJ$4,Historial!$H$3:$H$502,$B$2)&gt;0,"✓",""))</f>
        <v/>
      </c>
      <c r="AK82" s="29" t="str">
        <f aca="false">IF($A81="","",IF(COUNTIFS(Historial!$B$3:$B$502,$A81,Historial!$C$3:$C$502,$B81,Historial!$G$3:$G$502,AK$4,Historial!$H$3:$H$502,$B$2)&gt;0,"✓",""))</f>
        <v/>
      </c>
      <c r="AL82" s="29" t="str">
        <f aca="false">IF($A81="","",IF(COUNTIFS(Historial!$B$3:$B$502,$A81,Historial!$C$3:$C$502,$B81,Historial!$G$3:$G$502,AL$4,Historial!$H$3:$H$502,$B$2)&gt;0,"✓",""))</f>
        <v/>
      </c>
      <c r="AM82" s="29" t="str">
        <f aca="false">IF($A81="","",IF(COUNTIFS(Historial!$B$3:$B$502,$A81,Historial!$C$3:$C$502,$B81,Historial!$G$3:$G$502,AM$4,Historial!$H$3:$H$502,$B$2)&gt;0,"✓",""))</f>
        <v/>
      </c>
      <c r="AN82" s="29" t="str">
        <f aca="false">IF($A81="","",IF(COUNTIFS(Historial!$B$3:$B$502,$A81,Historial!$C$3:$C$502,$B81,Historial!$G$3:$G$502,AN$4,Historial!$H$3:$H$502,$B$2)&gt;0,"✓",""))</f>
        <v/>
      </c>
      <c r="AO82" s="29" t="str">
        <f aca="false">IF($A81="","",IF(COUNTIFS(Historial!$B$3:$B$502,$A81,Historial!$C$3:$C$502,$B81,Historial!$G$3:$G$502,AO$4,Historial!$H$3:$H$502,$B$2)&gt;0,"✓",""))</f>
        <v/>
      </c>
      <c r="AP82" s="29" t="str">
        <f aca="false">IF($A81="","",IF(COUNTIFS(Historial!$B$3:$B$502,$A81,Historial!$C$3:$C$502,$B81,Historial!$G$3:$G$502,AP$4,Historial!$H$3:$H$502,$B$2)&gt;0,"✓",""))</f>
        <v/>
      </c>
      <c r="AQ82" s="29" t="str">
        <f aca="false">IF($A81="","",IF(COUNTIFS(Historial!$B$3:$B$502,$A81,Historial!$C$3:$C$502,$B81,Historial!$G$3:$G$502,AQ$4,Historial!$H$3:$H$502,$B$2)&gt;0,"✓",""))</f>
        <v/>
      </c>
      <c r="AR82" s="29" t="str">
        <f aca="false">IF($A81="","",IF(COUNTIFS(Historial!$B$3:$B$502,$A81,Historial!$C$3:$C$502,$B81,Historial!$G$3:$G$502,AR$4,Historial!$H$3:$H$502,$B$2)&gt;0,"✓",""))</f>
        <v/>
      </c>
      <c r="AS82" s="29" t="str">
        <f aca="false">IF($A81="","",IF(COUNTIFS(Historial!$B$3:$B$502,$A81,Historial!$C$3:$C$502,$B81,Historial!$G$3:$G$502,AS$4,Historial!$H$3:$H$502,$B$2)&gt;0,"✓",""))</f>
        <v/>
      </c>
      <c r="AT82" s="29" t="str">
        <f aca="false">IF($A81="","",IF(COUNTIFS(Historial!$B$3:$B$502,$A81,Historial!$C$3:$C$502,$B81,Historial!$G$3:$G$502,AT$4,Historial!$H$3:$H$502,$B$2)&gt;0,"✓",""))</f>
        <v/>
      </c>
      <c r="AU82" s="29" t="str">
        <f aca="false">IF($A81="","",IF(COUNTIFS(Historial!$B$3:$B$502,$A81,Historial!$C$3:$C$502,$B81,Historial!$G$3:$G$502,AU$4,Historial!$H$3:$H$502,$B$2)&gt;0,"✓",""))</f>
        <v/>
      </c>
      <c r="AV82" s="29" t="str">
        <f aca="false">IF($A81="","",IF(COUNTIFS(Historial!$B$3:$B$502,$A81,Historial!$C$3:$C$502,$B81,Historial!$G$3:$G$502,AV$4,Historial!$H$3:$H$502,$B$2)&gt;0,"✓",""))</f>
        <v/>
      </c>
      <c r="AW82" s="29" t="str">
        <f aca="false">IF($A81="","",IF(COUNTIFS(Historial!$B$3:$B$502,$A81,Historial!$C$3:$C$502,$B81,Historial!$G$3:$G$502,AW$4,Historial!$H$3:$H$502,$B$2)&gt;0,"✓",""))</f>
        <v/>
      </c>
      <c r="AX82" s="29" t="str">
        <f aca="false">IF($A81="","",IF(COUNTIFS(Historial!$B$3:$B$502,$A81,Historial!$C$3:$C$502,$B81,Historial!$G$3:$G$502,AX$4,Historial!$H$3:$H$502,$B$2)&gt;0,"✓",""))</f>
        <v/>
      </c>
      <c r="AY82" s="29" t="str">
        <f aca="false">IF($A81="","",IF(COUNTIFS(Historial!$B$3:$B$502,$A81,Historial!$C$3:$C$502,$B81,Historial!$G$3:$G$502,AY$4,Historial!$H$3:$H$502,$B$2)&gt;0,"✓",""))</f>
        <v/>
      </c>
      <c r="AZ82" s="29" t="str">
        <f aca="false">IF($A81="","",IF(COUNTIFS(Historial!$B$3:$B$502,$A81,Historial!$C$3:$C$502,$B81,Historial!$G$3:$G$502,AZ$4,Historial!$H$3:$H$502,$B$2)&gt;0,"✓",""))</f>
        <v/>
      </c>
      <c r="BA82" s="29" t="str">
        <f aca="false">IF($A81="","",IF(COUNTIFS(Historial!$B$3:$B$502,$A81,Historial!$C$3:$C$502,$B81,Historial!$G$3:$G$502,BA$4,Historial!$H$3:$H$502,$B$2)&gt;0,"✓",""))</f>
        <v/>
      </c>
      <c r="BB82" s="29" t="str">
        <f aca="false">IF($A81="","",IF(COUNTIFS(Historial!$B$3:$B$502,$A81,Historial!$C$3:$C$502,$B81,Historial!$G$3:$G$502,BB$4,Historial!$H$3:$H$502,$B$2)&gt;0,"✓",""))</f>
        <v/>
      </c>
      <c r="BC82" s="29" t="str">
        <f aca="false">IF($A81="","",IF(COUNTIFS(Historial!$B$3:$B$502,$A81,Historial!$C$3:$C$502,$B81,Historial!$G$3:$G$502,BC$4,Historial!$H$3:$H$502,$B$2)&gt;0,"✓",""))</f>
        <v/>
      </c>
      <c r="BD82" s="29"/>
      <c r="BE82" s="29"/>
      <c r="BF82" s="29"/>
    </row>
    <row r="83" customFormat="false" ht="15" hidden="false" customHeight="false" outlineLevel="0" collapsed="false">
      <c r="A83" s="24" t="str">
        <f aca="false">IF(Actividades!$B42="","",Actividades!$B42)</f>
        <v/>
      </c>
      <c r="B83" s="24" t="str">
        <f aca="false">IF(Actividades!$C42="","",Actividades!$C42)</f>
        <v/>
      </c>
      <c r="C83" s="24" t="str">
        <f aca="false">IF($A83="","","Plan")</f>
        <v/>
      </c>
      <c r="D83" s="25" t="str">
        <f aca="false">IF($A83="","",IF(AND(N(Actividades!$E42)&gt;0,D$4&gt;=Actividades!$E42,MOD(D$4-Actividades!$E42,IFERROR(VLOOKUP(Actividades!$D42,Listas!$A$2:$B$8,2,0),52))=0),"P",""))</f>
        <v/>
      </c>
      <c r="E83" s="25" t="str">
        <f aca="false">IF($A83="","",IF(AND(N(Actividades!$E42)&gt;0,E$4&gt;=Actividades!$E42,MOD(E$4-Actividades!$E42,IFERROR(VLOOKUP(Actividades!$D42,Listas!$A$2:$B$8,2,0),52))=0),"P",""))</f>
        <v/>
      </c>
      <c r="F83" s="25" t="str">
        <f aca="false">IF($A83="","",IF(AND(N(Actividades!$E42)&gt;0,F$4&gt;=Actividades!$E42,MOD(F$4-Actividades!$E42,IFERROR(VLOOKUP(Actividades!$D42,Listas!$A$2:$B$8,2,0),52))=0),"P",""))</f>
        <v/>
      </c>
      <c r="G83" s="25" t="str">
        <f aca="false">IF($A83="","",IF(AND(N(Actividades!$E42)&gt;0,G$4&gt;=Actividades!$E42,MOD(G$4-Actividades!$E42,IFERROR(VLOOKUP(Actividades!$D42,Listas!$A$2:$B$8,2,0),52))=0),"P",""))</f>
        <v/>
      </c>
      <c r="H83" s="25" t="str">
        <f aca="false">IF($A83="","",IF(AND(N(Actividades!$E42)&gt;0,H$4&gt;=Actividades!$E42,MOD(H$4-Actividades!$E42,IFERROR(VLOOKUP(Actividades!$D42,Listas!$A$2:$B$8,2,0),52))=0),"P",""))</f>
        <v/>
      </c>
      <c r="I83" s="25" t="str">
        <f aca="false">IF($A83="","",IF(AND(N(Actividades!$E42)&gt;0,I$4&gt;=Actividades!$E42,MOD(I$4-Actividades!$E42,IFERROR(VLOOKUP(Actividades!$D42,Listas!$A$2:$B$8,2,0),52))=0),"P",""))</f>
        <v/>
      </c>
      <c r="J83" s="25" t="str">
        <f aca="false">IF($A83="","",IF(AND(N(Actividades!$E42)&gt;0,J$4&gt;=Actividades!$E42,MOD(J$4-Actividades!$E42,IFERROR(VLOOKUP(Actividades!$D42,Listas!$A$2:$B$8,2,0),52))=0),"P",""))</f>
        <v/>
      </c>
      <c r="K83" s="25" t="str">
        <f aca="false">IF($A83="","",IF(AND(N(Actividades!$E42)&gt;0,K$4&gt;=Actividades!$E42,MOD(K$4-Actividades!$E42,IFERROR(VLOOKUP(Actividades!$D42,Listas!$A$2:$B$8,2,0),52))=0),"P",""))</f>
        <v/>
      </c>
      <c r="L83" s="25" t="str">
        <f aca="false">IF($A83="","",IF(AND(N(Actividades!$E42)&gt;0,L$4&gt;=Actividades!$E42,MOD(L$4-Actividades!$E42,IFERROR(VLOOKUP(Actividades!$D42,Listas!$A$2:$B$8,2,0),52))=0),"P",""))</f>
        <v/>
      </c>
      <c r="M83" s="25" t="str">
        <f aca="false">IF($A83="","",IF(AND(N(Actividades!$E42)&gt;0,M$4&gt;=Actividades!$E42,MOD(M$4-Actividades!$E42,IFERROR(VLOOKUP(Actividades!$D42,Listas!$A$2:$B$8,2,0),52))=0),"P",""))</f>
        <v/>
      </c>
      <c r="N83" s="25" t="str">
        <f aca="false">IF($A83="","",IF(AND(N(Actividades!$E42)&gt;0,N$4&gt;=Actividades!$E42,MOD(N$4-Actividades!$E42,IFERROR(VLOOKUP(Actividades!$D42,Listas!$A$2:$B$8,2,0),52))=0),"P",""))</f>
        <v/>
      </c>
      <c r="O83" s="25" t="str">
        <f aca="false">IF($A83="","",IF(AND(N(Actividades!$E42)&gt;0,O$4&gt;=Actividades!$E42,MOD(O$4-Actividades!$E42,IFERROR(VLOOKUP(Actividades!$D42,Listas!$A$2:$B$8,2,0),52))=0),"P",""))</f>
        <v/>
      </c>
      <c r="P83" s="25" t="str">
        <f aca="false">IF($A83="","",IF(AND(N(Actividades!$E42)&gt;0,P$4&gt;=Actividades!$E42,MOD(P$4-Actividades!$E42,IFERROR(VLOOKUP(Actividades!$D42,Listas!$A$2:$B$8,2,0),52))=0),"P",""))</f>
        <v/>
      </c>
      <c r="Q83" s="25" t="str">
        <f aca="false">IF($A83="","",IF(AND(N(Actividades!$E42)&gt;0,Q$4&gt;=Actividades!$E42,MOD(Q$4-Actividades!$E42,IFERROR(VLOOKUP(Actividades!$D42,Listas!$A$2:$B$8,2,0),52))=0),"P",""))</f>
        <v/>
      </c>
      <c r="R83" s="25" t="str">
        <f aca="false">IF($A83="","",IF(AND(N(Actividades!$E42)&gt;0,R$4&gt;=Actividades!$E42,MOD(R$4-Actividades!$E42,IFERROR(VLOOKUP(Actividades!$D42,Listas!$A$2:$B$8,2,0),52))=0),"P",""))</f>
        <v/>
      </c>
      <c r="S83" s="25" t="str">
        <f aca="false">IF($A83="","",IF(AND(N(Actividades!$E42)&gt;0,S$4&gt;=Actividades!$E42,MOD(S$4-Actividades!$E42,IFERROR(VLOOKUP(Actividades!$D42,Listas!$A$2:$B$8,2,0),52))=0),"P",""))</f>
        <v/>
      </c>
      <c r="T83" s="25" t="str">
        <f aca="false">IF($A83="","",IF(AND(N(Actividades!$E42)&gt;0,T$4&gt;=Actividades!$E42,MOD(T$4-Actividades!$E42,IFERROR(VLOOKUP(Actividades!$D42,Listas!$A$2:$B$8,2,0),52))=0),"P",""))</f>
        <v/>
      </c>
      <c r="U83" s="25" t="str">
        <f aca="false">IF($A83="","",IF(AND(N(Actividades!$E42)&gt;0,U$4&gt;=Actividades!$E42,MOD(U$4-Actividades!$E42,IFERROR(VLOOKUP(Actividades!$D42,Listas!$A$2:$B$8,2,0),52))=0),"P",""))</f>
        <v/>
      </c>
      <c r="V83" s="25" t="str">
        <f aca="false">IF($A83="","",IF(AND(N(Actividades!$E42)&gt;0,V$4&gt;=Actividades!$E42,MOD(V$4-Actividades!$E42,IFERROR(VLOOKUP(Actividades!$D42,Listas!$A$2:$B$8,2,0),52))=0),"P",""))</f>
        <v/>
      </c>
      <c r="W83" s="25" t="str">
        <f aca="false">IF($A83="","",IF(AND(N(Actividades!$E42)&gt;0,W$4&gt;=Actividades!$E42,MOD(W$4-Actividades!$E42,IFERROR(VLOOKUP(Actividades!$D42,Listas!$A$2:$B$8,2,0),52))=0),"P",""))</f>
        <v/>
      </c>
      <c r="X83" s="25" t="str">
        <f aca="false">IF($A83="","",IF(AND(N(Actividades!$E42)&gt;0,X$4&gt;=Actividades!$E42,MOD(X$4-Actividades!$E42,IFERROR(VLOOKUP(Actividades!$D42,Listas!$A$2:$B$8,2,0),52))=0),"P",""))</f>
        <v/>
      </c>
      <c r="Y83" s="25" t="str">
        <f aca="false">IF($A83="","",IF(AND(N(Actividades!$E42)&gt;0,Y$4&gt;=Actividades!$E42,MOD(Y$4-Actividades!$E42,IFERROR(VLOOKUP(Actividades!$D42,Listas!$A$2:$B$8,2,0),52))=0),"P",""))</f>
        <v/>
      </c>
      <c r="Z83" s="25" t="str">
        <f aca="false">IF($A83="","",IF(AND(N(Actividades!$E42)&gt;0,Z$4&gt;=Actividades!$E42,MOD(Z$4-Actividades!$E42,IFERROR(VLOOKUP(Actividades!$D42,Listas!$A$2:$B$8,2,0),52))=0),"P",""))</f>
        <v/>
      </c>
      <c r="AA83" s="25" t="str">
        <f aca="false">IF($A83="","",IF(AND(N(Actividades!$E42)&gt;0,AA$4&gt;=Actividades!$E42,MOD(AA$4-Actividades!$E42,IFERROR(VLOOKUP(Actividades!$D42,Listas!$A$2:$B$8,2,0),52))=0),"P",""))</f>
        <v/>
      </c>
      <c r="AB83" s="25" t="str">
        <f aca="false">IF($A83="","",IF(AND(N(Actividades!$E42)&gt;0,AB$4&gt;=Actividades!$E42,MOD(AB$4-Actividades!$E42,IFERROR(VLOOKUP(Actividades!$D42,Listas!$A$2:$B$8,2,0),52))=0),"P",""))</f>
        <v/>
      </c>
      <c r="AC83" s="25" t="str">
        <f aca="false">IF($A83="","",IF(AND(N(Actividades!$E42)&gt;0,AC$4&gt;=Actividades!$E42,MOD(AC$4-Actividades!$E42,IFERROR(VLOOKUP(Actividades!$D42,Listas!$A$2:$B$8,2,0),52))=0),"P",""))</f>
        <v/>
      </c>
      <c r="AD83" s="25" t="str">
        <f aca="false">IF($A83="","",IF(AND(N(Actividades!$E42)&gt;0,AD$4&gt;=Actividades!$E42,MOD(AD$4-Actividades!$E42,IFERROR(VLOOKUP(Actividades!$D42,Listas!$A$2:$B$8,2,0),52))=0),"P",""))</f>
        <v/>
      </c>
      <c r="AE83" s="25" t="str">
        <f aca="false">IF($A83="","",IF(AND(N(Actividades!$E42)&gt;0,AE$4&gt;=Actividades!$E42,MOD(AE$4-Actividades!$E42,IFERROR(VLOOKUP(Actividades!$D42,Listas!$A$2:$B$8,2,0),52))=0),"P",""))</f>
        <v/>
      </c>
      <c r="AF83" s="25" t="str">
        <f aca="false">IF($A83="","",IF(AND(N(Actividades!$E42)&gt;0,AF$4&gt;=Actividades!$E42,MOD(AF$4-Actividades!$E42,IFERROR(VLOOKUP(Actividades!$D42,Listas!$A$2:$B$8,2,0),52))=0),"P",""))</f>
        <v/>
      </c>
      <c r="AG83" s="25" t="str">
        <f aca="false">IF($A83="","",IF(AND(N(Actividades!$E42)&gt;0,AG$4&gt;=Actividades!$E42,MOD(AG$4-Actividades!$E42,IFERROR(VLOOKUP(Actividades!$D42,Listas!$A$2:$B$8,2,0),52))=0),"P",""))</f>
        <v/>
      </c>
      <c r="AH83" s="25" t="str">
        <f aca="false">IF($A83="","",IF(AND(N(Actividades!$E42)&gt;0,AH$4&gt;=Actividades!$E42,MOD(AH$4-Actividades!$E42,IFERROR(VLOOKUP(Actividades!$D42,Listas!$A$2:$B$8,2,0),52))=0),"P",""))</f>
        <v/>
      </c>
      <c r="AI83" s="25" t="str">
        <f aca="false">IF($A83="","",IF(AND(N(Actividades!$E42)&gt;0,AI$4&gt;=Actividades!$E42,MOD(AI$4-Actividades!$E42,IFERROR(VLOOKUP(Actividades!$D42,Listas!$A$2:$B$8,2,0),52))=0),"P",""))</f>
        <v/>
      </c>
      <c r="AJ83" s="25" t="str">
        <f aca="false">IF($A83="","",IF(AND(N(Actividades!$E42)&gt;0,AJ$4&gt;=Actividades!$E42,MOD(AJ$4-Actividades!$E42,IFERROR(VLOOKUP(Actividades!$D42,Listas!$A$2:$B$8,2,0),52))=0),"P",""))</f>
        <v/>
      </c>
      <c r="AK83" s="25" t="str">
        <f aca="false">IF($A83="","",IF(AND(N(Actividades!$E42)&gt;0,AK$4&gt;=Actividades!$E42,MOD(AK$4-Actividades!$E42,IFERROR(VLOOKUP(Actividades!$D42,Listas!$A$2:$B$8,2,0),52))=0),"P",""))</f>
        <v/>
      </c>
      <c r="AL83" s="25" t="str">
        <f aca="false">IF($A83="","",IF(AND(N(Actividades!$E42)&gt;0,AL$4&gt;=Actividades!$E42,MOD(AL$4-Actividades!$E42,IFERROR(VLOOKUP(Actividades!$D42,Listas!$A$2:$B$8,2,0),52))=0),"P",""))</f>
        <v/>
      </c>
      <c r="AM83" s="25" t="str">
        <f aca="false">IF($A83="","",IF(AND(N(Actividades!$E42)&gt;0,AM$4&gt;=Actividades!$E42,MOD(AM$4-Actividades!$E42,IFERROR(VLOOKUP(Actividades!$D42,Listas!$A$2:$B$8,2,0),52))=0),"P",""))</f>
        <v/>
      </c>
      <c r="AN83" s="25" t="str">
        <f aca="false">IF($A83="","",IF(AND(N(Actividades!$E42)&gt;0,AN$4&gt;=Actividades!$E42,MOD(AN$4-Actividades!$E42,IFERROR(VLOOKUP(Actividades!$D42,Listas!$A$2:$B$8,2,0),52))=0),"P",""))</f>
        <v/>
      </c>
      <c r="AO83" s="25" t="str">
        <f aca="false">IF($A83="","",IF(AND(N(Actividades!$E42)&gt;0,AO$4&gt;=Actividades!$E42,MOD(AO$4-Actividades!$E42,IFERROR(VLOOKUP(Actividades!$D42,Listas!$A$2:$B$8,2,0),52))=0),"P",""))</f>
        <v/>
      </c>
      <c r="AP83" s="25" t="str">
        <f aca="false">IF($A83="","",IF(AND(N(Actividades!$E42)&gt;0,AP$4&gt;=Actividades!$E42,MOD(AP$4-Actividades!$E42,IFERROR(VLOOKUP(Actividades!$D42,Listas!$A$2:$B$8,2,0),52))=0),"P",""))</f>
        <v/>
      </c>
      <c r="AQ83" s="25" t="str">
        <f aca="false">IF($A83="","",IF(AND(N(Actividades!$E42)&gt;0,AQ$4&gt;=Actividades!$E42,MOD(AQ$4-Actividades!$E42,IFERROR(VLOOKUP(Actividades!$D42,Listas!$A$2:$B$8,2,0),52))=0),"P",""))</f>
        <v/>
      </c>
      <c r="AR83" s="25" t="str">
        <f aca="false">IF($A83="","",IF(AND(N(Actividades!$E42)&gt;0,AR$4&gt;=Actividades!$E42,MOD(AR$4-Actividades!$E42,IFERROR(VLOOKUP(Actividades!$D42,Listas!$A$2:$B$8,2,0),52))=0),"P",""))</f>
        <v/>
      </c>
      <c r="AS83" s="25" t="str">
        <f aca="false">IF($A83="","",IF(AND(N(Actividades!$E42)&gt;0,AS$4&gt;=Actividades!$E42,MOD(AS$4-Actividades!$E42,IFERROR(VLOOKUP(Actividades!$D42,Listas!$A$2:$B$8,2,0),52))=0),"P",""))</f>
        <v/>
      </c>
      <c r="AT83" s="25" t="str">
        <f aca="false">IF($A83="","",IF(AND(N(Actividades!$E42)&gt;0,AT$4&gt;=Actividades!$E42,MOD(AT$4-Actividades!$E42,IFERROR(VLOOKUP(Actividades!$D42,Listas!$A$2:$B$8,2,0),52))=0),"P",""))</f>
        <v/>
      </c>
      <c r="AU83" s="25" t="str">
        <f aca="false">IF($A83="","",IF(AND(N(Actividades!$E42)&gt;0,AU$4&gt;=Actividades!$E42,MOD(AU$4-Actividades!$E42,IFERROR(VLOOKUP(Actividades!$D42,Listas!$A$2:$B$8,2,0),52))=0),"P",""))</f>
        <v/>
      </c>
      <c r="AV83" s="25" t="str">
        <f aca="false">IF($A83="","",IF(AND(N(Actividades!$E42)&gt;0,AV$4&gt;=Actividades!$E42,MOD(AV$4-Actividades!$E42,IFERROR(VLOOKUP(Actividades!$D42,Listas!$A$2:$B$8,2,0),52))=0),"P",""))</f>
        <v/>
      </c>
      <c r="AW83" s="25" t="str">
        <f aca="false">IF($A83="","",IF(AND(N(Actividades!$E42)&gt;0,AW$4&gt;=Actividades!$E42,MOD(AW$4-Actividades!$E42,IFERROR(VLOOKUP(Actividades!$D42,Listas!$A$2:$B$8,2,0),52))=0),"P",""))</f>
        <v/>
      </c>
      <c r="AX83" s="25" t="str">
        <f aca="false">IF($A83="","",IF(AND(N(Actividades!$E42)&gt;0,AX$4&gt;=Actividades!$E42,MOD(AX$4-Actividades!$E42,IFERROR(VLOOKUP(Actividades!$D42,Listas!$A$2:$B$8,2,0),52))=0),"P",""))</f>
        <v/>
      </c>
      <c r="AY83" s="25" t="str">
        <f aca="false">IF($A83="","",IF(AND(N(Actividades!$E42)&gt;0,AY$4&gt;=Actividades!$E42,MOD(AY$4-Actividades!$E42,IFERROR(VLOOKUP(Actividades!$D42,Listas!$A$2:$B$8,2,0),52))=0),"P",""))</f>
        <v/>
      </c>
      <c r="AZ83" s="25" t="str">
        <f aca="false">IF($A83="","",IF(AND(N(Actividades!$E42)&gt;0,AZ$4&gt;=Actividades!$E42,MOD(AZ$4-Actividades!$E42,IFERROR(VLOOKUP(Actividades!$D42,Listas!$A$2:$B$8,2,0),52))=0),"P",""))</f>
        <v/>
      </c>
      <c r="BA83" s="25" t="str">
        <f aca="false">IF($A83="","",IF(AND(N(Actividades!$E42)&gt;0,BA$4&gt;=Actividades!$E42,MOD(BA$4-Actividades!$E42,IFERROR(VLOOKUP(Actividades!$D42,Listas!$A$2:$B$8,2,0),52))=0),"P",""))</f>
        <v/>
      </c>
      <c r="BB83" s="25" t="str">
        <f aca="false">IF($A83="","",IF(AND(N(Actividades!$E42)&gt;0,BB$4&gt;=Actividades!$E42,MOD(BB$4-Actividades!$E42,IFERROR(VLOOKUP(Actividades!$D42,Listas!$A$2:$B$8,2,0),52))=0),"P",""))</f>
        <v/>
      </c>
      <c r="BC83" s="25" t="str">
        <f aca="false">IF($A83="","",IF(AND(N(Actividades!$E42)&gt;0,BC$4&gt;=Actividades!$E42,MOD(BC$4-Actividades!$E42,IFERROR(VLOOKUP(Actividades!$D42,Listas!$A$2:$B$8,2,0),52))=0),"P",""))</f>
        <v/>
      </c>
      <c r="BD83" s="26" t="str">
        <f aca="false">IF($A83="","",COUNTIF(D83:BC83,"P"))</f>
        <v/>
      </c>
      <c r="BE83" s="26" t="str">
        <f aca="false">IF($A83="","",SUMPRODUCT((D83:BC83="P")*(D84:BC84="✓")))</f>
        <v/>
      </c>
      <c r="BF83" s="27" t="str">
        <f aca="false">IF($A83="","",IF(BD83=0,"",BE83/BD83))</f>
        <v/>
      </c>
    </row>
    <row r="84" customFormat="false" ht="15" hidden="false" customHeight="false" outlineLevel="0" collapsed="false">
      <c r="A84" s="28"/>
      <c r="B84" s="28"/>
      <c r="C84" s="28" t="str">
        <f aca="false">IF($A83="","","Real")</f>
        <v/>
      </c>
      <c r="D84" s="29" t="str">
        <f aca="false">IF($A83="","",IF(COUNTIFS(Historial!$B$3:$B$502,$A83,Historial!$C$3:$C$502,$B83,Historial!$G$3:$G$502,D$4,Historial!$H$3:$H$502,$B$2)&gt;0,"✓",""))</f>
        <v/>
      </c>
      <c r="E84" s="29" t="str">
        <f aca="false">IF($A83="","",IF(COUNTIFS(Historial!$B$3:$B$502,$A83,Historial!$C$3:$C$502,$B83,Historial!$G$3:$G$502,E$4,Historial!$H$3:$H$502,$B$2)&gt;0,"✓",""))</f>
        <v/>
      </c>
      <c r="F84" s="29" t="str">
        <f aca="false">IF($A83="","",IF(COUNTIFS(Historial!$B$3:$B$502,$A83,Historial!$C$3:$C$502,$B83,Historial!$G$3:$G$502,F$4,Historial!$H$3:$H$502,$B$2)&gt;0,"✓",""))</f>
        <v/>
      </c>
      <c r="G84" s="29" t="str">
        <f aca="false">IF($A83="","",IF(COUNTIFS(Historial!$B$3:$B$502,$A83,Historial!$C$3:$C$502,$B83,Historial!$G$3:$G$502,G$4,Historial!$H$3:$H$502,$B$2)&gt;0,"✓",""))</f>
        <v/>
      </c>
      <c r="H84" s="29" t="str">
        <f aca="false">IF($A83="","",IF(COUNTIFS(Historial!$B$3:$B$502,$A83,Historial!$C$3:$C$502,$B83,Historial!$G$3:$G$502,H$4,Historial!$H$3:$H$502,$B$2)&gt;0,"✓",""))</f>
        <v/>
      </c>
      <c r="I84" s="29" t="str">
        <f aca="false">IF($A83="","",IF(COUNTIFS(Historial!$B$3:$B$502,$A83,Historial!$C$3:$C$502,$B83,Historial!$G$3:$G$502,I$4,Historial!$H$3:$H$502,$B$2)&gt;0,"✓",""))</f>
        <v/>
      </c>
      <c r="J84" s="29" t="str">
        <f aca="false">IF($A83="","",IF(COUNTIFS(Historial!$B$3:$B$502,$A83,Historial!$C$3:$C$502,$B83,Historial!$G$3:$G$502,J$4,Historial!$H$3:$H$502,$B$2)&gt;0,"✓",""))</f>
        <v/>
      </c>
      <c r="K84" s="29" t="str">
        <f aca="false">IF($A83="","",IF(COUNTIFS(Historial!$B$3:$B$502,$A83,Historial!$C$3:$C$502,$B83,Historial!$G$3:$G$502,K$4,Historial!$H$3:$H$502,$B$2)&gt;0,"✓",""))</f>
        <v/>
      </c>
      <c r="L84" s="29" t="str">
        <f aca="false">IF($A83="","",IF(COUNTIFS(Historial!$B$3:$B$502,$A83,Historial!$C$3:$C$502,$B83,Historial!$G$3:$G$502,L$4,Historial!$H$3:$H$502,$B$2)&gt;0,"✓",""))</f>
        <v/>
      </c>
      <c r="M84" s="29" t="str">
        <f aca="false">IF($A83="","",IF(COUNTIFS(Historial!$B$3:$B$502,$A83,Historial!$C$3:$C$502,$B83,Historial!$G$3:$G$502,M$4,Historial!$H$3:$H$502,$B$2)&gt;0,"✓",""))</f>
        <v/>
      </c>
      <c r="N84" s="29" t="str">
        <f aca="false">IF($A83="","",IF(COUNTIFS(Historial!$B$3:$B$502,$A83,Historial!$C$3:$C$502,$B83,Historial!$G$3:$G$502,N$4,Historial!$H$3:$H$502,$B$2)&gt;0,"✓",""))</f>
        <v/>
      </c>
      <c r="O84" s="29" t="str">
        <f aca="false">IF($A83="","",IF(COUNTIFS(Historial!$B$3:$B$502,$A83,Historial!$C$3:$C$502,$B83,Historial!$G$3:$G$502,O$4,Historial!$H$3:$H$502,$B$2)&gt;0,"✓",""))</f>
        <v/>
      </c>
      <c r="P84" s="29" t="str">
        <f aca="false">IF($A83="","",IF(COUNTIFS(Historial!$B$3:$B$502,$A83,Historial!$C$3:$C$502,$B83,Historial!$G$3:$G$502,P$4,Historial!$H$3:$H$502,$B$2)&gt;0,"✓",""))</f>
        <v/>
      </c>
      <c r="Q84" s="29" t="str">
        <f aca="false">IF($A83="","",IF(COUNTIFS(Historial!$B$3:$B$502,$A83,Historial!$C$3:$C$502,$B83,Historial!$G$3:$G$502,Q$4,Historial!$H$3:$H$502,$B$2)&gt;0,"✓",""))</f>
        <v/>
      </c>
      <c r="R84" s="29" t="str">
        <f aca="false">IF($A83="","",IF(COUNTIFS(Historial!$B$3:$B$502,$A83,Historial!$C$3:$C$502,$B83,Historial!$G$3:$G$502,R$4,Historial!$H$3:$H$502,$B$2)&gt;0,"✓",""))</f>
        <v/>
      </c>
      <c r="S84" s="29" t="str">
        <f aca="false">IF($A83="","",IF(COUNTIFS(Historial!$B$3:$B$502,$A83,Historial!$C$3:$C$502,$B83,Historial!$G$3:$G$502,S$4,Historial!$H$3:$H$502,$B$2)&gt;0,"✓",""))</f>
        <v/>
      </c>
      <c r="T84" s="29" t="str">
        <f aca="false">IF($A83="","",IF(COUNTIFS(Historial!$B$3:$B$502,$A83,Historial!$C$3:$C$502,$B83,Historial!$G$3:$G$502,T$4,Historial!$H$3:$H$502,$B$2)&gt;0,"✓",""))</f>
        <v/>
      </c>
      <c r="U84" s="29" t="str">
        <f aca="false">IF($A83="","",IF(COUNTIFS(Historial!$B$3:$B$502,$A83,Historial!$C$3:$C$502,$B83,Historial!$G$3:$G$502,U$4,Historial!$H$3:$H$502,$B$2)&gt;0,"✓",""))</f>
        <v/>
      </c>
      <c r="V84" s="29" t="str">
        <f aca="false">IF($A83="","",IF(COUNTIFS(Historial!$B$3:$B$502,$A83,Historial!$C$3:$C$502,$B83,Historial!$G$3:$G$502,V$4,Historial!$H$3:$H$502,$B$2)&gt;0,"✓",""))</f>
        <v/>
      </c>
      <c r="W84" s="29" t="str">
        <f aca="false">IF($A83="","",IF(COUNTIFS(Historial!$B$3:$B$502,$A83,Historial!$C$3:$C$502,$B83,Historial!$G$3:$G$502,W$4,Historial!$H$3:$H$502,$B$2)&gt;0,"✓",""))</f>
        <v/>
      </c>
      <c r="X84" s="29" t="str">
        <f aca="false">IF($A83="","",IF(COUNTIFS(Historial!$B$3:$B$502,$A83,Historial!$C$3:$C$502,$B83,Historial!$G$3:$G$502,X$4,Historial!$H$3:$H$502,$B$2)&gt;0,"✓",""))</f>
        <v/>
      </c>
      <c r="Y84" s="29" t="str">
        <f aca="false">IF($A83="","",IF(COUNTIFS(Historial!$B$3:$B$502,$A83,Historial!$C$3:$C$502,$B83,Historial!$G$3:$G$502,Y$4,Historial!$H$3:$H$502,$B$2)&gt;0,"✓",""))</f>
        <v/>
      </c>
      <c r="Z84" s="29" t="str">
        <f aca="false">IF($A83="","",IF(COUNTIFS(Historial!$B$3:$B$502,$A83,Historial!$C$3:$C$502,$B83,Historial!$G$3:$G$502,Z$4,Historial!$H$3:$H$502,$B$2)&gt;0,"✓",""))</f>
        <v/>
      </c>
      <c r="AA84" s="29" t="str">
        <f aca="false">IF($A83="","",IF(COUNTIFS(Historial!$B$3:$B$502,$A83,Historial!$C$3:$C$502,$B83,Historial!$G$3:$G$502,AA$4,Historial!$H$3:$H$502,$B$2)&gt;0,"✓",""))</f>
        <v/>
      </c>
      <c r="AB84" s="29" t="str">
        <f aca="false">IF($A83="","",IF(COUNTIFS(Historial!$B$3:$B$502,$A83,Historial!$C$3:$C$502,$B83,Historial!$G$3:$G$502,AB$4,Historial!$H$3:$H$502,$B$2)&gt;0,"✓",""))</f>
        <v/>
      </c>
      <c r="AC84" s="29" t="str">
        <f aca="false">IF($A83="","",IF(COUNTIFS(Historial!$B$3:$B$502,$A83,Historial!$C$3:$C$502,$B83,Historial!$G$3:$G$502,AC$4,Historial!$H$3:$H$502,$B$2)&gt;0,"✓",""))</f>
        <v/>
      </c>
      <c r="AD84" s="29" t="str">
        <f aca="false">IF($A83="","",IF(COUNTIFS(Historial!$B$3:$B$502,$A83,Historial!$C$3:$C$502,$B83,Historial!$G$3:$G$502,AD$4,Historial!$H$3:$H$502,$B$2)&gt;0,"✓",""))</f>
        <v/>
      </c>
      <c r="AE84" s="29" t="str">
        <f aca="false">IF($A83="","",IF(COUNTIFS(Historial!$B$3:$B$502,$A83,Historial!$C$3:$C$502,$B83,Historial!$G$3:$G$502,AE$4,Historial!$H$3:$H$502,$B$2)&gt;0,"✓",""))</f>
        <v/>
      </c>
      <c r="AF84" s="29" t="str">
        <f aca="false">IF($A83="","",IF(COUNTIFS(Historial!$B$3:$B$502,$A83,Historial!$C$3:$C$502,$B83,Historial!$G$3:$G$502,AF$4,Historial!$H$3:$H$502,$B$2)&gt;0,"✓",""))</f>
        <v/>
      </c>
      <c r="AG84" s="29" t="str">
        <f aca="false">IF($A83="","",IF(COUNTIFS(Historial!$B$3:$B$502,$A83,Historial!$C$3:$C$502,$B83,Historial!$G$3:$G$502,AG$4,Historial!$H$3:$H$502,$B$2)&gt;0,"✓",""))</f>
        <v/>
      </c>
      <c r="AH84" s="29" t="str">
        <f aca="false">IF($A83="","",IF(COUNTIFS(Historial!$B$3:$B$502,$A83,Historial!$C$3:$C$502,$B83,Historial!$G$3:$G$502,AH$4,Historial!$H$3:$H$502,$B$2)&gt;0,"✓",""))</f>
        <v/>
      </c>
      <c r="AI84" s="29" t="str">
        <f aca="false">IF($A83="","",IF(COUNTIFS(Historial!$B$3:$B$502,$A83,Historial!$C$3:$C$502,$B83,Historial!$G$3:$G$502,AI$4,Historial!$H$3:$H$502,$B$2)&gt;0,"✓",""))</f>
        <v/>
      </c>
      <c r="AJ84" s="29" t="str">
        <f aca="false">IF($A83="","",IF(COUNTIFS(Historial!$B$3:$B$502,$A83,Historial!$C$3:$C$502,$B83,Historial!$G$3:$G$502,AJ$4,Historial!$H$3:$H$502,$B$2)&gt;0,"✓",""))</f>
        <v/>
      </c>
      <c r="AK84" s="29" t="str">
        <f aca="false">IF($A83="","",IF(COUNTIFS(Historial!$B$3:$B$502,$A83,Historial!$C$3:$C$502,$B83,Historial!$G$3:$G$502,AK$4,Historial!$H$3:$H$502,$B$2)&gt;0,"✓",""))</f>
        <v/>
      </c>
      <c r="AL84" s="29" t="str">
        <f aca="false">IF($A83="","",IF(COUNTIFS(Historial!$B$3:$B$502,$A83,Historial!$C$3:$C$502,$B83,Historial!$G$3:$G$502,AL$4,Historial!$H$3:$H$502,$B$2)&gt;0,"✓",""))</f>
        <v/>
      </c>
      <c r="AM84" s="29" t="str">
        <f aca="false">IF($A83="","",IF(COUNTIFS(Historial!$B$3:$B$502,$A83,Historial!$C$3:$C$502,$B83,Historial!$G$3:$G$502,AM$4,Historial!$H$3:$H$502,$B$2)&gt;0,"✓",""))</f>
        <v/>
      </c>
      <c r="AN84" s="29" t="str">
        <f aca="false">IF($A83="","",IF(COUNTIFS(Historial!$B$3:$B$502,$A83,Historial!$C$3:$C$502,$B83,Historial!$G$3:$G$502,AN$4,Historial!$H$3:$H$502,$B$2)&gt;0,"✓",""))</f>
        <v/>
      </c>
      <c r="AO84" s="29" t="str">
        <f aca="false">IF($A83="","",IF(COUNTIFS(Historial!$B$3:$B$502,$A83,Historial!$C$3:$C$502,$B83,Historial!$G$3:$G$502,AO$4,Historial!$H$3:$H$502,$B$2)&gt;0,"✓",""))</f>
        <v/>
      </c>
      <c r="AP84" s="29" t="str">
        <f aca="false">IF($A83="","",IF(COUNTIFS(Historial!$B$3:$B$502,$A83,Historial!$C$3:$C$502,$B83,Historial!$G$3:$G$502,AP$4,Historial!$H$3:$H$502,$B$2)&gt;0,"✓",""))</f>
        <v/>
      </c>
      <c r="AQ84" s="29" t="str">
        <f aca="false">IF($A83="","",IF(COUNTIFS(Historial!$B$3:$B$502,$A83,Historial!$C$3:$C$502,$B83,Historial!$G$3:$G$502,AQ$4,Historial!$H$3:$H$502,$B$2)&gt;0,"✓",""))</f>
        <v/>
      </c>
      <c r="AR84" s="29" t="str">
        <f aca="false">IF($A83="","",IF(COUNTIFS(Historial!$B$3:$B$502,$A83,Historial!$C$3:$C$502,$B83,Historial!$G$3:$G$502,AR$4,Historial!$H$3:$H$502,$B$2)&gt;0,"✓",""))</f>
        <v/>
      </c>
      <c r="AS84" s="29" t="str">
        <f aca="false">IF($A83="","",IF(COUNTIFS(Historial!$B$3:$B$502,$A83,Historial!$C$3:$C$502,$B83,Historial!$G$3:$G$502,AS$4,Historial!$H$3:$H$502,$B$2)&gt;0,"✓",""))</f>
        <v/>
      </c>
      <c r="AT84" s="29" t="str">
        <f aca="false">IF($A83="","",IF(COUNTIFS(Historial!$B$3:$B$502,$A83,Historial!$C$3:$C$502,$B83,Historial!$G$3:$G$502,AT$4,Historial!$H$3:$H$502,$B$2)&gt;0,"✓",""))</f>
        <v/>
      </c>
      <c r="AU84" s="29" t="str">
        <f aca="false">IF($A83="","",IF(COUNTIFS(Historial!$B$3:$B$502,$A83,Historial!$C$3:$C$502,$B83,Historial!$G$3:$G$502,AU$4,Historial!$H$3:$H$502,$B$2)&gt;0,"✓",""))</f>
        <v/>
      </c>
      <c r="AV84" s="29" t="str">
        <f aca="false">IF($A83="","",IF(COUNTIFS(Historial!$B$3:$B$502,$A83,Historial!$C$3:$C$502,$B83,Historial!$G$3:$G$502,AV$4,Historial!$H$3:$H$502,$B$2)&gt;0,"✓",""))</f>
        <v/>
      </c>
      <c r="AW84" s="29" t="str">
        <f aca="false">IF($A83="","",IF(COUNTIFS(Historial!$B$3:$B$502,$A83,Historial!$C$3:$C$502,$B83,Historial!$G$3:$G$502,AW$4,Historial!$H$3:$H$502,$B$2)&gt;0,"✓",""))</f>
        <v/>
      </c>
      <c r="AX84" s="29" t="str">
        <f aca="false">IF($A83="","",IF(COUNTIFS(Historial!$B$3:$B$502,$A83,Historial!$C$3:$C$502,$B83,Historial!$G$3:$G$502,AX$4,Historial!$H$3:$H$502,$B$2)&gt;0,"✓",""))</f>
        <v/>
      </c>
      <c r="AY84" s="29" t="str">
        <f aca="false">IF($A83="","",IF(COUNTIFS(Historial!$B$3:$B$502,$A83,Historial!$C$3:$C$502,$B83,Historial!$G$3:$G$502,AY$4,Historial!$H$3:$H$502,$B$2)&gt;0,"✓",""))</f>
        <v/>
      </c>
      <c r="AZ84" s="29" t="str">
        <f aca="false">IF($A83="","",IF(COUNTIFS(Historial!$B$3:$B$502,$A83,Historial!$C$3:$C$502,$B83,Historial!$G$3:$G$502,AZ$4,Historial!$H$3:$H$502,$B$2)&gt;0,"✓",""))</f>
        <v/>
      </c>
      <c r="BA84" s="29" t="str">
        <f aca="false">IF($A83="","",IF(COUNTIFS(Historial!$B$3:$B$502,$A83,Historial!$C$3:$C$502,$B83,Historial!$G$3:$G$502,BA$4,Historial!$H$3:$H$502,$B$2)&gt;0,"✓",""))</f>
        <v/>
      </c>
      <c r="BB84" s="29" t="str">
        <f aca="false">IF($A83="","",IF(COUNTIFS(Historial!$B$3:$B$502,$A83,Historial!$C$3:$C$502,$B83,Historial!$G$3:$G$502,BB$4,Historial!$H$3:$H$502,$B$2)&gt;0,"✓",""))</f>
        <v/>
      </c>
      <c r="BC84" s="29" t="str">
        <f aca="false">IF($A83="","",IF(COUNTIFS(Historial!$B$3:$B$502,$A83,Historial!$C$3:$C$502,$B83,Historial!$G$3:$G$502,BC$4,Historial!$H$3:$H$502,$B$2)&gt;0,"✓",""))</f>
        <v/>
      </c>
      <c r="BD84" s="29"/>
      <c r="BE84" s="29"/>
      <c r="BF84" s="29"/>
    </row>
    <row r="85" customFormat="false" ht="15" hidden="false" customHeight="false" outlineLevel="0" collapsed="false">
      <c r="A85" s="24" t="str">
        <f aca="false">IF(Actividades!$B43="","",Actividades!$B43)</f>
        <v/>
      </c>
      <c r="B85" s="24" t="str">
        <f aca="false">IF(Actividades!$C43="","",Actividades!$C43)</f>
        <v/>
      </c>
      <c r="C85" s="24" t="str">
        <f aca="false">IF($A85="","","Plan")</f>
        <v/>
      </c>
      <c r="D85" s="25" t="str">
        <f aca="false">IF($A85="","",IF(AND(N(Actividades!$E43)&gt;0,D$4&gt;=Actividades!$E43,MOD(D$4-Actividades!$E43,IFERROR(VLOOKUP(Actividades!$D43,Listas!$A$2:$B$8,2,0),52))=0),"P",""))</f>
        <v/>
      </c>
      <c r="E85" s="25" t="str">
        <f aca="false">IF($A85="","",IF(AND(N(Actividades!$E43)&gt;0,E$4&gt;=Actividades!$E43,MOD(E$4-Actividades!$E43,IFERROR(VLOOKUP(Actividades!$D43,Listas!$A$2:$B$8,2,0),52))=0),"P",""))</f>
        <v/>
      </c>
      <c r="F85" s="25" t="str">
        <f aca="false">IF($A85="","",IF(AND(N(Actividades!$E43)&gt;0,F$4&gt;=Actividades!$E43,MOD(F$4-Actividades!$E43,IFERROR(VLOOKUP(Actividades!$D43,Listas!$A$2:$B$8,2,0),52))=0),"P",""))</f>
        <v/>
      </c>
      <c r="G85" s="25" t="str">
        <f aca="false">IF($A85="","",IF(AND(N(Actividades!$E43)&gt;0,G$4&gt;=Actividades!$E43,MOD(G$4-Actividades!$E43,IFERROR(VLOOKUP(Actividades!$D43,Listas!$A$2:$B$8,2,0),52))=0),"P",""))</f>
        <v/>
      </c>
      <c r="H85" s="25" t="str">
        <f aca="false">IF($A85="","",IF(AND(N(Actividades!$E43)&gt;0,H$4&gt;=Actividades!$E43,MOD(H$4-Actividades!$E43,IFERROR(VLOOKUP(Actividades!$D43,Listas!$A$2:$B$8,2,0),52))=0),"P",""))</f>
        <v/>
      </c>
      <c r="I85" s="25" t="str">
        <f aca="false">IF($A85="","",IF(AND(N(Actividades!$E43)&gt;0,I$4&gt;=Actividades!$E43,MOD(I$4-Actividades!$E43,IFERROR(VLOOKUP(Actividades!$D43,Listas!$A$2:$B$8,2,0),52))=0),"P",""))</f>
        <v/>
      </c>
      <c r="J85" s="25" t="str">
        <f aca="false">IF($A85="","",IF(AND(N(Actividades!$E43)&gt;0,J$4&gt;=Actividades!$E43,MOD(J$4-Actividades!$E43,IFERROR(VLOOKUP(Actividades!$D43,Listas!$A$2:$B$8,2,0),52))=0),"P",""))</f>
        <v/>
      </c>
      <c r="K85" s="25" t="str">
        <f aca="false">IF($A85="","",IF(AND(N(Actividades!$E43)&gt;0,K$4&gt;=Actividades!$E43,MOD(K$4-Actividades!$E43,IFERROR(VLOOKUP(Actividades!$D43,Listas!$A$2:$B$8,2,0),52))=0),"P",""))</f>
        <v/>
      </c>
      <c r="L85" s="25" t="str">
        <f aca="false">IF($A85="","",IF(AND(N(Actividades!$E43)&gt;0,L$4&gt;=Actividades!$E43,MOD(L$4-Actividades!$E43,IFERROR(VLOOKUP(Actividades!$D43,Listas!$A$2:$B$8,2,0),52))=0),"P",""))</f>
        <v/>
      </c>
      <c r="M85" s="25" t="str">
        <f aca="false">IF($A85="","",IF(AND(N(Actividades!$E43)&gt;0,M$4&gt;=Actividades!$E43,MOD(M$4-Actividades!$E43,IFERROR(VLOOKUP(Actividades!$D43,Listas!$A$2:$B$8,2,0),52))=0),"P",""))</f>
        <v/>
      </c>
      <c r="N85" s="25" t="str">
        <f aca="false">IF($A85="","",IF(AND(N(Actividades!$E43)&gt;0,N$4&gt;=Actividades!$E43,MOD(N$4-Actividades!$E43,IFERROR(VLOOKUP(Actividades!$D43,Listas!$A$2:$B$8,2,0),52))=0),"P",""))</f>
        <v/>
      </c>
      <c r="O85" s="25" t="str">
        <f aca="false">IF($A85="","",IF(AND(N(Actividades!$E43)&gt;0,O$4&gt;=Actividades!$E43,MOD(O$4-Actividades!$E43,IFERROR(VLOOKUP(Actividades!$D43,Listas!$A$2:$B$8,2,0),52))=0),"P",""))</f>
        <v/>
      </c>
      <c r="P85" s="25" t="str">
        <f aca="false">IF($A85="","",IF(AND(N(Actividades!$E43)&gt;0,P$4&gt;=Actividades!$E43,MOD(P$4-Actividades!$E43,IFERROR(VLOOKUP(Actividades!$D43,Listas!$A$2:$B$8,2,0),52))=0),"P",""))</f>
        <v/>
      </c>
      <c r="Q85" s="25" t="str">
        <f aca="false">IF($A85="","",IF(AND(N(Actividades!$E43)&gt;0,Q$4&gt;=Actividades!$E43,MOD(Q$4-Actividades!$E43,IFERROR(VLOOKUP(Actividades!$D43,Listas!$A$2:$B$8,2,0),52))=0),"P",""))</f>
        <v/>
      </c>
      <c r="R85" s="25" t="str">
        <f aca="false">IF($A85="","",IF(AND(N(Actividades!$E43)&gt;0,R$4&gt;=Actividades!$E43,MOD(R$4-Actividades!$E43,IFERROR(VLOOKUP(Actividades!$D43,Listas!$A$2:$B$8,2,0),52))=0),"P",""))</f>
        <v/>
      </c>
      <c r="S85" s="25" t="str">
        <f aca="false">IF($A85="","",IF(AND(N(Actividades!$E43)&gt;0,S$4&gt;=Actividades!$E43,MOD(S$4-Actividades!$E43,IFERROR(VLOOKUP(Actividades!$D43,Listas!$A$2:$B$8,2,0),52))=0),"P",""))</f>
        <v/>
      </c>
      <c r="T85" s="25" t="str">
        <f aca="false">IF($A85="","",IF(AND(N(Actividades!$E43)&gt;0,T$4&gt;=Actividades!$E43,MOD(T$4-Actividades!$E43,IFERROR(VLOOKUP(Actividades!$D43,Listas!$A$2:$B$8,2,0),52))=0),"P",""))</f>
        <v/>
      </c>
      <c r="U85" s="25" t="str">
        <f aca="false">IF($A85="","",IF(AND(N(Actividades!$E43)&gt;0,U$4&gt;=Actividades!$E43,MOD(U$4-Actividades!$E43,IFERROR(VLOOKUP(Actividades!$D43,Listas!$A$2:$B$8,2,0),52))=0),"P",""))</f>
        <v/>
      </c>
      <c r="V85" s="25" t="str">
        <f aca="false">IF($A85="","",IF(AND(N(Actividades!$E43)&gt;0,V$4&gt;=Actividades!$E43,MOD(V$4-Actividades!$E43,IFERROR(VLOOKUP(Actividades!$D43,Listas!$A$2:$B$8,2,0),52))=0),"P",""))</f>
        <v/>
      </c>
      <c r="W85" s="25" t="str">
        <f aca="false">IF($A85="","",IF(AND(N(Actividades!$E43)&gt;0,W$4&gt;=Actividades!$E43,MOD(W$4-Actividades!$E43,IFERROR(VLOOKUP(Actividades!$D43,Listas!$A$2:$B$8,2,0),52))=0),"P",""))</f>
        <v/>
      </c>
      <c r="X85" s="25" t="str">
        <f aca="false">IF($A85="","",IF(AND(N(Actividades!$E43)&gt;0,X$4&gt;=Actividades!$E43,MOD(X$4-Actividades!$E43,IFERROR(VLOOKUP(Actividades!$D43,Listas!$A$2:$B$8,2,0),52))=0),"P",""))</f>
        <v/>
      </c>
      <c r="Y85" s="25" t="str">
        <f aca="false">IF($A85="","",IF(AND(N(Actividades!$E43)&gt;0,Y$4&gt;=Actividades!$E43,MOD(Y$4-Actividades!$E43,IFERROR(VLOOKUP(Actividades!$D43,Listas!$A$2:$B$8,2,0),52))=0),"P",""))</f>
        <v/>
      </c>
      <c r="Z85" s="25" t="str">
        <f aca="false">IF($A85="","",IF(AND(N(Actividades!$E43)&gt;0,Z$4&gt;=Actividades!$E43,MOD(Z$4-Actividades!$E43,IFERROR(VLOOKUP(Actividades!$D43,Listas!$A$2:$B$8,2,0),52))=0),"P",""))</f>
        <v/>
      </c>
      <c r="AA85" s="25" t="str">
        <f aca="false">IF($A85="","",IF(AND(N(Actividades!$E43)&gt;0,AA$4&gt;=Actividades!$E43,MOD(AA$4-Actividades!$E43,IFERROR(VLOOKUP(Actividades!$D43,Listas!$A$2:$B$8,2,0),52))=0),"P",""))</f>
        <v/>
      </c>
      <c r="AB85" s="25" t="str">
        <f aca="false">IF($A85="","",IF(AND(N(Actividades!$E43)&gt;0,AB$4&gt;=Actividades!$E43,MOD(AB$4-Actividades!$E43,IFERROR(VLOOKUP(Actividades!$D43,Listas!$A$2:$B$8,2,0),52))=0),"P",""))</f>
        <v/>
      </c>
      <c r="AC85" s="25" t="str">
        <f aca="false">IF($A85="","",IF(AND(N(Actividades!$E43)&gt;0,AC$4&gt;=Actividades!$E43,MOD(AC$4-Actividades!$E43,IFERROR(VLOOKUP(Actividades!$D43,Listas!$A$2:$B$8,2,0),52))=0),"P",""))</f>
        <v/>
      </c>
      <c r="AD85" s="25" t="str">
        <f aca="false">IF($A85="","",IF(AND(N(Actividades!$E43)&gt;0,AD$4&gt;=Actividades!$E43,MOD(AD$4-Actividades!$E43,IFERROR(VLOOKUP(Actividades!$D43,Listas!$A$2:$B$8,2,0),52))=0),"P",""))</f>
        <v/>
      </c>
      <c r="AE85" s="25" t="str">
        <f aca="false">IF($A85="","",IF(AND(N(Actividades!$E43)&gt;0,AE$4&gt;=Actividades!$E43,MOD(AE$4-Actividades!$E43,IFERROR(VLOOKUP(Actividades!$D43,Listas!$A$2:$B$8,2,0),52))=0),"P",""))</f>
        <v/>
      </c>
      <c r="AF85" s="25" t="str">
        <f aca="false">IF($A85="","",IF(AND(N(Actividades!$E43)&gt;0,AF$4&gt;=Actividades!$E43,MOD(AF$4-Actividades!$E43,IFERROR(VLOOKUP(Actividades!$D43,Listas!$A$2:$B$8,2,0),52))=0),"P",""))</f>
        <v/>
      </c>
      <c r="AG85" s="25" t="str">
        <f aca="false">IF($A85="","",IF(AND(N(Actividades!$E43)&gt;0,AG$4&gt;=Actividades!$E43,MOD(AG$4-Actividades!$E43,IFERROR(VLOOKUP(Actividades!$D43,Listas!$A$2:$B$8,2,0),52))=0),"P",""))</f>
        <v/>
      </c>
      <c r="AH85" s="25" t="str">
        <f aca="false">IF($A85="","",IF(AND(N(Actividades!$E43)&gt;0,AH$4&gt;=Actividades!$E43,MOD(AH$4-Actividades!$E43,IFERROR(VLOOKUP(Actividades!$D43,Listas!$A$2:$B$8,2,0),52))=0),"P",""))</f>
        <v/>
      </c>
      <c r="AI85" s="25" t="str">
        <f aca="false">IF($A85="","",IF(AND(N(Actividades!$E43)&gt;0,AI$4&gt;=Actividades!$E43,MOD(AI$4-Actividades!$E43,IFERROR(VLOOKUP(Actividades!$D43,Listas!$A$2:$B$8,2,0),52))=0),"P",""))</f>
        <v/>
      </c>
      <c r="AJ85" s="25" t="str">
        <f aca="false">IF($A85="","",IF(AND(N(Actividades!$E43)&gt;0,AJ$4&gt;=Actividades!$E43,MOD(AJ$4-Actividades!$E43,IFERROR(VLOOKUP(Actividades!$D43,Listas!$A$2:$B$8,2,0),52))=0),"P",""))</f>
        <v/>
      </c>
      <c r="AK85" s="25" t="str">
        <f aca="false">IF($A85="","",IF(AND(N(Actividades!$E43)&gt;0,AK$4&gt;=Actividades!$E43,MOD(AK$4-Actividades!$E43,IFERROR(VLOOKUP(Actividades!$D43,Listas!$A$2:$B$8,2,0),52))=0),"P",""))</f>
        <v/>
      </c>
      <c r="AL85" s="25" t="str">
        <f aca="false">IF($A85="","",IF(AND(N(Actividades!$E43)&gt;0,AL$4&gt;=Actividades!$E43,MOD(AL$4-Actividades!$E43,IFERROR(VLOOKUP(Actividades!$D43,Listas!$A$2:$B$8,2,0),52))=0),"P",""))</f>
        <v/>
      </c>
      <c r="AM85" s="25" t="str">
        <f aca="false">IF($A85="","",IF(AND(N(Actividades!$E43)&gt;0,AM$4&gt;=Actividades!$E43,MOD(AM$4-Actividades!$E43,IFERROR(VLOOKUP(Actividades!$D43,Listas!$A$2:$B$8,2,0),52))=0),"P",""))</f>
        <v/>
      </c>
      <c r="AN85" s="25" t="str">
        <f aca="false">IF($A85="","",IF(AND(N(Actividades!$E43)&gt;0,AN$4&gt;=Actividades!$E43,MOD(AN$4-Actividades!$E43,IFERROR(VLOOKUP(Actividades!$D43,Listas!$A$2:$B$8,2,0),52))=0),"P",""))</f>
        <v/>
      </c>
      <c r="AO85" s="25" t="str">
        <f aca="false">IF($A85="","",IF(AND(N(Actividades!$E43)&gt;0,AO$4&gt;=Actividades!$E43,MOD(AO$4-Actividades!$E43,IFERROR(VLOOKUP(Actividades!$D43,Listas!$A$2:$B$8,2,0),52))=0),"P",""))</f>
        <v/>
      </c>
      <c r="AP85" s="25" t="str">
        <f aca="false">IF($A85="","",IF(AND(N(Actividades!$E43)&gt;0,AP$4&gt;=Actividades!$E43,MOD(AP$4-Actividades!$E43,IFERROR(VLOOKUP(Actividades!$D43,Listas!$A$2:$B$8,2,0),52))=0),"P",""))</f>
        <v/>
      </c>
      <c r="AQ85" s="25" t="str">
        <f aca="false">IF($A85="","",IF(AND(N(Actividades!$E43)&gt;0,AQ$4&gt;=Actividades!$E43,MOD(AQ$4-Actividades!$E43,IFERROR(VLOOKUP(Actividades!$D43,Listas!$A$2:$B$8,2,0),52))=0),"P",""))</f>
        <v/>
      </c>
      <c r="AR85" s="25" t="str">
        <f aca="false">IF($A85="","",IF(AND(N(Actividades!$E43)&gt;0,AR$4&gt;=Actividades!$E43,MOD(AR$4-Actividades!$E43,IFERROR(VLOOKUP(Actividades!$D43,Listas!$A$2:$B$8,2,0),52))=0),"P",""))</f>
        <v/>
      </c>
      <c r="AS85" s="25" t="str">
        <f aca="false">IF($A85="","",IF(AND(N(Actividades!$E43)&gt;0,AS$4&gt;=Actividades!$E43,MOD(AS$4-Actividades!$E43,IFERROR(VLOOKUP(Actividades!$D43,Listas!$A$2:$B$8,2,0),52))=0),"P",""))</f>
        <v/>
      </c>
      <c r="AT85" s="25" t="str">
        <f aca="false">IF($A85="","",IF(AND(N(Actividades!$E43)&gt;0,AT$4&gt;=Actividades!$E43,MOD(AT$4-Actividades!$E43,IFERROR(VLOOKUP(Actividades!$D43,Listas!$A$2:$B$8,2,0),52))=0),"P",""))</f>
        <v/>
      </c>
      <c r="AU85" s="25" t="str">
        <f aca="false">IF($A85="","",IF(AND(N(Actividades!$E43)&gt;0,AU$4&gt;=Actividades!$E43,MOD(AU$4-Actividades!$E43,IFERROR(VLOOKUP(Actividades!$D43,Listas!$A$2:$B$8,2,0),52))=0),"P",""))</f>
        <v/>
      </c>
      <c r="AV85" s="25" t="str">
        <f aca="false">IF($A85="","",IF(AND(N(Actividades!$E43)&gt;0,AV$4&gt;=Actividades!$E43,MOD(AV$4-Actividades!$E43,IFERROR(VLOOKUP(Actividades!$D43,Listas!$A$2:$B$8,2,0),52))=0),"P",""))</f>
        <v/>
      </c>
      <c r="AW85" s="25" t="str">
        <f aca="false">IF($A85="","",IF(AND(N(Actividades!$E43)&gt;0,AW$4&gt;=Actividades!$E43,MOD(AW$4-Actividades!$E43,IFERROR(VLOOKUP(Actividades!$D43,Listas!$A$2:$B$8,2,0),52))=0),"P",""))</f>
        <v/>
      </c>
      <c r="AX85" s="25" t="str">
        <f aca="false">IF($A85="","",IF(AND(N(Actividades!$E43)&gt;0,AX$4&gt;=Actividades!$E43,MOD(AX$4-Actividades!$E43,IFERROR(VLOOKUP(Actividades!$D43,Listas!$A$2:$B$8,2,0),52))=0),"P",""))</f>
        <v/>
      </c>
      <c r="AY85" s="25" t="str">
        <f aca="false">IF($A85="","",IF(AND(N(Actividades!$E43)&gt;0,AY$4&gt;=Actividades!$E43,MOD(AY$4-Actividades!$E43,IFERROR(VLOOKUP(Actividades!$D43,Listas!$A$2:$B$8,2,0),52))=0),"P",""))</f>
        <v/>
      </c>
      <c r="AZ85" s="25" t="str">
        <f aca="false">IF($A85="","",IF(AND(N(Actividades!$E43)&gt;0,AZ$4&gt;=Actividades!$E43,MOD(AZ$4-Actividades!$E43,IFERROR(VLOOKUP(Actividades!$D43,Listas!$A$2:$B$8,2,0),52))=0),"P",""))</f>
        <v/>
      </c>
      <c r="BA85" s="25" t="str">
        <f aca="false">IF($A85="","",IF(AND(N(Actividades!$E43)&gt;0,BA$4&gt;=Actividades!$E43,MOD(BA$4-Actividades!$E43,IFERROR(VLOOKUP(Actividades!$D43,Listas!$A$2:$B$8,2,0),52))=0),"P",""))</f>
        <v/>
      </c>
      <c r="BB85" s="25" t="str">
        <f aca="false">IF($A85="","",IF(AND(N(Actividades!$E43)&gt;0,BB$4&gt;=Actividades!$E43,MOD(BB$4-Actividades!$E43,IFERROR(VLOOKUP(Actividades!$D43,Listas!$A$2:$B$8,2,0),52))=0),"P",""))</f>
        <v/>
      </c>
      <c r="BC85" s="25" t="str">
        <f aca="false">IF($A85="","",IF(AND(N(Actividades!$E43)&gt;0,BC$4&gt;=Actividades!$E43,MOD(BC$4-Actividades!$E43,IFERROR(VLOOKUP(Actividades!$D43,Listas!$A$2:$B$8,2,0),52))=0),"P",""))</f>
        <v/>
      </c>
      <c r="BD85" s="26" t="str">
        <f aca="false">IF($A85="","",COUNTIF(D85:BC85,"P"))</f>
        <v/>
      </c>
      <c r="BE85" s="26" t="str">
        <f aca="false">IF($A85="","",SUMPRODUCT((D85:BC85="P")*(D86:BC86="✓")))</f>
        <v/>
      </c>
      <c r="BF85" s="27" t="str">
        <f aca="false">IF($A85="","",IF(BD85=0,"",BE85/BD85))</f>
        <v/>
      </c>
    </row>
    <row r="86" customFormat="false" ht="15" hidden="false" customHeight="false" outlineLevel="0" collapsed="false">
      <c r="A86" s="28"/>
      <c r="B86" s="28"/>
      <c r="C86" s="28" t="str">
        <f aca="false">IF($A85="","","Real")</f>
        <v/>
      </c>
      <c r="D86" s="29" t="str">
        <f aca="false">IF($A85="","",IF(COUNTIFS(Historial!$B$3:$B$502,$A85,Historial!$C$3:$C$502,$B85,Historial!$G$3:$G$502,D$4,Historial!$H$3:$H$502,$B$2)&gt;0,"✓",""))</f>
        <v/>
      </c>
      <c r="E86" s="29" t="str">
        <f aca="false">IF($A85="","",IF(COUNTIFS(Historial!$B$3:$B$502,$A85,Historial!$C$3:$C$502,$B85,Historial!$G$3:$G$502,E$4,Historial!$H$3:$H$502,$B$2)&gt;0,"✓",""))</f>
        <v/>
      </c>
      <c r="F86" s="29" t="str">
        <f aca="false">IF($A85="","",IF(COUNTIFS(Historial!$B$3:$B$502,$A85,Historial!$C$3:$C$502,$B85,Historial!$G$3:$G$502,F$4,Historial!$H$3:$H$502,$B$2)&gt;0,"✓",""))</f>
        <v/>
      </c>
      <c r="G86" s="29" t="str">
        <f aca="false">IF($A85="","",IF(COUNTIFS(Historial!$B$3:$B$502,$A85,Historial!$C$3:$C$502,$B85,Historial!$G$3:$G$502,G$4,Historial!$H$3:$H$502,$B$2)&gt;0,"✓",""))</f>
        <v/>
      </c>
      <c r="H86" s="29" t="str">
        <f aca="false">IF($A85="","",IF(COUNTIFS(Historial!$B$3:$B$502,$A85,Historial!$C$3:$C$502,$B85,Historial!$G$3:$G$502,H$4,Historial!$H$3:$H$502,$B$2)&gt;0,"✓",""))</f>
        <v/>
      </c>
      <c r="I86" s="29" t="str">
        <f aca="false">IF($A85="","",IF(COUNTIFS(Historial!$B$3:$B$502,$A85,Historial!$C$3:$C$502,$B85,Historial!$G$3:$G$502,I$4,Historial!$H$3:$H$502,$B$2)&gt;0,"✓",""))</f>
        <v/>
      </c>
      <c r="J86" s="29" t="str">
        <f aca="false">IF($A85="","",IF(COUNTIFS(Historial!$B$3:$B$502,$A85,Historial!$C$3:$C$502,$B85,Historial!$G$3:$G$502,J$4,Historial!$H$3:$H$502,$B$2)&gt;0,"✓",""))</f>
        <v/>
      </c>
      <c r="K86" s="29" t="str">
        <f aca="false">IF($A85="","",IF(COUNTIFS(Historial!$B$3:$B$502,$A85,Historial!$C$3:$C$502,$B85,Historial!$G$3:$G$502,K$4,Historial!$H$3:$H$502,$B$2)&gt;0,"✓",""))</f>
        <v/>
      </c>
      <c r="L86" s="29" t="str">
        <f aca="false">IF($A85="","",IF(COUNTIFS(Historial!$B$3:$B$502,$A85,Historial!$C$3:$C$502,$B85,Historial!$G$3:$G$502,L$4,Historial!$H$3:$H$502,$B$2)&gt;0,"✓",""))</f>
        <v/>
      </c>
      <c r="M86" s="29" t="str">
        <f aca="false">IF($A85="","",IF(COUNTIFS(Historial!$B$3:$B$502,$A85,Historial!$C$3:$C$502,$B85,Historial!$G$3:$G$502,M$4,Historial!$H$3:$H$502,$B$2)&gt;0,"✓",""))</f>
        <v/>
      </c>
      <c r="N86" s="29" t="str">
        <f aca="false">IF($A85="","",IF(COUNTIFS(Historial!$B$3:$B$502,$A85,Historial!$C$3:$C$502,$B85,Historial!$G$3:$G$502,N$4,Historial!$H$3:$H$502,$B$2)&gt;0,"✓",""))</f>
        <v/>
      </c>
      <c r="O86" s="29" t="str">
        <f aca="false">IF($A85="","",IF(COUNTIFS(Historial!$B$3:$B$502,$A85,Historial!$C$3:$C$502,$B85,Historial!$G$3:$G$502,O$4,Historial!$H$3:$H$502,$B$2)&gt;0,"✓",""))</f>
        <v/>
      </c>
      <c r="P86" s="29" t="str">
        <f aca="false">IF($A85="","",IF(COUNTIFS(Historial!$B$3:$B$502,$A85,Historial!$C$3:$C$502,$B85,Historial!$G$3:$G$502,P$4,Historial!$H$3:$H$502,$B$2)&gt;0,"✓",""))</f>
        <v/>
      </c>
      <c r="Q86" s="29" t="str">
        <f aca="false">IF($A85="","",IF(COUNTIFS(Historial!$B$3:$B$502,$A85,Historial!$C$3:$C$502,$B85,Historial!$G$3:$G$502,Q$4,Historial!$H$3:$H$502,$B$2)&gt;0,"✓",""))</f>
        <v/>
      </c>
      <c r="R86" s="29" t="str">
        <f aca="false">IF($A85="","",IF(COUNTIFS(Historial!$B$3:$B$502,$A85,Historial!$C$3:$C$502,$B85,Historial!$G$3:$G$502,R$4,Historial!$H$3:$H$502,$B$2)&gt;0,"✓",""))</f>
        <v/>
      </c>
      <c r="S86" s="29" t="str">
        <f aca="false">IF($A85="","",IF(COUNTIFS(Historial!$B$3:$B$502,$A85,Historial!$C$3:$C$502,$B85,Historial!$G$3:$G$502,S$4,Historial!$H$3:$H$502,$B$2)&gt;0,"✓",""))</f>
        <v/>
      </c>
      <c r="T86" s="29" t="str">
        <f aca="false">IF($A85="","",IF(COUNTIFS(Historial!$B$3:$B$502,$A85,Historial!$C$3:$C$502,$B85,Historial!$G$3:$G$502,T$4,Historial!$H$3:$H$502,$B$2)&gt;0,"✓",""))</f>
        <v/>
      </c>
      <c r="U86" s="29" t="str">
        <f aca="false">IF($A85="","",IF(COUNTIFS(Historial!$B$3:$B$502,$A85,Historial!$C$3:$C$502,$B85,Historial!$G$3:$G$502,U$4,Historial!$H$3:$H$502,$B$2)&gt;0,"✓",""))</f>
        <v/>
      </c>
      <c r="V86" s="29" t="str">
        <f aca="false">IF($A85="","",IF(COUNTIFS(Historial!$B$3:$B$502,$A85,Historial!$C$3:$C$502,$B85,Historial!$G$3:$G$502,V$4,Historial!$H$3:$H$502,$B$2)&gt;0,"✓",""))</f>
        <v/>
      </c>
      <c r="W86" s="29" t="str">
        <f aca="false">IF($A85="","",IF(COUNTIFS(Historial!$B$3:$B$502,$A85,Historial!$C$3:$C$502,$B85,Historial!$G$3:$G$502,W$4,Historial!$H$3:$H$502,$B$2)&gt;0,"✓",""))</f>
        <v/>
      </c>
      <c r="X86" s="29" t="str">
        <f aca="false">IF($A85="","",IF(COUNTIFS(Historial!$B$3:$B$502,$A85,Historial!$C$3:$C$502,$B85,Historial!$G$3:$G$502,X$4,Historial!$H$3:$H$502,$B$2)&gt;0,"✓",""))</f>
        <v/>
      </c>
      <c r="Y86" s="29" t="str">
        <f aca="false">IF($A85="","",IF(COUNTIFS(Historial!$B$3:$B$502,$A85,Historial!$C$3:$C$502,$B85,Historial!$G$3:$G$502,Y$4,Historial!$H$3:$H$502,$B$2)&gt;0,"✓",""))</f>
        <v/>
      </c>
      <c r="Z86" s="29" t="str">
        <f aca="false">IF($A85="","",IF(COUNTIFS(Historial!$B$3:$B$502,$A85,Historial!$C$3:$C$502,$B85,Historial!$G$3:$G$502,Z$4,Historial!$H$3:$H$502,$B$2)&gt;0,"✓",""))</f>
        <v/>
      </c>
      <c r="AA86" s="29" t="str">
        <f aca="false">IF($A85="","",IF(COUNTIFS(Historial!$B$3:$B$502,$A85,Historial!$C$3:$C$502,$B85,Historial!$G$3:$G$502,AA$4,Historial!$H$3:$H$502,$B$2)&gt;0,"✓",""))</f>
        <v/>
      </c>
      <c r="AB86" s="29" t="str">
        <f aca="false">IF($A85="","",IF(COUNTIFS(Historial!$B$3:$B$502,$A85,Historial!$C$3:$C$502,$B85,Historial!$G$3:$G$502,AB$4,Historial!$H$3:$H$502,$B$2)&gt;0,"✓",""))</f>
        <v/>
      </c>
      <c r="AC86" s="29" t="str">
        <f aca="false">IF($A85="","",IF(COUNTIFS(Historial!$B$3:$B$502,$A85,Historial!$C$3:$C$502,$B85,Historial!$G$3:$G$502,AC$4,Historial!$H$3:$H$502,$B$2)&gt;0,"✓",""))</f>
        <v/>
      </c>
      <c r="AD86" s="29" t="str">
        <f aca="false">IF($A85="","",IF(COUNTIFS(Historial!$B$3:$B$502,$A85,Historial!$C$3:$C$502,$B85,Historial!$G$3:$G$502,AD$4,Historial!$H$3:$H$502,$B$2)&gt;0,"✓",""))</f>
        <v/>
      </c>
      <c r="AE86" s="29" t="str">
        <f aca="false">IF($A85="","",IF(COUNTIFS(Historial!$B$3:$B$502,$A85,Historial!$C$3:$C$502,$B85,Historial!$G$3:$G$502,AE$4,Historial!$H$3:$H$502,$B$2)&gt;0,"✓",""))</f>
        <v/>
      </c>
      <c r="AF86" s="29" t="str">
        <f aca="false">IF($A85="","",IF(COUNTIFS(Historial!$B$3:$B$502,$A85,Historial!$C$3:$C$502,$B85,Historial!$G$3:$G$502,AF$4,Historial!$H$3:$H$502,$B$2)&gt;0,"✓",""))</f>
        <v/>
      </c>
      <c r="AG86" s="29" t="str">
        <f aca="false">IF($A85="","",IF(COUNTIFS(Historial!$B$3:$B$502,$A85,Historial!$C$3:$C$502,$B85,Historial!$G$3:$G$502,AG$4,Historial!$H$3:$H$502,$B$2)&gt;0,"✓",""))</f>
        <v/>
      </c>
      <c r="AH86" s="29" t="str">
        <f aca="false">IF($A85="","",IF(COUNTIFS(Historial!$B$3:$B$502,$A85,Historial!$C$3:$C$502,$B85,Historial!$G$3:$G$502,AH$4,Historial!$H$3:$H$502,$B$2)&gt;0,"✓",""))</f>
        <v/>
      </c>
      <c r="AI86" s="29" t="str">
        <f aca="false">IF($A85="","",IF(COUNTIFS(Historial!$B$3:$B$502,$A85,Historial!$C$3:$C$502,$B85,Historial!$G$3:$G$502,AI$4,Historial!$H$3:$H$502,$B$2)&gt;0,"✓",""))</f>
        <v/>
      </c>
      <c r="AJ86" s="29" t="str">
        <f aca="false">IF($A85="","",IF(COUNTIFS(Historial!$B$3:$B$502,$A85,Historial!$C$3:$C$502,$B85,Historial!$G$3:$G$502,AJ$4,Historial!$H$3:$H$502,$B$2)&gt;0,"✓",""))</f>
        <v/>
      </c>
      <c r="AK86" s="29" t="str">
        <f aca="false">IF($A85="","",IF(COUNTIFS(Historial!$B$3:$B$502,$A85,Historial!$C$3:$C$502,$B85,Historial!$G$3:$G$502,AK$4,Historial!$H$3:$H$502,$B$2)&gt;0,"✓",""))</f>
        <v/>
      </c>
      <c r="AL86" s="29" t="str">
        <f aca="false">IF($A85="","",IF(COUNTIFS(Historial!$B$3:$B$502,$A85,Historial!$C$3:$C$502,$B85,Historial!$G$3:$G$502,AL$4,Historial!$H$3:$H$502,$B$2)&gt;0,"✓",""))</f>
        <v/>
      </c>
      <c r="AM86" s="29" t="str">
        <f aca="false">IF($A85="","",IF(COUNTIFS(Historial!$B$3:$B$502,$A85,Historial!$C$3:$C$502,$B85,Historial!$G$3:$G$502,AM$4,Historial!$H$3:$H$502,$B$2)&gt;0,"✓",""))</f>
        <v/>
      </c>
      <c r="AN86" s="29" t="str">
        <f aca="false">IF($A85="","",IF(COUNTIFS(Historial!$B$3:$B$502,$A85,Historial!$C$3:$C$502,$B85,Historial!$G$3:$G$502,AN$4,Historial!$H$3:$H$502,$B$2)&gt;0,"✓",""))</f>
        <v/>
      </c>
      <c r="AO86" s="29" t="str">
        <f aca="false">IF($A85="","",IF(COUNTIFS(Historial!$B$3:$B$502,$A85,Historial!$C$3:$C$502,$B85,Historial!$G$3:$G$502,AO$4,Historial!$H$3:$H$502,$B$2)&gt;0,"✓",""))</f>
        <v/>
      </c>
      <c r="AP86" s="29" t="str">
        <f aca="false">IF($A85="","",IF(COUNTIFS(Historial!$B$3:$B$502,$A85,Historial!$C$3:$C$502,$B85,Historial!$G$3:$G$502,AP$4,Historial!$H$3:$H$502,$B$2)&gt;0,"✓",""))</f>
        <v/>
      </c>
      <c r="AQ86" s="29" t="str">
        <f aca="false">IF($A85="","",IF(COUNTIFS(Historial!$B$3:$B$502,$A85,Historial!$C$3:$C$502,$B85,Historial!$G$3:$G$502,AQ$4,Historial!$H$3:$H$502,$B$2)&gt;0,"✓",""))</f>
        <v/>
      </c>
      <c r="AR86" s="29" t="str">
        <f aca="false">IF($A85="","",IF(COUNTIFS(Historial!$B$3:$B$502,$A85,Historial!$C$3:$C$502,$B85,Historial!$G$3:$G$502,AR$4,Historial!$H$3:$H$502,$B$2)&gt;0,"✓",""))</f>
        <v/>
      </c>
      <c r="AS86" s="29" t="str">
        <f aca="false">IF($A85="","",IF(COUNTIFS(Historial!$B$3:$B$502,$A85,Historial!$C$3:$C$502,$B85,Historial!$G$3:$G$502,AS$4,Historial!$H$3:$H$502,$B$2)&gt;0,"✓",""))</f>
        <v/>
      </c>
      <c r="AT86" s="29" t="str">
        <f aca="false">IF($A85="","",IF(COUNTIFS(Historial!$B$3:$B$502,$A85,Historial!$C$3:$C$502,$B85,Historial!$G$3:$G$502,AT$4,Historial!$H$3:$H$502,$B$2)&gt;0,"✓",""))</f>
        <v/>
      </c>
      <c r="AU86" s="29" t="str">
        <f aca="false">IF($A85="","",IF(COUNTIFS(Historial!$B$3:$B$502,$A85,Historial!$C$3:$C$502,$B85,Historial!$G$3:$G$502,AU$4,Historial!$H$3:$H$502,$B$2)&gt;0,"✓",""))</f>
        <v/>
      </c>
      <c r="AV86" s="29" t="str">
        <f aca="false">IF($A85="","",IF(COUNTIFS(Historial!$B$3:$B$502,$A85,Historial!$C$3:$C$502,$B85,Historial!$G$3:$G$502,AV$4,Historial!$H$3:$H$502,$B$2)&gt;0,"✓",""))</f>
        <v/>
      </c>
      <c r="AW86" s="29" t="str">
        <f aca="false">IF($A85="","",IF(COUNTIFS(Historial!$B$3:$B$502,$A85,Historial!$C$3:$C$502,$B85,Historial!$G$3:$G$502,AW$4,Historial!$H$3:$H$502,$B$2)&gt;0,"✓",""))</f>
        <v/>
      </c>
      <c r="AX86" s="29" t="str">
        <f aca="false">IF($A85="","",IF(COUNTIFS(Historial!$B$3:$B$502,$A85,Historial!$C$3:$C$502,$B85,Historial!$G$3:$G$502,AX$4,Historial!$H$3:$H$502,$B$2)&gt;0,"✓",""))</f>
        <v/>
      </c>
      <c r="AY86" s="29" t="str">
        <f aca="false">IF($A85="","",IF(COUNTIFS(Historial!$B$3:$B$502,$A85,Historial!$C$3:$C$502,$B85,Historial!$G$3:$G$502,AY$4,Historial!$H$3:$H$502,$B$2)&gt;0,"✓",""))</f>
        <v/>
      </c>
      <c r="AZ86" s="29" t="str">
        <f aca="false">IF($A85="","",IF(COUNTIFS(Historial!$B$3:$B$502,$A85,Historial!$C$3:$C$502,$B85,Historial!$G$3:$G$502,AZ$4,Historial!$H$3:$H$502,$B$2)&gt;0,"✓",""))</f>
        <v/>
      </c>
      <c r="BA86" s="29" t="str">
        <f aca="false">IF($A85="","",IF(COUNTIFS(Historial!$B$3:$B$502,$A85,Historial!$C$3:$C$502,$B85,Historial!$G$3:$G$502,BA$4,Historial!$H$3:$H$502,$B$2)&gt;0,"✓",""))</f>
        <v/>
      </c>
      <c r="BB86" s="29" t="str">
        <f aca="false">IF($A85="","",IF(COUNTIFS(Historial!$B$3:$B$502,$A85,Historial!$C$3:$C$502,$B85,Historial!$G$3:$G$502,BB$4,Historial!$H$3:$H$502,$B$2)&gt;0,"✓",""))</f>
        <v/>
      </c>
      <c r="BC86" s="29" t="str">
        <f aca="false">IF($A85="","",IF(COUNTIFS(Historial!$B$3:$B$502,$A85,Historial!$C$3:$C$502,$B85,Historial!$G$3:$G$502,BC$4,Historial!$H$3:$H$502,$B$2)&gt;0,"✓",""))</f>
        <v/>
      </c>
      <c r="BD86" s="29"/>
      <c r="BE86" s="29"/>
      <c r="BF86" s="29"/>
    </row>
    <row r="87" customFormat="false" ht="15" hidden="false" customHeight="false" outlineLevel="0" collapsed="false">
      <c r="A87" s="24" t="str">
        <f aca="false">IF(Actividades!$B44="","",Actividades!$B44)</f>
        <v/>
      </c>
      <c r="B87" s="24" t="str">
        <f aca="false">IF(Actividades!$C44="","",Actividades!$C44)</f>
        <v/>
      </c>
      <c r="C87" s="24" t="str">
        <f aca="false">IF($A87="","","Plan")</f>
        <v/>
      </c>
      <c r="D87" s="25" t="str">
        <f aca="false">IF($A87="","",IF(AND(N(Actividades!$E44)&gt;0,D$4&gt;=Actividades!$E44,MOD(D$4-Actividades!$E44,IFERROR(VLOOKUP(Actividades!$D44,Listas!$A$2:$B$8,2,0),52))=0),"P",""))</f>
        <v/>
      </c>
      <c r="E87" s="25" t="str">
        <f aca="false">IF($A87="","",IF(AND(N(Actividades!$E44)&gt;0,E$4&gt;=Actividades!$E44,MOD(E$4-Actividades!$E44,IFERROR(VLOOKUP(Actividades!$D44,Listas!$A$2:$B$8,2,0),52))=0),"P",""))</f>
        <v/>
      </c>
      <c r="F87" s="25" t="str">
        <f aca="false">IF($A87="","",IF(AND(N(Actividades!$E44)&gt;0,F$4&gt;=Actividades!$E44,MOD(F$4-Actividades!$E44,IFERROR(VLOOKUP(Actividades!$D44,Listas!$A$2:$B$8,2,0),52))=0),"P",""))</f>
        <v/>
      </c>
      <c r="G87" s="25" t="str">
        <f aca="false">IF($A87="","",IF(AND(N(Actividades!$E44)&gt;0,G$4&gt;=Actividades!$E44,MOD(G$4-Actividades!$E44,IFERROR(VLOOKUP(Actividades!$D44,Listas!$A$2:$B$8,2,0),52))=0),"P",""))</f>
        <v/>
      </c>
      <c r="H87" s="25" t="str">
        <f aca="false">IF($A87="","",IF(AND(N(Actividades!$E44)&gt;0,H$4&gt;=Actividades!$E44,MOD(H$4-Actividades!$E44,IFERROR(VLOOKUP(Actividades!$D44,Listas!$A$2:$B$8,2,0),52))=0),"P",""))</f>
        <v/>
      </c>
      <c r="I87" s="25" t="str">
        <f aca="false">IF($A87="","",IF(AND(N(Actividades!$E44)&gt;0,I$4&gt;=Actividades!$E44,MOD(I$4-Actividades!$E44,IFERROR(VLOOKUP(Actividades!$D44,Listas!$A$2:$B$8,2,0),52))=0),"P",""))</f>
        <v/>
      </c>
      <c r="J87" s="25" t="str">
        <f aca="false">IF($A87="","",IF(AND(N(Actividades!$E44)&gt;0,J$4&gt;=Actividades!$E44,MOD(J$4-Actividades!$E44,IFERROR(VLOOKUP(Actividades!$D44,Listas!$A$2:$B$8,2,0),52))=0),"P",""))</f>
        <v/>
      </c>
      <c r="K87" s="25" t="str">
        <f aca="false">IF($A87="","",IF(AND(N(Actividades!$E44)&gt;0,K$4&gt;=Actividades!$E44,MOD(K$4-Actividades!$E44,IFERROR(VLOOKUP(Actividades!$D44,Listas!$A$2:$B$8,2,0),52))=0),"P",""))</f>
        <v/>
      </c>
      <c r="L87" s="25" t="str">
        <f aca="false">IF($A87="","",IF(AND(N(Actividades!$E44)&gt;0,L$4&gt;=Actividades!$E44,MOD(L$4-Actividades!$E44,IFERROR(VLOOKUP(Actividades!$D44,Listas!$A$2:$B$8,2,0),52))=0),"P",""))</f>
        <v/>
      </c>
      <c r="M87" s="25" t="str">
        <f aca="false">IF($A87="","",IF(AND(N(Actividades!$E44)&gt;0,M$4&gt;=Actividades!$E44,MOD(M$4-Actividades!$E44,IFERROR(VLOOKUP(Actividades!$D44,Listas!$A$2:$B$8,2,0),52))=0),"P",""))</f>
        <v/>
      </c>
      <c r="N87" s="25" t="str">
        <f aca="false">IF($A87="","",IF(AND(N(Actividades!$E44)&gt;0,N$4&gt;=Actividades!$E44,MOD(N$4-Actividades!$E44,IFERROR(VLOOKUP(Actividades!$D44,Listas!$A$2:$B$8,2,0),52))=0),"P",""))</f>
        <v/>
      </c>
      <c r="O87" s="25" t="str">
        <f aca="false">IF($A87="","",IF(AND(N(Actividades!$E44)&gt;0,O$4&gt;=Actividades!$E44,MOD(O$4-Actividades!$E44,IFERROR(VLOOKUP(Actividades!$D44,Listas!$A$2:$B$8,2,0),52))=0),"P",""))</f>
        <v/>
      </c>
      <c r="P87" s="25" t="str">
        <f aca="false">IF($A87="","",IF(AND(N(Actividades!$E44)&gt;0,P$4&gt;=Actividades!$E44,MOD(P$4-Actividades!$E44,IFERROR(VLOOKUP(Actividades!$D44,Listas!$A$2:$B$8,2,0),52))=0),"P",""))</f>
        <v/>
      </c>
      <c r="Q87" s="25" t="str">
        <f aca="false">IF($A87="","",IF(AND(N(Actividades!$E44)&gt;0,Q$4&gt;=Actividades!$E44,MOD(Q$4-Actividades!$E44,IFERROR(VLOOKUP(Actividades!$D44,Listas!$A$2:$B$8,2,0),52))=0),"P",""))</f>
        <v/>
      </c>
      <c r="R87" s="25" t="str">
        <f aca="false">IF($A87="","",IF(AND(N(Actividades!$E44)&gt;0,R$4&gt;=Actividades!$E44,MOD(R$4-Actividades!$E44,IFERROR(VLOOKUP(Actividades!$D44,Listas!$A$2:$B$8,2,0),52))=0),"P",""))</f>
        <v/>
      </c>
      <c r="S87" s="25" t="str">
        <f aca="false">IF($A87="","",IF(AND(N(Actividades!$E44)&gt;0,S$4&gt;=Actividades!$E44,MOD(S$4-Actividades!$E44,IFERROR(VLOOKUP(Actividades!$D44,Listas!$A$2:$B$8,2,0),52))=0),"P",""))</f>
        <v/>
      </c>
      <c r="T87" s="25" t="str">
        <f aca="false">IF($A87="","",IF(AND(N(Actividades!$E44)&gt;0,T$4&gt;=Actividades!$E44,MOD(T$4-Actividades!$E44,IFERROR(VLOOKUP(Actividades!$D44,Listas!$A$2:$B$8,2,0),52))=0),"P",""))</f>
        <v/>
      </c>
      <c r="U87" s="25" t="str">
        <f aca="false">IF($A87="","",IF(AND(N(Actividades!$E44)&gt;0,U$4&gt;=Actividades!$E44,MOD(U$4-Actividades!$E44,IFERROR(VLOOKUP(Actividades!$D44,Listas!$A$2:$B$8,2,0),52))=0),"P",""))</f>
        <v/>
      </c>
      <c r="V87" s="25" t="str">
        <f aca="false">IF($A87="","",IF(AND(N(Actividades!$E44)&gt;0,V$4&gt;=Actividades!$E44,MOD(V$4-Actividades!$E44,IFERROR(VLOOKUP(Actividades!$D44,Listas!$A$2:$B$8,2,0),52))=0),"P",""))</f>
        <v/>
      </c>
      <c r="W87" s="25" t="str">
        <f aca="false">IF($A87="","",IF(AND(N(Actividades!$E44)&gt;0,W$4&gt;=Actividades!$E44,MOD(W$4-Actividades!$E44,IFERROR(VLOOKUP(Actividades!$D44,Listas!$A$2:$B$8,2,0),52))=0),"P",""))</f>
        <v/>
      </c>
      <c r="X87" s="25" t="str">
        <f aca="false">IF($A87="","",IF(AND(N(Actividades!$E44)&gt;0,X$4&gt;=Actividades!$E44,MOD(X$4-Actividades!$E44,IFERROR(VLOOKUP(Actividades!$D44,Listas!$A$2:$B$8,2,0),52))=0),"P",""))</f>
        <v/>
      </c>
      <c r="Y87" s="25" t="str">
        <f aca="false">IF($A87="","",IF(AND(N(Actividades!$E44)&gt;0,Y$4&gt;=Actividades!$E44,MOD(Y$4-Actividades!$E44,IFERROR(VLOOKUP(Actividades!$D44,Listas!$A$2:$B$8,2,0),52))=0),"P",""))</f>
        <v/>
      </c>
      <c r="Z87" s="25" t="str">
        <f aca="false">IF($A87="","",IF(AND(N(Actividades!$E44)&gt;0,Z$4&gt;=Actividades!$E44,MOD(Z$4-Actividades!$E44,IFERROR(VLOOKUP(Actividades!$D44,Listas!$A$2:$B$8,2,0),52))=0),"P",""))</f>
        <v/>
      </c>
      <c r="AA87" s="25" t="str">
        <f aca="false">IF($A87="","",IF(AND(N(Actividades!$E44)&gt;0,AA$4&gt;=Actividades!$E44,MOD(AA$4-Actividades!$E44,IFERROR(VLOOKUP(Actividades!$D44,Listas!$A$2:$B$8,2,0),52))=0),"P",""))</f>
        <v/>
      </c>
      <c r="AB87" s="25" t="str">
        <f aca="false">IF($A87="","",IF(AND(N(Actividades!$E44)&gt;0,AB$4&gt;=Actividades!$E44,MOD(AB$4-Actividades!$E44,IFERROR(VLOOKUP(Actividades!$D44,Listas!$A$2:$B$8,2,0),52))=0),"P",""))</f>
        <v/>
      </c>
      <c r="AC87" s="25" t="str">
        <f aca="false">IF($A87="","",IF(AND(N(Actividades!$E44)&gt;0,AC$4&gt;=Actividades!$E44,MOD(AC$4-Actividades!$E44,IFERROR(VLOOKUP(Actividades!$D44,Listas!$A$2:$B$8,2,0),52))=0),"P",""))</f>
        <v/>
      </c>
      <c r="AD87" s="25" t="str">
        <f aca="false">IF($A87="","",IF(AND(N(Actividades!$E44)&gt;0,AD$4&gt;=Actividades!$E44,MOD(AD$4-Actividades!$E44,IFERROR(VLOOKUP(Actividades!$D44,Listas!$A$2:$B$8,2,0),52))=0),"P",""))</f>
        <v/>
      </c>
      <c r="AE87" s="25" t="str">
        <f aca="false">IF($A87="","",IF(AND(N(Actividades!$E44)&gt;0,AE$4&gt;=Actividades!$E44,MOD(AE$4-Actividades!$E44,IFERROR(VLOOKUP(Actividades!$D44,Listas!$A$2:$B$8,2,0),52))=0),"P",""))</f>
        <v/>
      </c>
      <c r="AF87" s="25" t="str">
        <f aca="false">IF($A87="","",IF(AND(N(Actividades!$E44)&gt;0,AF$4&gt;=Actividades!$E44,MOD(AF$4-Actividades!$E44,IFERROR(VLOOKUP(Actividades!$D44,Listas!$A$2:$B$8,2,0),52))=0),"P",""))</f>
        <v/>
      </c>
      <c r="AG87" s="25" t="str">
        <f aca="false">IF($A87="","",IF(AND(N(Actividades!$E44)&gt;0,AG$4&gt;=Actividades!$E44,MOD(AG$4-Actividades!$E44,IFERROR(VLOOKUP(Actividades!$D44,Listas!$A$2:$B$8,2,0),52))=0),"P",""))</f>
        <v/>
      </c>
      <c r="AH87" s="25" t="str">
        <f aca="false">IF($A87="","",IF(AND(N(Actividades!$E44)&gt;0,AH$4&gt;=Actividades!$E44,MOD(AH$4-Actividades!$E44,IFERROR(VLOOKUP(Actividades!$D44,Listas!$A$2:$B$8,2,0),52))=0),"P",""))</f>
        <v/>
      </c>
      <c r="AI87" s="25" t="str">
        <f aca="false">IF($A87="","",IF(AND(N(Actividades!$E44)&gt;0,AI$4&gt;=Actividades!$E44,MOD(AI$4-Actividades!$E44,IFERROR(VLOOKUP(Actividades!$D44,Listas!$A$2:$B$8,2,0),52))=0),"P",""))</f>
        <v/>
      </c>
      <c r="AJ87" s="25" t="str">
        <f aca="false">IF($A87="","",IF(AND(N(Actividades!$E44)&gt;0,AJ$4&gt;=Actividades!$E44,MOD(AJ$4-Actividades!$E44,IFERROR(VLOOKUP(Actividades!$D44,Listas!$A$2:$B$8,2,0),52))=0),"P",""))</f>
        <v/>
      </c>
      <c r="AK87" s="25" t="str">
        <f aca="false">IF($A87="","",IF(AND(N(Actividades!$E44)&gt;0,AK$4&gt;=Actividades!$E44,MOD(AK$4-Actividades!$E44,IFERROR(VLOOKUP(Actividades!$D44,Listas!$A$2:$B$8,2,0),52))=0),"P",""))</f>
        <v/>
      </c>
      <c r="AL87" s="25" t="str">
        <f aca="false">IF($A87="","",IF(AND(N(Actividades!$E44)&gt;0,AL$4&gt;=Actividades!$E44,MOD(AL$4-Actividades!$E44,IFERROR(VLOOKUP(Actividades!$D44,Listas!$A$2:$B$8,2,0),52))=0),"P",""))</f>
        <v/>
      </c>
      <c r="AM87" s="25" t="str">
        <f aca="false">IF($A87="","",IF(AND(N(Actividades!$E44)&gt;0,AM$4&gt;=Actividades!$E44,MOD(AM$4-Actividades!$E44,IFERROR(VLOOKUP(Actividades!$D44,Listas!$A$2:$B$8,2,0),52))=0),"P",""))</f>
        <v/>
      </c>
      <c r="AN87" s="25" t="str">
        <f aca="false">IF($A87="","",IF(AND(N(Actividades!$E44)&gt;0,AN$4&gt;=Actividades!$E44,MOD(AN$4-Actividades!$E44,IFERROR(VLOOKUP(Actividades!$D44,Listas!$A$2:$B$8,2,0),52))=0),"P",""))</f>
        <v/>
      </c>
      <c r="AO87" s="25" t="str">
        <f aca="false">IF($A87="","",IF(AND(N(Actividades!$E44)&gt;0,AO$4&gt;=Actividades!$E44,MOD(AO$4-Actividades!$E44,IFERROR(VLOOKUP(Actividades!$D44,Listas!$A$2:$B$8,2,0),52))=0),"P",""))</f>
        <v/>
      </c>
      <c r="AP87" s="25" t="str">
        <f aca="false">IF($A87="","",IF(AND(N(Actividades!$E44)&gt;0,AP$4&gt;=Actividades!$E44,MOD(AP$4-Actividades!$E44,IFERROR(VLOOKUP(Actividades!$D44,Listas!$A$2:$B$8,2,0),52))=0),"P",""))</f>
        <v/>
      </c>
      <c r="AQ87" s="25" t="str">
        <f aca="false">IF($A87="","",IF(AND(N(Actividades!$E44)&gt;0,AQ$4&gt;=Actividades!$E44,MOD(AQ$4-Actividades!$E44,IFERROR(VLOOKUP(Actividades!$D44,Listas!$A$2:$B$8,2,0),52))=0),"P",""))</f>
        <v/>
      </c>
      <c r="AR87" s="25" t="str">
        <f aca="false">IF($A87="","",IF(AND(N(Actividades!$E44)&gt;0,AR$4&gt;=Actividades!$E44,MOD(AR$4-Actividades!$E44,IFERROR(VLOOKUP(Actividades!$D44,Listas!$A$2:$B$8,2,0),52))=0),"P",""))</f>
        <v/>
      </c>
      <c r="AS87" s="25" t="str">
        <f aca="false">IF($A87="","",IF(AND(N(Actividades!$E44)&gt;0,AS$4&gt;=Actividades!$E44,MOD(AS$4-Actividades!$E44,IFERROR(VLOOKUP(Actividades!$D44,Listas!$A$2:$B$8,2,0),52))=0),"P",""))</f>
        <v/>
      </c>
      <c r="AT87" s="25" t="str">
        <f aca="false">IF($A87="","",IF(AND(N(Actividades!$E44)&gt;0,AT$4&gt;=Actividades!$E44,MOD(AT$4-Actividades!$E44,IFERROR(VLOOKUP(Actividades!$D44,Listas!$A$2:$B$8,2,0),52))=0),"P",""))</f>
        <v/>
      </c>
      <c r="AU87" s="25" t="str">
        <f aca="false">IF($A87="","",IF(AND(N(Actividades!$E44)&gt;0,AU$4&gt;=Actividades!$E44,MOD(AU$4-Actividades!$E44,IFERROR(VLOOKUP(Actividades!$D44,Listas!$A$2:$B$8,2,0),52))=0),"P",""))</f>
        <v/>
      </c>
      <c r="AV87" s="25" t="str">
        <f aca="false">IF($A87="","",IF(AND(N(Actividades!$E44)&gt;0,AV$4&gt;=Actividades!$E44,MOD(AV$4-Actividades!$E44,IFERROR(VLOOKUP(Actividades!$D44,Listas!$A$2:$B$8,2,0),52))=0),"P",""))</f>
        <v/>
      </c>
      <c r="AW87" s="25" t="str">
        <f aca="false">IF($A87="","",IF(AND(N(Actividades!$E44)&gt;0,AW$4&gt;=Actividades!$E44,MOD(AW$4-Actividades!$E44,IFERROR(VLOOKUP(Actividades!$D44,Listas!$A$2:$B$8,2,0),52))=0),"P",""))</f>
        <v/>
      </c>
      <c r="AX87" s="25" t="str">
        <f aca="false">IF($A87="","",IF(AND(N(Actividades!$E44)&gt;0,AX$4&gt;=Actividades!$E44,MOD(AX$4-Actividades!$E44,IFERROR(VLOOKUP(Actividades!$D44,Listas!$A$2:$B$8,2,0),52))=0),"P",""))</f>
        <v/>
      </c>
      <c r="AY87" s="25" t="str">
        <f aca="false">IF($A87="","",IF(AND(N(Actividades!$E44)&gt;0,AY$4&gt;=Actividades!$E44,MOD(AY$4-Actividades!$E44,IFERROR(VLOOKUP(Actividades!$D44,Listas!$A$2:$B$8,2,0),52))=0),"P",""))</f>
        <v/>
      </c>
      <c r="AZ87" s="25" t="str">
        <f aca="false">IF($A87="","",IF(AND(N(Actividades!$E44)&gt;0,AZ$4&gt;=Actividades!$E44,MOD(AZ$4-Actividades!$E44,IFERROR(VLOOKUP(Actividades!$D44,Listas!$A$2:$B$8,2,0),52))=0),"P",""))</f>
        <v/>
      </c>
      <c r="BA87" s="25" t="str">
        <f aca="false">IF($A87="","",IF(AND(N(Actividades!$E44)&gt;0,BA$4&gt;=Actividades!$E44,MOD(BA$4-Actividades!$E44,IFERROR(VLOOKUP(Actividades!$D44,Listas!$A$2:$B$8,2,0),52))=0),"P",""))</f>
        <v/>
      </c>
      <c r="BB87" s="25" t="str">
        <f aca="false">IF($A87="","",IF(AND(N(Actividades!$E44)&gt;0,BB$4&gt;=Actividades!$E44,MOD(BB$4-Actividades!$E44,IFERROR(VLOOKUP(Actividades!$D44,Listas!$A$2:$B$8,2,0),52))=0),"P",""))</f>
        <v/>
      </c>
      <c r="BC87" s="25" t="str">
        <f aca="false">IF($A87="","",IF(AND(N(Actividades!$E44)&gt;0,BC$4&gt;=Actividades!$E44,MOD(BC$4-Actividades!$E44,IFERROR(VLOOKUP(Actividades!$D44,Listas!$A$2:$B$8,2,0),52))=0),"P",""))</f>
        <v/>
      </c>
      <c r="BD87" s="26" t="str">
        <f aca="false">IF($A87="","",COUNTIF(D87:BC87,"P"))</f>
        <v/>
      </c>
      <c r="BE87" s="26" t="str">
        <f aca="false">IF($A87="","",SUMPRODUCT((D87:BC87="P")*(D88:BC88="✓")))</f>
        <v/>
      </c>
      <c r="BF87" s="27" t="str">
        <f aca="false">IF($A87="","",IF(BD87=0,"",BE87/BD87))</f>
        <v/>
      </c>
    </row>
    <row r="88" customFormat="false" ht="15" hidden="false" customHeight="false" outlineLevel="0" collapsed="false">
      <c r="A88" s="28"/>
      <c r="B88" s="28"/>
      <c r="C88" s="28" t="str">
        <f aca="false">IF($A87="","","Real")</f>
        <v/>
      </c>
      <c r="D88" s="29" t="str">
        <f aca="false">IF($A87="","",IF(COUNTIFS(Historial!$B$3:$B$502,$A87,Historial!$C$3:$C$502,$B87,Historial!$G$3:$G$502,D$4,Historial!$H$3:$H$502,$B$2)&gt;0,"✓",""))</f>
        <v/>
      </c>
      <c r="E88" s="29" t="str">
        <f aca="false">IF($A87="","",IF(COUNTIFS(Historial!$B$3:$B$502,$A87,Historial!$C$3:$C$502,$B87,Historial!$G$3:$G$502,E$4,Historial!$H$3:$H$502,$B$2)&gt;0,"✓",""))</f>
        <v/>
      </c>
      <c r="F88" s="29" t="str">
        <f aca="false">IF($A87="","",IF(COUNTIFS(Historial!$B$3:$B$502,$A87,Historial!$C$3:$C$502,$B87,Historial!$G$3:$G$502,F$4,Historial!$H$3:$H$502,$B$2)&gt;0,"✓",""))</f>
        <v/>
      </c>
      <c r="G88" s="29" t="str">
        <f aca="false">IF($A87="","",IF(COUNTIFS(Historial!$B$3:$B$502,$A87,Historial!$C$3:$C$502,$B87,Historial!$G$3:$G$502,G$4,Historial!$H$3:$H$502,$B$2)&gt;0,"✓",""))</f>
        <v/>
      </c>
      <c r="H88" s="29" t="str">
        <f aca="false">IF($A87="","",IF(COUNTIFS(Historial!$B$3:$B$502,$A87,Historial!$C$3:$C$502,$B87,Historial!$G$3:$G$502,H$4,Historial!$H$3:$H$502,$B$2)&gt;0,"✓",""))</f>
        <v/>
      </c>
      <c r="I88" s="29" t="str">
        <f aca="false">IF($A87="","",IF(COUNTIFS(Historial!$B$3:$B$502,$A87,Historial!$C$3:$C$502,$B87,Historial!$G$3:$G$502,I$4,Historial!$H$3:$H$502,$B$2)&gt;0,"✓",""))</f>
        <v/>
      </c>
      <c r="J88" s="29" t="str">
        <f aca="false">IF($A87="","",IF(COUNTIFS(Historial!$B$3:$B$502,$A87,Historial!$C$3:$C$502,$B87,Historial!$G$3:$G$502,J$4,Historial!$H$3:$H$502,$B$2)&gt;0,"✓",""))</f>
        <v/>
      </c>
      <c r="K88" s="29" t="str">
        <f aca="false">IF($A87="","",IF(COUNTIFS(Historial!$B$3:$B$502,$A87,Historial!$C$3:$C$502,$B87,Historial!$G$3:$G$502,K$4,Historial!$H$3:$H$502,$B$2)&gt;0,"✓",""))</f>
        <v/>
      </c>
      <c r="L88" s="29" t="str">
        <f aca="false">IF($A87="","",IF(COUNTIFS(Historial!$B$3:$B$502,$A87,Historial!$C$3:$C$502,$B87,Historial!$G$3:$G$502,L$4,Historial!$H$3:$H$502,$B$2)&gt;0,"✓",""))</f>
        <v/>
      </c>
      <c r="M88" s="29" t="str">
        <f aca="false">IF($A87="","",IF(COUNTIFS(Historial!$B$3:$B$502,$A87,Historial!$C$3:$C$502,$B87,Historial!$G$3:$G$502,M$4,Historial!$H$3:$H$502,$B$2)&gt;0,"✓",""))</f>
        <v/>
      </c>
      <c r="N88" s="29" t="str">
        <f aca="false">IF($A87="","",IF(COUNTIFS(Historial!$B$3:$B$502,$A87,Historial!$C$3:$C$502,$B87,Historial!$G$3:$G$502,N$4,Historial!$H$3:$H$502,$B$2)&gt;0,"✓",""))</f>
        <v/>
      </c>
      <c r="O88" s="29" t="str">
        <f aca="false">IF($A87="","",IF(COUNTIFS(Historial!$B$3:$B$502,$A87,Historial!$C$3:$C$502,$B87,Historial!$G$3:$G$502,O$4,Historial!$H$3:$H$502,$B$2)&gt;0,"✓",""))</f>
        <v/>
      </c>
      <c r="P88" s="29" t="str">
        <f aca="false">IF($A87="","",IF(COUNTIFS(Historial!$B$3:$B$502,$A87,Historial!$C$3:$C$502,$B87,Historial!$G$3:$G$502,P$4,Historial!$H$3:$H$502,$B$2)&gt;0,"✓",""))</f>
        <v/>
      </c>
      <c r="Q88" s="29" t="str">
        <f aca="false">IF($A87="","",IF(COUNTIFS(Historial!$B$3:$B$502,$A87,Historial!$C$3:$C$502,$B87,Historial!$G$3:$G$502,Q$4,Historial!$H$3:$H$502,$B$2)&gt;0,"✓",""))</f>
        <v/>
      </c>
      <c r="R88" s="29" t="str">
        <f aca="false">IF($A87="","",IF(COUNTIFS(Historial!$B$3:$B$502,$A87,Historial!$C$3:$C$502,$B87,Historial!$G$3:$G$502,R$4,Historial!$H$3:$H$502,$B$2)&gt;0,"✓",""))</f>
        <v/>
      </c>
      <c r="S88" s="29" t="str">
        <f aca="false">IF($A87="","",IF(COUNTIFS(Historial!$B$3:$B$502,$A87,Historial!$C$3:$C$502,$B87,Historial!$G$3:$G$502,S$4,Historial!$H$3:$H$502,$B$2)&gt;0,"✓",""))</f>
        <v/>
      </c>
      <c r="T88" s="29" t="str">
        <f aca="false">IF($A87="","",IF(COUNTIFS(Historial!$B$3:$B$502,$A87,Historial!$C$3:$C$502,$B87,Historial!$G$3:$G$502,T$4,Historial!$H$3:$H$502,$B$2)&gt;0,"✓",""))</f>
        <v/>
      </c>
      <c r="U88" s="29" t="str">
        <f aca="false">IF($A87="","",IF(COUNTIFS(Historial!$B$3:$B$502,$A87,Historial!$C$3:$C$502,$B87,Historial!$G$3:$G$502,U$4,Historial!$H$3:$H$502,$B$2)&gt;0,"✓",""))</f>
        <v/>
      </c>
      <c r="V88" s="29" t="str">
        <f aca="false">IF($A87="","",IF(COUNTIFS(Historial!$B$3:$B$502,$A87,Historial!$C$3:$C$502,$B87,Historial!$G$3:$G$502,V$4,Historial!$H$3:$H$502,$B$2)&gt;0,"✓",""))</f>
        <v/>
      </c>
      <c r="W88" s="29" t="str">
        <f aca="false">IF($A87="","",IF(COUNTIFS(Historial!$B$3:$B$502,$A87,Historial!$C$3:$C$502,$B87,Historial!$G$3:$G$502,W$4,Historial!$H$3:$H$502,$B$2)&gt;0,"✓",""))</f>
        <v/>
      </c>
      <c r="X88" s="29" t="str">
        <f aca="false">IF($A87="","",IF(COUNTIFS(Historial!$B$3:$B$502,$A87,Historial!$C$3:$C$502,$B87,Historial!$G$3:$G$502,X$4,Historial!$H$3:$H$502,$B$2)&gt;0,"✓",""))</f>
        <v/>
      </c>
      <c r="Y88" s="29" t="str">
        <f aca="false">IF($A87="","",IF(COUNTIFS(Historial!$B$3:$B$502,$A87,Historial!$C$3:$C$502,$B87,Historial!$G$3:$G$502,Y$4,Historial!$H$3:$H$502,$B$2)&gt;0,"✓",""))</f>
        <v/>
      </c>
      <c r="Z88" s="29" t="str">
        <f aca="false">IF($A87="","",IF(COUNTIFS(Historial!$B$3:$B$502,$A87,Historial!$C$3:$C$502,$B87,Historial!$G$3:$G$502,Z$4,Historial!$H$3:$H$502,$B$2)&gt;0,"✓",""))</f>
        <v/>
      </c>
      <c r="AA88" s="29" t="str">
        <f aca="false">IF($A87="","",IF(COUNTIFS(Historial!$B$3:$B$502,$A87,Historial!$C$3:$C$502,$B87,Historial!$G$3:$G$502,AA$4,Historial!$H$3:$H$502,$B$2)&gt;0,"✓",""))</f>
        <v/>
      </c>
      <c r="AB88" s="29" t="str">
        <f aca="false">IF($A87="","",IF(COUNTIFS(Historial!$B$3:$B$502,$A87,Historial!$C$3:$C$502,$B87,Historial!$G$3:$G$502,AB$4,Historial!$H$3:$H$502,$B$2)&gt;0,"✓",""))</f>
        <v/>
      </c>
      <c r="AC88" s="29" t="str">
        <f aca="false">IF($A87="","",IF(COUNTIFS(Historial!$B$3:$B$502,$A87,Historial!$C$3:$C$502,$B87,Historial!$G$3:$G$502,AC$4,Historial!$H$3:$H$502,$B$2)&gt;0,"✓",""))</f>
        <v/>
      </c>
      <c r="AD88" s="29" t="str">
        <f aca="false">IF($A87="","",IF(COUNTIFS(Historial!$B$3:$B$502,$A87,Historial!$C$3:$C$502,$B87,Historial!$G$3:$G$502,AD$4,Historial!$H$3:$H$502,$B$2)&gt;0,"✓",""))</f>
        <v/>
      </c>
      <c r="AE88" s="29" t="str">
        <f aca="false">IF($A87="","",IF(COUNTIFS(Historial!$B$3:$B$502,$A87,Historial!$C$3:$C$502,$B87,Historial!$G$3:$G$502,AE$4,Historial!$H$3:$H$502,$B$2)&gt;0,"✓",""))</f>
        <v/>
      </c>
      <c r="AF88" s="29" t="str">
        <f aca="false">IF($A87="","",IF(COUNTIFS(Historial!$B$3:$B$502,$A87,Historial!$C$3:$C$502,$B87,Historial!$G$3:$G$502,AF$4,Historial!$H$3:$H$502,$B$2)&gt;0,"✓",""))</f>
        <v/>
      </c>
      <c r="AG88" s="29" t="str">
        <f aca="false">IF($A87="","",IF(COUNTIFS(Historial!$B$3:$B$502,$A87,Historial!$C$3:$C$502,$B87,Historial!$G$3:$G$502,AG$4,Historial!$H$3:$H$502,$B$2)&gt;0,"✓",""))</f>
        <v/>
      </c>
      <c r="AH88" s="29" t="str">
        <f aca="false">IF($A87="","",IF(COUNTIFS(Historial!$B$3:$B$502,$A87,Historial!$C$3:$C$502,$B87,Historial!$G$3:$G$502,AH$4,Historial!$H$3:$H$502,$B$2)&gt;0,"✓",""))</f>
        <v/>
      </c>
      <c r="AI88" s="29" t="str">
        <f aca="false">IF($A87="","",IF(COUNTIFS(Historial!$B$3:$B$502,$A87,Historial!$C$3:$C$502,$B87,Historial!$G$3:$G$502,AI$4,Historial!$H$3:$H$502,$B$2)&gt;0,"✓",""))</f>
        <v/>
      </c>
      <c r="AJ88" s="29" t="str">
        <f aca="false">IF($A87="","",IF(COUNTIFS(Historial!$B$3:$B$502,$A87,Historial!$C$3:$C$502,$B87,Historial!$G$3:$G$502,AJ$4,Historial!$H$3:$H$502,$B$2)&gt;0,"✓",""))</f>
        <v/>
      </c>
      <c r="AK88" s="29" t="str">
        <f aca="false">IF($A87="","",IF(COUNTIFS(Historial!$B$3:$B$502,$A87,Historial!$C$3:$C$502,$B87,Historial!$G$3:$G$502,AK$4,Historial!$H$3:$H$502,$B$2)&gt;0,"✓",""))</f>
        <v/>
      </c>
      <c r="AL88" s="29" t="str">
        <f aca="false">IF($A87="","",IF(COUNTIFS(Historial!$B$3:$B$502,$A87,Historial!$C$3:$C$502,$B87,Historial!$G$3:$G$502,AL$4,Historial!$H$3:$H$502,$B$2)&gt;0,"✓",""))</f>
        <v/>
      </c>
      <c r="AM88" s="29" t="str">
        <f aca="false">IF($A87="","",IF(COUNTIFS(Historial!$B$3:$B$502,$A87,Historial!$C$3:$C$502,$B87,Historial!$G$3:$G$502,AM$4,Historial!$H$3:$H$502,$B$2)&gt;0,"✓",""))</f>
        <v/>
      </c>
      <c r="AN88" s="29" t="str">
        <f aca="false">IF($A87="","",IF(COUNTIFS(Historial!$B$3:$B$502,$A87,Historial!$C$3:$C$502,$B87,Historial!$G$3:$G$502,AN$4,Historial!$H$3:$H$502,$B$2)&gt;0,"✓",""))</f>
        <v/>
      </c>
      <c r="AO88" s="29" t="str">
        <f aca="false">IF($A87="","",IF(COUNTIFS(Historial!$B$3:$B$502,$A87,Historial!$C$3:$C$502,$B87,Historial!$G$3:$G$502,AO$4,Historial!$H$3:$H$502,$B$2)&gt;0,"✓",""))</f>
        <v/>
      </c>
      <c r="AP88" s="29" t="str">
        <f aca="false">IF($A87="","",IF(COUNTIFS(Historial!$B$3:$B$502,$A87,Historial!$C$3:$C$502,$B87,Historial!$G$3:$G$502,AP$4,Historial!$H$3:$H$502,$B$2)&gt;0,"✓",""))</f>
        <v/>
      </c>
      <c r="AQ88" s="29" t="str">
        <f aca="false">IF($A87="","",IF(COUNTIFS(Historial!$B$3:$B$502,$A87,Historial!$C$3:$C$502,$B87,Historial!$G$3:$G$502,AQ$4,Historial!$H$3:$H$502,$B$2)&gt;0,"✓",""))</f>
        <v/>
      </c>
      <c r="AR88" s="29" t="str">
        <f aca="false">IF($A87="","",IF(COUNTIFS(Historial!$B$3:$B$502,$A87,Historial!$C$3:$C$502,$B87,Historial!$G$3:$G$502,AR$4,Historial!$H$3:$H$502,$B$2)&gt;0,"✓",""))</f>
        <v/>
      </c>
      <c r="AS88" s="29" t="str">
        <f aca="false">IF($A87="","",IF(COUNTIFS(Historial!$B$3:$B$502,$A87,Historial!$C$3:$C$502,$B87,Historial!$G$3:$G$502,AS$4,Historial!$H$3:$H$502,$B$2)&gt;0,"✓",""))</f>
        <v/>
      </c>
      <c r="AT88" s="29" t="str">
        <f aca="false">IF($A87="","",IF(COUNTIFS(Historial!$B$3:$B$502,$A87,Historial!$C$3:$C$502,$B87,Historial!$G$3:$G$502,AT$4,Historial!$H$3:$H$502,$B$2)&gt;0,"✓",""))</f>
        <v/>
      </c>
      <c r="AU88" s="29" t="str">
        <f aca="false">IF($A87="","",IF(COUNTIFS(Historial!$B$3:$B$502,$A87,Historial!$C$3:$C$502,$B87,Historial!$G$3:$G$502,AU$4,Historial!$H$3:$H$502,$B$2)&gt;0,"✓",""))</f>
        <v/>
      </c>
      <c r="AV88" s="29" t="str">
        <f aca="false">IF($A87="","",IF(COUNTIFS(Historial!$B$3:$B$502,$A87,Historial!$C$3:$C$502,$B87,Historial!$G$3:$G$502,AV$4,Historial!$H$3:$H$502,$B$2)&gt;0,"✓",""))</f>
        <v/>
      </c>
      <c r="AW88" s="29" t="str">
        <f aca="false">IF($A87="","",IF(COUNTIFS(Historial!$B$3:$B$502,$A87,Historial!$C$3:$C$502,$B87,Historial!$G$3:$G$502,AW$4,Historial!$H$3:$H$502,$B$2)&gt;0,"✓",""))</f>
        <v/>
      </c>
      <c r="AX88" s="29" t="str">
        <f aca="false">IF($A87="","",IF(COUNTIFS(Historial!$B$3:$B$502,$A87,Historial!$C$3:$C$502,$B87,Historial!$G$3:$G$502,AX$4,Historial!$H$3:$H$502,$B$2)&gt;0,"✓",""))</f>
        <v/>
      </c>
      <c r="AY88" s="29" t="str">
        <f aca="false">IF($A87="","",IF(COUNTIFS(Historial!$B$3:$B$502,$A87,Historial!$C$3:$C$502,$B87,Historial!$G$3:$G$502,AY$4,Historial!$H$3:$H$502,$B$2)&gt;0,"✓",""))</f>
        <v/>
      </c>
      <c r="AZ88" s="29" t="str">
        <f aca="false">IF($A87="","",IF(COUNTIFS(Historial!$B$3:$B$502,$A87,Historial!$C$3:$C$502,$B87,Historial!$G$3:$G$502,AZ$4,Historial!$H$3:$H$502,$B$2)&gt;0,"✓",""))</f>
        <v/>
      </c>
      <c r="BA88" s="29" t="str">
        <f aca="false">IF($A87="","",IF(COUNTIFS(Historial!$B$3:$B$502,$A87,Historial!$C$3:$C$502,$B87,Historial!$G$3:$G$502,BA$4,Historial!$H$3:$H$502,$B$2)&gt;0,"✓",""))</f>
        <v/>
      </c>
      <c r="BB88" s="29" t="str">
        <f aca="false">IF($A87="","",IF(COUNTIFS(Historial!$B$3:$B$502,$A87,Historial!$C$3:$C$502,$B87,Historial!$G$3:$G$502,BB$4,Historial!$H$3:$H$502,$B$2)&gt;0,"✓",""))</f>
        <v/>
      </c>
      <c r="BC88" s="29" t="str">
        <f aca="false">IF($A87="","",IF(COUNTIFS(Historial!$B$3:$B$502,$A87,Historial!$C$3:$C$502,$B87,Historial!$G$3:$G$502,BC$4,Historial!$H$3:$H$502,$B$2)&gt;0,"✓",""))</f>
        <v/>
      </c>
      <c r="BD88" s="29"/>
      <c r="BE88" s="29"/>
      <c r="BF88" s="29"/>
    </row>
    <row r="89" customFormat="false" ht="15" hidden="false" customHeight="false" outlineLevel="0" collapsed="false">
      <c r="A89" s="24" t="str">
        <f aca="false">IF(Actividades!$B45="","",Actividades!$B45)</f>
        <v/>
      </c>
      <c r="B89" s="24" t="str">
        <f aca="false">IF(Actividades!$C45="","",Actividades!$C45)</f>
        <v/>
      </c>
      <c r="C89" s="24" t="str">
        <f aca="false">IF($A89="","","Plan")</f>
        <v/>
      </c>
      <c r="D89" s="25" t="str">
        <f aca="false">IF($A89="","",IF(AND(N(Actividades!$E45)&gt;0,D$4&gt;=Actividades!$E45,MOD(D$4-Actividades!$E45,IFERROR(VLOOKUP(Actividades!$D45,Listas!$A$2:$B$8,2,0),52))=0),"P",""))</f>
        <v/>
      </c>
      <c r="E89" s="25" t="str">
        <f aca="false">IF($A89="","",IF(AND(N(Actividades!$E45)&gt;0,E$4&gt;=Actividades!$E45,MOD(E$4-Actividades!$E45,IFERROR(VLOOKUP(Actividades!$D45,Listas!$A$2:$B$8,2,0),52))=0),"P",""))</f>
        <v/>
      </c>
      <c r="F89" s="25" t="str">
        <f aca="false">IF($A89="","",IF(AND(N(Actividades!$E45)&gt;0,F$4&gt;=Actividades!$E45,MOD(F$4-Actividades!$E45,IFERROR(VLOOKUP(Actividades!$D45,Listas!$A$2:$B$8,2,0),52))=0),"P",""))</f>
        <v/>
      </c>
      <c r="G89" s="25" t="str">
        <f aca="false">IF($A89="","",IF(AND(N(Actividades!$E45)&gt;0,G$4&gt;=Actividades!$E45,MOD(G$4-Actividades!$E45,IFERROR(VLOOKUP(Actividades!$D45,Listas!$A$2:$B$8,2,0),52))=0),"P",""))</f>
        <v/>
      </c>
      <c r="H89" s="25" t="str">
        <f aca="false">IF($A89="","",IF(AND(N(Actividades!$E45)&gt;0,H$4&gt;=Actividades!$E45,MOD(H$4-Actividades!$E45,IFERROR(VLOOKUP(Actividades!$D45,Listas!$A$2:$B$8,2,0),52))=0),"P",""))</f>
        <v/>
      </c>
      <c r="I89" s="25" t="str">
        <f aca="false">IF($A89="","",IF(AND(N(Actividades!$E45)&gt;0,I$4&gt;=Actividades!$E45,MOD(I$4-Actividades!$E45,IFERROR(VLOOKUP(Actividades!$D45,Listas!$A$2:$B$8,2,0),52))=0),"P",""))</f>
        <v/>
      </c>
      <c r="J89" s="25" t="str">
        <f aca="false">IF($A89="","",IF(AND(N(Actividades!$E45)&gt;0,J$4&gt;=Actividades!$E45,MOD(J$4-Actividades!$E45,IFERROR(VLOOKUP(Actividades!$D45,Listas!$A$2:$B$8,2,0),52))=0),"P",""))</f>
        <v/>
      </c>
      <c r="K89" s="25" t="str">
        <f aca="false">IF($A89="","",IF(AND(N(Actividades!$E45)&gt;0,K$4&gt;=Actividades!$E45,MOD(K$4-Actividades!$E45,IFERROR(VLOOKUP(Actividades!$D45,Listas!$A$2:$B$8,2,0),52))=0),"P",""))</f>
        <v/>
      </c>
      <c r="L89" s="25" t="str">
        <f aca="false">IF($A89="","",IF(AND(N(Actividades!$E45)&gt;0,L$4&gt;=Actividades!$E45,MOD(L$4-Actividades!$E45,IFERROR(VLOOKUP(Actividades!$D45,Listas!$A$2:$B$8,2,0),52))=0),"P",""))</f>
        <v/>
      </c>
      <c r="M89" s="25" t="str">
        <f aca="false">IF($A89="","",IF(AND(N(Actividades!$E45)&gt;0,M$4&gt;=Actividades!$E45,MOD(M$4-Actividades!$E45,IFERROR(VLOOKUP(Actividades!$D45,Listas!$A$2:$B$8,2,0),52))=0),"P",""))</f>
        <v/>
      </c>
      <c r="N89" s="25" t="str">
        <f aca="false">IF($A89="","",IF(AND(N(Actividades!$E45)&gt;0,N$4&gt;=Actividades!$E45,MOD(N$4-Actividades!$E45,IFERROR(VLOOKUP(Actividades!$D45,Listas!$A$2:$B$8,2,0),52))=0),"P",""))</f>
        <v/>
      </c>
      <c r="O89" s="25" t="str">
        <f aca="false">IF($A89="","",IF(AND(N(Actividades!$E45)&gt;0,O$4&gt;=Actividades!$E45,MOD(O$4-Actividades!$E45,IFERROR(VLOOKUP(Actividades!$D45,Listas!$A$2:$B$8,2,0),52))=0),"P",""))</f>
        <v/>
      </c>
      <c r="P89" s="25" t="str">
        <f aca="false">IF($A89="","",IF(AND(N(Actividades!$E45)&gt;0,P$4&gt;=Actividades!$E45,MOD(P$4-Actividades!$E45,IFERROR(VLOOKUP(Actividades!$D45,Listas!$A$2:$B$8,2,0),52))=0),"P",""))</f>
        <v/>
      </c>
      <c r="Q89" s="25" t="str">
        <f aca="false">IF($A89="","",IF(AND(N(Actividades!$E45)&gt;0,Q$4&gt;=Actividades!$E45,MOD(Q$4-Actividades!$E45,IFERROR(VLOOKUP(Actividades!$D45,Listas!$A$2:$B$8,2,0),52))=0),"P",""))</f>
        <v/>
      </c>
      <c r="R89" s="25" t="str">
        <f aca="false">IF($A89="","",IF(AND(N(Actividades!$E45)&gt;0,R$4&gt;=Actividades!$E45,MOD(R$4-Actividades!$E45,IFERROR(VLOOKUP(Actividades!$D45,Listas!$A$2:$B$8,2,0),52))=0),"P",""))</f>
        <v/>
      </c>
      <c r="S89" s="25" t="str">
        <f aca="false">IF($A89="","",IF(AND(N(Actividades!$E45)&gt;0,S$4&gt;=Actividades!$E45,MOD(S$4-Actividades!$E45,IFERROR(VLOOKUP(Actividades!$D45,Listas!$A$2:$B$8,2,0),52))=0),"P",""))</f>
        <v/>
      </c>
      <c r="T89" s="25" t="str">
        <f aca="false">IF($A89="","",IF(AND(N(Actividades!$E45)&gt;0,T$4&gt;=Actividades!$E45,MOD(T$4-Actividades!$E45,IFERROR(VLOOKUP(Actividades!$D45,Listas!$A$2:$B$8,2,0),52))=0),"P",""))</f>
        <v/>
      </c>
      <c r="U89" s="25" t="str">
        <f aca="false">IF($A89="","",IF(AND(N(Actividades!$E45)&gt;0,U$4&gt;=Actividades!$E45,MOD(U$4-Actividades!$E45,IFERROR(VLOOKUP(Actividades!$D45,Listas!$A$2:$B$8,2,0),52))=0),"P",""))</f>
        <v/>
      </c>
      <c r="V89" s="25" t="str">
        <f aca="false">IF($A89="","",IF(AND(N(Actividades!$E45)&gt;0,V$4&gt;=Actividades!$E45,MOD(V$4-Actividades!$E45,IFERROR(VLOOKUP(Actividades!$D45,Listas!$A$2:$B$8,2,0),52))=0),"P",""))</f>
        <v/>
      </c>
      <c r="W89" s="25" t="str">
        <f aca="false">IF($A89="","",IF(AND(N(Actividades!$E45)&gt;0,W$4&gt;=Actividades!$E45,MOD(W$4-Actividades!$E45,IFERROR(VLOOKUP(Actividades!$D45,Listas!$A$2:$B$8,2,0),52))=0),"P",""))</f>
        <v/>
      </c>
      <c r="X89" s="25" t="str">
        <f aca="false">IF($A89="","",IF(AND(N(Actividades!$E45)&gt;0,X$4&gt;=Actividades!$E45,MOD(X$4-Actividades!$E45,IFERROR(VLOOKUP(Actividades!$D45,Listas!$A$2:$B$8,2,0),52))=0),"P",""))</f>
        <v/>
      </c>
      <c r="Y89" s="25" t="str">
        <f aca="false">IF($A89="","",IF(AND(N(Actividades!$E45)&gt;0,Y$4&gt;=Actividades!$E45,MOD(Y$4-Actividades!$E45,IFERROR(VLOOKUP(Actividades!$D45,Listas!$A$2:$B$8,2,0),52))=0),"P",""))</f>
        <v/>
      </c>
      <c r="Z89" s="25" t="str">
        <f aca="false">IF($A89="","",IF(AND(N(Actividades!$E45)&gt;0,Z$4&gt;=Actividades!$E45,MOD(Z$4-Actividades!$E45,IFERROR(VLOOKUP(Actividades!$D45,Listas!$A$2:$B$8,2,0),52))=0),"P",""))</f>
        <v/>
      </c>
      <c r="AA89" s="25" t="str">
        <f aca="false">IF($A89="","",IF(AND(N(Actividades!$E45)&gt;0,AA$4&gt;=Actividades!$E45,MOD(AA$4-Actividades!$E45,IFERROR(VLOOKUP(Actividades!$D45,Listas!$A$2:$B$8,2,0),52))=0),"P",""))</f>
        <v/>
      </c>
      <c r="AB89" s="25" t="str">
        <f aca="false">IF($A89="","",IF(AND(N(Actividades!$E45)&gt;0,AB$4&gt;=Actividades!$E45,MOD(AB$4-Actividades!$E45,IFERROR(VLOOKUP(Actividades!$D45,Listas!$A$2:$B$8,2,0),52))=0),"P",""))</f>
        <v/>
      </c>
      <c r="AC89" s="25" t="str">
        <f aca="false">IF($A89="","",IF(AND(N(Actividades!$E45)&gt;0,AC$4&gt;=Actividades!$E45,MOD(AC$4-Actividades!$E45,IFERROR(VLOOKUP(Actividades!$D45,Listas!$A$2:$B$8,2,0),52))=0),"P",""))</f>
        <v/>
      </c>
      <c r="AD89" s="25" t="str">
        <f aca="false">IF($A89="","",IF(AND(N(Actividades!$E45)&gt;0,AD$4&gt;=Actividades!$E45,MOD(AD$4-Actividades!$E45,IFERROR(VLOOKUP(Actividades!$D45,Listas!$A$2:$B$8,2,0),52))=0),"P",""))</f>
        <v/>
      </c>
      <c r="AE89" s="25" t="str">
        <f aca="false">IF($A89="","",IF(AND(N(Actividades!$E45)&gt;0,AE$4&gt;=Actividades!$E45,MOD(AE$4-Actividades!$E45,IFERROR(VLOOKUP(Actividades!$D45,Listas!$A$2:$B$8,2,0),52))=0),"P",""))</f>
        <v/>
      </c>
      <c r="AF89" s="25" t="str">
        <f aca="false">IF($A89="","",IF(AND(N(Actividades!$E45)&gt;0,AF$4&gt;=Actividades!$E45,MOD(AF$4-Actividades!$E45,IFERROR(VLOOKUP(Actividades!$D45,Listas!$A$2:$B$8,2,0),52))=0),"P",""))</f>
        <v/>
      </c>
      <c r="AG89" s="25" t="str">
        <f aca="false">IF($A89="","",IF(AND(N(Actividades!$E45)&gt;0,AG$4&gt;=Actividades!$E45,MOD(AG$4-Actividades!$E45,IFERROR(VLOOKUP(Actividades!$D45,Listas!$A$2:$B$8,2,0),52))=0),"P",""))</f>
        <v/>
      </c>
      <c r="AH89" s="25" t="str">
        <f aca="false">IF($A89="","",IF(AND(N(Actividades!$E45)&gt;0,AH$4&gt;=Actividades!$E45,MOD(AH$4-Actividades!$E45,IFERROR(VLOOKUP(Actividades!$D45,Listas!$A$2:$B$8,2,0),52))=0),"P",""))</f>
        <v/>
      </c>
      <c r="AI89" s="25" t="str">
        <f aca="false">IF($A89="","",IF(AND(N(Actividades!$E45)&gt;0,AI$4&gt;=Actividades!$E45,MOD(AI$4-Actividades!$E45,IFERROR(VLOOKUP(Actividades!$D45,Listas!$A$2:$B$8,2,0),52))=0),"P",""))</f>
        <v/>
      </c>
      <c r="AJ89" s="25" t="str">
        <f aca="false">IF($A89="","",IF(AND(N(Actividades!$E45)&gt;0,AJ$4&gt;=Actividades!$E45,MOD(AJ$4-Actividades!$E45,IFERROR(VLOOKUP(Actividades!$D45,Listas!$A$2:$B$8,2,0),52))=0),"P",""))</f>
        <v/>
      </c>
      <c r="AK89" s="25" t="str">
        <f aca="false">IF($A89="","",IF(AND(N(Actividades!$E45)&gt;0,AK$4&gt;=Actividades!$E45,MOD(AK$4-Actividades!$E45,IFERROR(VLOOKUP(Actividades!$D45,Listas!$A$2:$B$8,2,0),52))=0),"P",""))</f>
        <v/>
      </c>
      <c r="AL89" s="25" t="str">
        <f aca="false">IF($A89="","",IF(AND(N(Actividades!$E45)&gt;0,AL$4&gt;=Actividades!$E45,MOD(AL$4-Actividades!$E45,IFERROR(VLOOKUP(Actividades!$D45,Listas!$A$2:$B$8,2,0),52))=0),"P",""))</f>
        <v/>
      </c>
      <c r="AM89" s="25" t="str">
        <f aca="false">IF($A89="","",IF(AND(N(Actividades!$E45)&gt;0,AM$4&gt;=Actividades!$E45,MOD(AM$4-Actividades!$E45,IFERROR(VLOOKUP(Actividades!$D45,Listas!$A$2:$B$8,2,0),52))=0),"P",""))</f>
        <v/>
      </c>
      <c r="AN89" s="25" t="str">
        <f aca="false">IF($A89="","",IF(AND(N(Actividades!$E45)&gt;0,AN$4&gt;=Actividades!$E45,MOD(AN$4-Actividades!$E45,IFERROR(VLOOKUP(Actividades!$D45,Listas!$A$2:$B$8,2,0),52))=0),"P",""))</f>
        <v/>
      </c>
      <c r="AO89" s="25" t="str">
        <f aca="false">IF($A89="","",IF(AND(N(Actividades!$E45)&gt;0,AO$4&gt;=Actividades!$E45,MOD(AO$4-Actividades!$E45,IFERROR(VLOOKUP(Actividades!$D45,Listas!$A$2:$B$8,2,0),52))=0),"P",""))</f>
        <v/>
      </c>
      <c r="AP89" s="25" t="str">
        <f aca="false">IF($A89="","",IF(AND(N(Actividades!$E45)&gt;0,AP$4&gt;=Actividades!$E45,MOD(AP$4-Actividades!$E45,IFERROR(VLOOKUP(Actividades!$D45,Listas!$A$2:$B$8,2,0),52))=0),"P",""))</f>
        <v/>
      </c>
      <c r="AQ89" s="25" t="str">
        <f aca="false">IF($A89="","",IF(AND(N(Actividades!$E45)&gt;0,AQ$4&gt;=Actividades!$E45,MOD(AQ$4-Actividades!$E45,IFERROR(VLOOKUP(Actividades!$D45,Listas!$A$2:$B$8,2,0),52))=0),"P",""))</f>
        <v/>
      </c>
      <c r="AR89" s="25" t="str">
        <f aca="false">IF($A89="","",IF(AND(N(Actividades!$E45)&gt;0,AR$4&gt;=Actividades!$E45,MOD(AR$4-Actividades!$E45,IFERROR(VLOOKUP(Actividades!$D45,Listas!$A$2:$B$8,2,0),52))=0),"P",""))</f>
        <v/>
      </c>
      <c r="AS89" s="25" t="str">
        <f aca="false">IF($A89="","",IF(AND(N(Actividades!$E45)&gt;0,AS$4&gt;=Actividades!$E45,MOD(AS$4-Actividades!$E45,IFERROR(VLOOKUP(Actividades!$D45,Listas!$A$2:$B$8,2,0),52))=0),"P",""))</f>
        <v/>
      </c>
      <c r="AT89" s="25" t="str">
        <f aca="false">IF($A89="","",IF(AND(N(Actividades!$E45)&gt;0,AT$4&gt;=Actividades!$E45,MOD(AT$4-Actividades!$E45,IFERROR(VLOOKUP(Actividades!$D45,Listas!$A$2:$B$8,2,0),52))=0),"P",""))</f>
        <v/>
      </c>
      <c r="AU89" s="25" t="str">
        <f aca="false">IF($A89="","",IF(AND(N(Actividades!$E45)&gt;0,AU$4&gt;=Actividades!$E45,MOD(AU$4-Actividades!$E45,IFERROR(VLOOKUP(Actividades!$D45,Listas!$A$2:$B$8,2,0),52))=0),"P",""))</f>
        <v/>
      </c>
      <c r="AV89" s="25" t="str">
        <f aca="false">IF($A89="","",IF(AND(N(Actividades!$E45)&gt;0,AV$4&gt;=Actividades!$E45,MOD(AV$4-Actividades!$E45,IFERROR(VLOOKUP(Actividades!$D45,Listas!$A$2:$B$8,2,0),52))=0),"P",""))</f>
        <v/>
      </c>
      <c r="AW89" s="25" t="str">
        <f aca="false">IF($A89="","",IF(AND(N(Actividades!$E45)&gt;0,AW$4&gt;=Actividades!$E45,MOD(AW$4-Actividades!$E45,IFERROR(VLOOKUP(Actividades!$D45,Listas!$A$2:$B$8,2,0),52))=0),"P",""))</f>
        <v/>
      </c>
      <c r="AX89" s="25" t="str">
        <f aca="false">IF($A89="","",IF(AND(N(Actividades!$E45)&gt;0,AX$4&gt;=Actividades!$E45,MOD(AX$4-Actividades!$E45,IFERROR(VLOOKUP(Actividades!$D45,Listas!$A$2:$B$8,2,0),52))=0),"P",""))</f>
        <v/>
      </c>
      <c r="AY89" s="25" t="str">
        <f aca="false">IF($A89="","",IF(AND(N(Actividades!$E45)&gt;0,AY$4&gt;=Actividades!$E45,MOD(AY$4-Actividades!$E45,IFERROR(VLOOKUP(Actividades!$D45,Listas!$A$2:$B$8,2,0),52))=0),"P",""))</f>
        <v/>
      </c>
      <c r="AZ89" s="25" t="str">
        <f aca="false">IF($A89="","",IF(AND(N(Actividades!$E45)&gt;0,AZ$4&gt;=Actividades!$E45,MOD(AZ$4-Actividades!$E45,IFERROR(VLOOKUP(Actividades!$D45,Listas!$A$2:$B$8,2,0),52))=0),"P",""))</f>
        <v/>
      </c>
      <c r="BA89" s="25" t="str">
        <f aca="false">IF($A89="","",IF(AND(N(Actividades!$E45)&gt;0,BA$4&gt;=Actividades!$E45,MOD(BA$4-Actividades!$E45,IFERROR(VLOOKUP(Actividades!$D45,Listas!$A$2:$B$8,2,0),52))=0),"P",""))</f>
        <v/>
      </c>
      <c r="BB89" s="25" t="str">
        <f aca="false">IF($A89="","",IF(AND(N(Actividades!$E45)&gt;0,BB$4&gt;=Actividades!$E45,MOD(BB$4-Actividades!$E45,IFERROR(VLOOKUP(Actividades!$D45,Listas!$A$2:$B$8,2,0),52))=0),"P",""))</f>
        <v/>
      </c>
      <c r="BC89" s="25" t="str">
        <f aca="false">IF($A89="","",IF(AND(N(Actividades!$E45)&gt;0,BC$4&gt;=Actividades!$E45,MOD(BC$4-Actividades!$E45,IFERROR(VLOOKUP(Actividades!$D45,Listas!$A$2:$B$8,2,0),52))=0),"P",""))</f>
        <v/>
      </c>
      <c r="BD89" s="26" t="str">
        <f aca="false">IF($A89="","",COUNTIF(D89:BC89,"P"))</f>
        <v/>
      </c>
      <c r="BE89" s="26" t="str">
        <f aca="false">IF($A89="","",SUMPRODUCT((D89:BC89="P")*(D90:BC90="✓")))</f>
        <v/>
      </c>
      <c r="BF89" s="27" t="str">
        <f aca="false">IF($A89="","",IF(BD89=0,"",BE89/BD89))</f>
        <v/>
      </c>
    </row>
    <row r="90" customFormat="false" ht="15" hidden="false" customHeight="false" outlineLevel="0" collapsed="false">
      <c r="A90" s="28"/>
      <c r="B90" s="28"/>
      <c r="C90" s="28" t="str">
        <f aca="false">IF($A89="","","Real")</f>
        <v/>
      </c>
      <c r="D90" s="29" t="str">
        <f aca="false">IF($A89="","",IF(COUNTIFS(Historial!$B$3:$B$502,$A89,Historial!$C$3:$C$502,$B89,Historial!$G$3:$G$502,D$4,Historial!$H$3:$H$502,$B$2)&gt;0,"✓",""))</f>
        <v/>
      </c>
      <c r="E90" s="29" t="str">
        <f aca="false">IF($A89="","",IF(COUNTIFS(Historial!$B$3:$B$502,$A89,Historial!$C$3:$C$502,$B89,Historial!$G$3:$G$502,E$4,Historial!$H$3:$H$502,$B$2)&gt;0,"✓",""))</f>
        <v/>
      </c>
      <c r="F90" s="29" t="str">
        <f aca="false">IF($A89="","",IF(COUNTIFS(Historial!$B$3:$B$502,$A89,Historial!$C$3:$C$502,$B89,Historial!$G$3:$G$502,F$4,Historial!$H$3:$H$502,$B$2)&gt;0,"✓",""))</f>
        <v/>
      </c>
      <c r="G90" s="29" t="str">
        <f aca="false">IF($A89="","",IF(COUNTIFS(Historial!$B$3:$B$502,$A89,Historial!$C$3:$C$502,$B89,Historial!$G$3:$G$502,G$4,Historial!$H$3:$H$502,$B$2)&gt;0,"✓",""))</f>
        <v/>
      </c>
      <c r="H90" s="29" t="str">
        <f aca="false">IF($A89="","",IF(COUNTIFS(Historial!$B$3:$B$502,$A89,Historial!$C$3:$C$502,$B89,Historial!$G$3:$G$502,H$4,Historial!$H$3:$H$502,$B$2)&gt;0,"✓",""))</f>
        <v/>
      </c>
      <c r="I90" s="29" t="str">
        <f aca="false">IF($A89="","",IF(COUNTIFS(Historial!$B$3:$B$502,$A89,Historial!$C$3:$C$502,$B89,Historial!$G$3:$G$502,I$4,Historial!$H$3:$H$502,$B$2)&gt;0,"✓",""))</f>
        <v/>
      </c>
      <c r="J90" s="29" t="str">
        <f aca="false">IF($A89="","",IF(COUNTIFS(Historial!$B$3:$B$502,$A89,Historial!$C$3:$C$502,$B89,Historial!$G$3:$G$502,J$4,Historial!$H$3:$H$502,$B$2)&gt;0,"✓",""))</f>
        <v/>
      </c>
      <c r="K90" s="29" t="str">
        <f aca="false">IF($A89="","",IF(COUNTIFS(Historial!$B$3:$B$502,$A89,Historial!$C$3:$C$502,$B89,Historial!$G$3:$G$502,K$4,Historial!$H$3:$H$502,$B$2)&gt;0,"✓",""))</f>
        <v/>
      </c>
      <c r="L90" s="29" t="str">
        <f aca="false">IF($A89="","",IF(COUNTIFS(Historial!$B$3:$B$502,$A89,Historial!$C$3:$C$502,$B89,Historial!$G$3:$G$502,L$4,Historial!$H$3:$H$502,$B$2)&gt;0,"✓",""))</f>
        <v/>
      </c>
      <c r="M90" s="29" t="str">
        <f aca="false">IF($A89="","",IF(COUNTIFS(Historial!$B$3:$B$502,$A89,Historial!$C$3:$C$502,$B89,Historial!$G$3:$G$502,M$4,Historial!$H$3:$H$502,$B$2)&gt;0,"✓",""))</f>
        <v/>
      </c>
      <c r="N90" s="29" t="str">
        <f aca="false">IF($A89="","",IF(COUNTIFS(Historial!$B$3:$B$502,$A89,Historial!$C$3:$C$502,$B89,Historial!$G$3:$G$502,N$4,Historial!$H$3:$H$502,$B$2)&gt;0,"✓",""))</f>
        <v/>
      </c>
      <c r="O90" s="29" t="str">
        <f aca="false">IF($A89="","",IF(COUNTIFS(Historial!$B$3:$B$502,$A89,Historial!$C$3:$C$502,$B89,Historial!$G$3:$G$502,O$4,Historial!$H$3:$H$502,$B$2)&gt;0,"✓",""))</f>
        <v/>
      </c>
      <c r="P90" s="29" t="str">
        <f aca="false">IF($A89="","",IF(COUNTIFS(Historial!$B$3:$B$502,$A89,Historial!$C$3:$C$502,$B89,Historial!$G$3:$G$502,P$4,Historial!$H$3:$H$502,$B$2)&gt;0,"✓",""))</f>
        <v/>
      </c>
      <c r="Q90" s="29" t="str">
        <f aca="false">IF($A89="","",IF(COUNTIFS(Historial!$B$3:$B$502,$A89,Historial!$C$3:$C$502,$B89,Historial!$G$3:$G$502,Q$4,Historial!$H$3:$H$502,$B$2)&gt;0,"✓",""))</f>
        <v/>
      </c>
      <c r="R90" s="29" t="str">
        <f aca="false">IF($A89="","",IF(COUNTIFS(Historial!$B$3:$B$502,$A89,Historial!$C$3:$C$502,$B89,Historial!$G$3:$G$502,R$4,Historial!$H$3:$H$502,$B$2)&gt;0,"✓",""))</f>
        <v/>
      </c>
      <c r="S90" s="29" t="str">
        <f aca="false">IF($A89="","",IF(COUNTIFS(Historial!$B$3:$B$502,$A89,Historial!$C$3:$C$502,$B89,Historial!$G$3:$G$502,S$4,Historial!$H$3:$H$502,$B$2)&gt;0,"✓",""))</f>
        <v/>
      </c>
      <c r="T90" s="29" t="str">
        <f aca="false">IF($A89="","",IF(COUNTIFS(Historial!$B$3:$B$502,$A89,Historial!$C$3:$C$502,$B89,Historial!$G$3:$G$502,T$4,Historial!$H$3:$H$502,$B$2)&gt;0,"✓",""))</f>
        <v/>
      </c>
      <c r="U90" s="29" t="str">
        <f aca="false">IF($A89="","",IF(COUNTIFS(Historial!$B$3:$B$502,$A89,Historial!$C$3:$C$502,$B89,Historial!$G$3:$G$502,U$4,Historial!$H$3:$H$502,$B$2)&gt;0,"✓",""))</f>
        <v/>
      </c>
      <c r="V90" s="29" t="str">
        <f aca="false">IF($A89="","",IF(COUNTIFS(Historial!$B$3:$B$502,$A89,Historial!$C$3:$C$502,$B89,Historial!$G$3:$G$502,V$4,Historial!$H$3:$H$502,$B$2)&gt;0,"✓",""))</f>
        <v/>
      </c>
      <c r="W90" s="29" t="str">
        <f aca="false">IF($A89="","",IF(COUNTIFS(Historial!$B$3:$B$502,$A89,Historial!$C$3:$C$502,$B89,Historial!$G$3:$G$502,W$4,Historial!$H$3:$H$502,$B$2)&gt;0,"✓",""))</f>
        <v/>
      </c>
      <c r="X90" s="29" t="str">
        <f aca="false">IF($A89="","",IF(COUNTIFS(Historial!$B$3:$B$502,$A89,Historial!$C$3:$C$502,$B89,Historial!$G$3:$G$502,X$4,Historial!$H$3:$H$502,$B$2)&gt;0,"✓",""))</f>
        <v/>
      </c>
      <c r="Y90" s="29" t="str">
        <f aca="false">IF($A89="","",IF(COUNTIFS(Historial!$B$3:$B$502,$A89,Historial!$C$3:$C$502,$B89,Historial!$G$3:$G$502,Y$4,Historial!$H$3:$H$502,$B$2)&gt;0,"✓",""))</f>
        <v/>
      </c>
      <c r="Z90" s="29" t="str">
        <f aca="false">IF($A89="","",IF(COUNTIFS(Historial!$B$3:$B$502,$A89,Historial!$C$3:$C$502,$B89,Historial!$G$3:$G$502,Z$4,Historial!$H$3:$H$502,$B$2)&gt;0,"✓",""))</f>
        <v/>
      </c>
      <c r="AA90" s="29" t="str">
        <f aca="false">IF($A89="","",IF(COUNTIFS(Historial!$B$3:$B$502,$A89,Historial!$C$3:$C$502,$B89,Historial!$G$3:$G$502,AA$4,Historial!$H$3:$H$502,$B$2)&gt;0,"✓",""))</f>
        <v/>
      </c>
      <c r="AB90" s="29" t="str">
        <f aca="false">IF($A89="","",IF(COUNTIFS(Historial!$B$3:$B$502,$A89,Historial!$C$3:$C$502,$B89,Historial!$G$3:$G$502,AB$4,Historial!$H$3:$H$502,$B$2)&gt;0,"✓",""))</f>
        <v/>
      </c>
      <c r="AC90" s="29" t="str">
        <f aca="false">IF($A89="","",IF(COUNTIFS(Historial!$B$3:$B$502,$A89,Historial!$C$3:$C$502,$B89,Historial!$G$3:$G$502,AC$4,Historial!$H$3:$H$502,$B$2)&gt;0,"✓",""))</f>
        <v/>
      </c>
      <c r="AD90" s="29" t="str">
        <f aca="false">IF($A89="","",IF(COUNTIFS(Historial!$B$3:$B$502,$A89,Historial!$C$3:$C$502,$B89,Historial!$G$3:$G$502,AD$4,Historial!$H$3:$H$502,$B$2)&gt;0,"✓",""))</f>
        <v/>
      </c>
      <c r="AE90" s="29" t="str">
        <f aca="false">IF($A89="","",IF(COUNTIFS(Historial!$B$3:$B$502,$A89,Historial!$C$3:$C$502,$B89,Historial!$G$3:$G$502,AE$4,Historial!$H$3:$H$502,$B$2)&gt;0,"✓",""))</f>
        <v/>
      </c>
      <c r="AF90" s="29" t="str">
        <f aca="false">IF($A89="","",IF(COUNTIFS(Historial!$B$3:$B$502,$A89,Historial!$C$3:$C$502,$B89,Historial!$G$3:$G$502,AF$4,Historial!$H$3:$H$502,$B$2)&gt;0,"✓",""))</f>
        <v/>
      </c>
      <c r="AG90" s="29" t="str">
        <f aca="false">IF($A89="","",IF(COUNTIFS(Historial!$B$3:$B$502,$A89,Historial!$C$3:$C$502,$B89,Historial!$G$3:$G$502,AG$4,Historial!$H$3:$H$502,$B$2)&gt;0,"✓",""))</f>
        <v/>
      </c>
      <c r="AH90" s="29" t="str">
        <f aca="false">IF($A89="","",IF(COUNTIFS(Historial!$B$3:$B$502,$A89,Historial!$C$3:$C$502,$B89,Historial!$G$3:$G$502,AH$4,Historial!$H$3:$H$502,$B$2)&gt;0,"✓",""))</f>
        <v/>
      </c>
      <c r="AI90" s="29" t="str">
        <f aca="false">IF($A89="","",IF(COUNTIFS(Historial!$B$3:$B$502,$A89,Historial!$C$3:$C$502,$B89,Historial!$G$3:$G$502,AI$4,Historial!$H$3:$H$502,$B$2)&gt;0,"✓",""))</f>
        <v/>
      </c>
      <c r="AJ90" s="29" t="str">
        <f aca="false">IF($A89="","",IF(COUNTIFS(Historial!$B$3:$B$502,$A89,Historial!$C$3:$C$502,$B89,Historial!$G$3:$G$502,AJ$4,Historial!$H$3:$H$502,$B$2)&gt;0,"✓",""))</f>
        <v/>
      </c>
      <c r="AK90" s="29" t="str">
        <f aca="false">IF($A89="","",IF(COUNTIFS(Historial!$B$3:$B$502,$A89,Historial!$C$3:$C$502,$B89,Historial!$G$3:$G$502,AK$4,Historial!$H$3:$H$502,$B$2)&gt;0,"✓",""))</f>
        <v/>
      </c>
      <c r="AL90" s="29" t="str">
        <f aca="false">IF($A89="","",IF(COUNTIFS(Historial!$B$3:$B$502,$A89,Historial!$C$3:$C$502,$B89,Historial!$G$3:$G$502,AL$4,Historial!$H$3:$H$502,$B$2)&gt;0,"✓",""))</f>
        <v/>
      </c>
      <c r="AM90" s="29" t="str">
        <f aca="false">IF($A89="","",IF(COUNTIFS(Historial!$B$3:$B$502,$A89,Historial!$C$3:$C$502,$B89,Historial!$G$3:$G$502,AM$4,Historial!$H$3:$H$502,$B$2)&gt;0,"✓",""))</f>
        <v/>
      </c>
      <c r="AN90" s="29" t="str">
        <f aca="false">IF($A89="","",IF(COUNTIFS(Historial!$B$3:$B$502,$A89,Historial!$C$3:$C$502,$B89,Historial!$G$3:$G$502,AN$4,Historial!$H$3:$H$502,$B$2)&gt;0,"✓",""))</f>
        <v/>
      </c>
      <c r="AO90" s="29" t="str">
        <f aca="false">IF($A89="","",IF(COUNTIFS(Historial!$B$3:$B$502,$A89,Historial!$C$3:$C$502,$B89,Historial!$G$3:$G$502,AO$4,Historial!$H$3:$H$502,$B$2)&gt;0,"✓",""))</f>
        <v/>
      </c>
      <c r="AP90" s="29" t="str">
        <f aca="false">IF($A89="","",IF(COUNTIFS(Historial!$B$3:$B$502,$A89,Historial!$C$3:$C$502,$B89,Historial!$G$3:$G$502,AP$4,Historial!$H$3:$H$502,$B$2)&gt;0,"✓",""))</f>
        <v/>
      </c>
      <c r="AQ90" s="29" t="str">
        <f aca="false">IF($A89="","",IF(COUNTIFS(Historial!$B$3:$B$502,$A89,Historial!$C$3:$C$502,$B89,Historial!$G$3:$G$502,AQ$4,Historial!$H$3:$H$502,$B$2)&gt;0,"✓",""))</f>
        <v/>
      </c>
      <c r="AR90" s="29" t="str">
        <f aca="false">IF($A89="","",IF(COUNTIFS(Historial!$B$3:$B$502,$A89,Historial!$C$3:$C$502,$B89,Historial!$G$3:$G$502,AR$4,Historial!$H$3:$H$502,$B$2)&gt;0,"✓",""))</f>
        <v/>
      </c>
      <c r="AS90" s="29" t="str">
        <f aca="false">IF($A89="","",IF(COUNTIFS(Historial!$B$3:$B$502,$A89,Historial!$C$3:$C$502,$B89,Historial!$G$3:$G$502,AS$4,Historial!$H$3:$H$502,$B$2)&gt;0,"✓",""))</f>
        <v/>
      </c>
      <c r="AT90" s="29" t="str">
        <f aca="false">IF($A89="","",IF(COUNTIFS(Historial!$B$3:$B$502,$A89,Historial!$C$3:$C$502,$B89,Historial!$G$3:$G$502,AT$4,Historial!$H$3:$H$502,$B$2)&gt;0,"✓",""))</f>
        <v/>
      </c>
      <c r="AU90" s="29" t="str">
        <f aca="false">IF($A89="","",IF(COUNTIFS(Historial!$B$3:$B$502,$A89,Historial!$C$3:$C$502,$B89,Historial!$G$3:$G$502,AU$4,Historial!$H$3:$H$502,$B$2)&gt;0,"✓",""))</f>
        <v/>
      </c>
      <c r="AV90" s="29" t="str">
        <f aca="false">IF($A89="","",IF(COUNTIFS(Historial!$B$3:$B$502,$A89,Historial!$C$3:$C$502,$B89,Historial!$G$3:$G$502,AV$4,Historial!$H$3:$H$502,$B$2)&gt;0,"✓",""))</f>
        <v/>
      </c>
      <c r="AW90" s="29" t="str">
        <f aca="false">IF($A89="","",IF(COUNTIFS(Historial!$B$3:$B$502,$A89,Historial!$C$3:$C$502,$B89,Historial!$G$3:$G$502,AW$4,Historial!$H$3:$H$502,$B$2)&gt;0,"✓",""))</f>
        <v/>
      </c>
      <c r="AX90" s="29" t="str">
        <f aca="false">IF($A89="","",IF(COUNTIFS(Historial!$B$3:$B$502,$A89,Historial!$C$3:$C$502,$B89,Historial!$G$3:$G$502,AX$4,Historial!$H$3:$H$502,$B$2)&gt;0,"✓",""))</f>
        <v/>
      </c>
      <c r="AY90" s="29" t="str">
        <f aca="false">IF($A89="","",IF(COUNTIFS(Historial!$B$3:$B$502,$A89,Historial!$C$3:$C$502,$B89,Historial!$G$3:$G$502,AY$4,Historial!$H$3:$H$502,$B$2)&gt;0,"✓",""))</f>
        <v/>
      </c>
      <c r="AZ90" s="29" t="str">
        <f aca="false">IF($A89="","",IF(COUNTIFS(Historial!$B$3:$B$502,$A89,Historial!$C$3:$C$502,$B89,Historial!$G$3:$G$502,AZ$4,Historial!$H$3:$H$502,$B$2)&gt;0,"✓",""))</f>
        <v/>
      </c>
      <c r="BA90" s="29" t="str">
        <f aca="false">IF($A89="","",IF(COUNTIFS(Historial!$B$3:$B$502,$A89,Historial!$C$3:$C$502,$B89,Historial!$G$3:$G$502,BA$4,Historial!$H$3:$H$502,$B$2)&gt;0,"✓",""))</f>
        <v/>
      </c>
      <c r="BB90" s="29" t="str">
        <f aca="false">IF($A89="","",IF(COUNTIFS(Historial!$B$3:$B$502,$A89,Historial!$C$3:$C$502,$B89,Historial!$G$3:$G$502,BB$4,Historial!$H$3:$H$502,$B$2)&gt;0,"✓",""))</f>
        <v/>
      </c>
      <c r="BC90" s="29" t="str">
        <f aca="false">IF($A89="","",IF(COUNTIFS(Historial!$B$3:$B$502,$A89,Historial!$C$3:$C$502,$B89,Historial!$G$3:$G$502,BC$4,Historial!$H$3:$H$502,$B$2)&gt;0,"✓",""))</f>
        <v/>
      </c>
      <c r="BD90" s="29"/>
      <c r="BE90" s="29"/>
      <c r="BF90" s="29"/>
    </row>
    <row r="91" customFormat="false" ht="15" hidden="false" customHeight="false" outlineLevel="0" collapsed="false">
      <c r="A91" s="24" t="str">
        <f aca="false">IF(Actividades!$B46="","",Actividades!$B46)</f>
        <v/>
      </c>
      <c r="B91" s="24" t="str">
        <f aca="false">IF(Actividades!$C46="","",Actividades!$C46)</f>
        <v/>
      </c>
      <c r="C91" s="24" t="str">
        <f aca="false">IF($A91="","","Plan")</f>
        <v/>
      </c>
      <c r="D91" s="25" t="str">
        <f aca="false">IF($A91="","",IF(AND(N(Actividades!$E46)&gt;0,D$4&gt;=Actividades!$E46,MOD(D$4-Actividades!$E46,IFERROR(VLOOKUP(Actividades!$D46,Listas!$A$2:$B$8,2,0),52))=0),"P",""))</f>
        <v/>
      </c>
      <c r="E91" s="25" t="str">
        <f aca="false">IF($A91="","",IF(AND(N(Actividades!$E46)&gt;0,E$4&gt;=Actividades!$E46,MOD(E$4-Actividades!$E46,IFERROR(VLOOKUP(Actividades!$D46,Listas!$A$2:$B$8,2,0),52))=0),"P",""))</f>
        <v/>
      </c>
      <c r="F91" s="25" t="str">
        <f aca="false">IF($A91="","",IF(AND(N(Actividades!$E46)&gt;0,F$4&gt;=Actividades!$E46,MOD(F$4-Actividades!$E46,IFERROR(VLOOKUP(Actividades!$D46,Listas!$A$2:$B$8,2,0),52))=0),"P",""))</f>
        <v/>
      </c>
      <c r="G91" s="25" t="str">
        <f aca="false">IF($A91="","",IF(AND(N(Actividades!$E46)&gt;0,G$4&gt;=Actividades!$E46,MOD(G$4-Actividades!$E46,IFERROR(VLOOKUP(Actividades!$D46,Listas!$A$2:$B$8,2,0),52))=0),"P",""))</f>
        <v/>
      </c>
      <c r="H91" s="25" t="str">
        <f aca="false">IF($A91="","",IF(AND(N(Actividades!$E46)&gt;0,H$4&gt;=Actividades!$E46,MOD(H$4-Actividades!$E46,IFERROR(VLOOKUP(Actividades!$D46,Listas!$A$2:$B$8,2,0),52))=0),"P",""))</f>
        <v/>
      </c>
      <c r="I91" s="25" t="str">
        <f aca="false">IF($A91="","",IF(AND(N(Actividades!$E46)&gt;0,I$4&gt;=Actividades!$E46,MOD(I$4-Actividades!$E46,IFERROR(VLOOKUP(Actividades!$D46,Listas!$A$2:$B$8,2,0),52))=0),"P",""))</f>
        <v/>
      </c>
      <c r="J91" s="25" t="str">
        <f aca="false">IF($A91="","",IF(AND(N(Actividades!$E46)&gt;0,J$4&gt;=Actividades!$E46,MOD(J$4-Actividades!$E46,IFERROR(VLOOKUP(Actividades!$D46,Listas!$A$2:$B$8,2,0),52))=0),"P",""))</f>
        <v/>
      </c>
      <c r="K91" s="25" t="str">
        <f aca="false">IF($A91="","",IF(AND(N(Actividades!$E46)&gt;0,K$4&gt;=Actividades!$E46,MOD(K$4-Actividades!$E46,IFERROR(VLOOKUP(Actividades!$D46,Listas!$A$2:$B$8,2,0),52))=0),"P",""))</f>
        <v/>
      </c>
      <c r="L91" s="25" t="str">
        <f aca="false">IF($A91="","",IF(AND(N(Actividades!$E46)&gt;0,L$4&gt;=Actividades!$E46,MOD(L$4-Actividades!$E46,IFERROR(VLOOKUP(Actividades!$D46,Listas!$A$2:$B$8,2,0),52))=0),"P",""))</f>
        <v/>
      </c>
      <c r="M91" s="25" t="str">
        <f aca="false">IF($A91="","",IF(AND(N(Actividades!$E46)&gt;0,M$4&gt;=Actividades!$E46,MOD(M$4-Actividades!$E46,IFERROR(VLOOKUP(Actividades!$D46,Listas!$A$2:$B$8,2,0),52))=0),"P",""))</f>
        <v/>
      </c>
      <c r="N91" s="25" t="str">
        <f aca="false">IF($A91="","",IF(AND(N(Actividades!$E46)&gt;0,N$4&gt;=Actividades!$E46,MOD(N$4-Actividades!$E46,IFERROR(VLOOKUP(Actividades!$D46,Listas!$A$2:$B$8,2,0),52))=0),"P",""))</f>
        <v/>
      </c>
      <c r="O91" s="25" t="str">
        <f aca="false">IF($A91="","",IF(AND(N(Actividades!$E46)&gt;0,O$4&gt;=Actividades!$E46,MOD(O$4-Actividades!$E46,IFERROR(VLOOKUP(Actividades!$D46,Listas!$A$2:$B$8,2,0),52))=0),"P",""))</f>
        <v/>
      </c>
      <c r="P91" s="25" t="str">
        <f aca="false">IF($A91="","",IF(AND(N(Actividades!$E46)&gt;0,P$4&gt;=Actividades!$E46,MOD(P$4-Actividades!$E46,IFERROR(VLOOKUP(Actividades!$D46,Listas!$A$2:$B$8,2,0),52))=0),"P",""))</f>
        <v/>
      </c>
      <c r="Q91" s="25" t="str">
        <f aca="false">IF($A91="","",IF(AND(N(Actividades!$E46)&gt;0,Q$4&gt;=Actividades!$E46,MOD(Q$4-Actividades!$E46,IFERROR(VLOOKUP(Actividades!$D46,Listas!$A$2:$B$8,2,0),52))=0),"P",""))</f>
        <v/>
      </c>
      <c r="R91" s="25" t="str">
        <f aca="false">IF($A91="","",IF(AND(N(Actividades!$E46)&gt;0,R$4&gt;=Actividades!$E46,MOD(R$4-Actividades!$E46,IFERROR(VLOOKUP(Actividades!$D46,Listas!$A$2:$B$8,2,0),52))=0),"P",""))</f>
        <v/>
      </c>
      <c r="S91" s="25" t="str">
        <f aca="false">IF($A91="","",IF(AND(N(Actividades!$E46)&gt;0,S$4&gt;=Actividades!$E46,MOD(S$4-Actividades!$E46,IFERROR(VLOOKUP(Actividades!$D46,Listas!$A$2:$B$8,2,0),52))=0),"P",""))</f>
        <v/>
      </c>
      <c r="T91" s="25" t="str">
        <f aca="false">IF($A91="","",IF(AND(N(Actividades!$E46)&gt;0,T$4&gt;=Actividades!$E46,MOD(T$4-Actividades!$E46,IFERROR(VLOOKUP(Actividades!$D46,Listas!$A$2:$B$8,2,0),52))=0),"P",""))</f>
        <v/>
      </c>
      <c r="U91" s="25" t="str">
        <f aca="false">IF($A91="","",IF(AND(N(Actividades!$E46)&gt;0,U$4&gt;=Actividades!$E46,MOD(U$4-Actividades!$E46,IFERROR(VLOOKUP(Actividades!$D46,Listas!$A$2:$B$8,2,0),52))=0),"P",""))</f>
        <v/>
      </c>
      <c r="V91" s="25" t="str">
        <f aca="false">IF($A91="","",IF(AND(N(Actividades!$E46)&gt;0,V$4&gt;=Actividades!$E46,MOD(V$4-Actividades!$E46,IFERROR(VLOOKUP(Actividades!$D46,Listas!$A$2:$B$8,2,0),52))=0),"P",""))</f>
        <v/>
      </c>
      <c r="W91" s="25" t="str">
        <f aca="false">IF($A91="","",IF(AND(N(Actividades!$E46)&gt;0,W$4&gt;=Actividades!$E46,MOD(W$4-Actividades!$E46,IFERROR(VLOOKUP(Actividades!$D46,Listas!$A$2:$B$8,2,0),52))=0),"P",""))</f>
        <v/>
      </c>
      <c r="X91" s="25" t="str">
        <f aca="false">IF($A91="","",IF(AND(N(Actividades!$E46)&gt;0,X$4&gt;=Actividades!$E46,MOD(X$4-Actividades!$E46,IFERROR(VLOOKUP(Actividades!$D46,Listas!$A$2:$B$8,2,0),52))=0),"P",""))</f>
        <v/>
      </c>
      <c r="Y91" s="25" t="str">
        <f aca="false">IF($A91="","",IF(AND(N(Actividades!$E46)&gt;0,Y$4&gt;=Actividades!$E46,MOD(Y$4-Actividades!$E46,IFERROR(VLOOKUP(Actividades!$D46,Listas!$A$2:$B$8,2,0),52))=0),"P",""))</f>
        <v/>
      </c>
      <c r="Z91" s="25" t="str">
        <f aca="false">IF($A91="","",IF(AND(N(Actividades!$E46)&gt;0,Z$4&gt;=Actividades!$E46,MOD(Z$4-Actividades!$E46,IFERROR(VLOOKUP(Actividades!$D46,Listas!$A$2:$B$8,2,0),52))=0),"P",""))</f>
        <v/>
      </c>
      <c r="AA91" s="25" t="str">
        <f aca="false">IF($A91="","",IF(AND(N(Actividades!$E46)&gt;0,AA$4&gt;=Actividades!$E46,MOD(AA$4-Actividades!$E46,IFERROR(VLOOKUP(Actividades!$D46,Listas!$A$2:$B$8,2,0),52))=0),"P",""))</f>
        <v/>
      </c>
      <c r="AB91" s="25" t="str">
        <f aca="false">IF($A91="","",IF(AND(N(Actividades!$E46)&gt;0,AB$4&gt;=Actividades!$E46,MOD(AB$4-Actividades!$E46,IFERROR(VLOOKUP(Actividades!$D46,Listas!$A$2:$B$8,2,0),52))=0),"P",""))</f>
        <v/>
      </c>
      <c r="AC91" s="25" t="str">
        <f aca="false">IF($A91="","",IF(AND(N(Actividades!$E46)&gt;0,AC$4&gt;=Actividades!$E46,MOD(AC$4-Actividades!$E46,IFERROR(VLOOKUP(Actividades!$D46,Listas!$A$2:$B$8,2,0),52))=0),"P",""))</f>
        <v/>
      </c>
      <c r="AD91" s="25" t="str">
        <f aca="false">IF($A91="","",IF(AND(N(Actividades!$E46)&gt;0,AD$4&gt;=Actividades!$E46,MOD(AD$4-Actividades!$E46,IFERROR(VLOOKUP(Actividades!$D46,Listas!$A$2:$B$8,2,0),52))=0),"P",""))</f>
        <v/>
      </c>
      <c r="AE91" s="25" t="str">
        <f aca="false">IF($A91="","",IF(AND(N(Actividades!$E46)&gt;0,AE$4&gt;=Actividades!$E46,MOD(AE$4-Actividades!$E46,IFERROR(VLOOKUP(Actividades!$D46,Listas!$A$2:$B$8,2,0),52))=0),"P",""))</f>
        <v/>
      </c>
      <c r="AF91" s="25" t="str">
        <f aca="false">IF($A91="","",IF(AND(N(Actividades!$E46)&gt;0,AF$4&gt;=Actividades!$E46,MOD(AF$4-Actividades!$E46,IFERROR(VLOOKUP(Actividades!$D46,Listas!$A$2:$B$8,2,0),52))=0),"P",""))</f>
        <v/>
      </c>
      <c r="AG91" s="25" t="str">
        <f aca="false">IF($A91="","",IF(AND(N(Actividades!$E46)&gt;0,AG$4&gt;=Actividades!$E46,MOD(AG$4-Actividades!$E46,IFERROR(VLOOKUP(Actividades!$D46,Listas!$A$2:$B$8,2,0),52))=0),"P",""))</f>
        <v/>
      </c>
      <c r="AH91" s="25" t="str">
        <f aca="false">IF($A91="","",IF(AND(N(Actividades!$E46)&gt;0,AH$4&gt;=Actividades!$E46,MOD(AH$4-Actividades!$E46,IFERROR(VLOOKUP(Actividades!$D46,Listas!$A$2:$B$8,2,0),52))=0),"P",""))</f>
        <v/>
      </c>
      <c r="AI91" s="25" t="str">
        <f aca="false">IF($A91="","",IF(AND(N(Actividades!$E46)&gt;0,AI$4&gt;=Actividades!$E46,MOD(AI$4-Actividades!$E46,IFERROR(VLOOKUP(Actividades!$D46,Listas!$A$2:$B$8,2,0),52))=0),"P",""))</f>
        <v/>
      </c>
      <c r="AJ91" s="25" t="str">
        <f aca="false">IF($A91="","",IF(AND(N(Actividades!$E46)&gt;0,AJ$4&gt;=Actividades!$E46,MOD(AJ$4-Actividades!$E46,IFERROR(VLOOKUP(Actividades!$D46,Listas!$A$2:$B$8,2,0),52))=0),"P",""))</f>
        <v/>
      </c>
      <c r="AK91" s="25" t="str">
        <f aca="false">IF($A91="","",IF(AND(N(Actividades!$E46)&gt;0,AK$4&gt;=Actividades!$E46,MOD(AK$4-Actividades!$E46,IFERROR(VLOOKUP(Actividades!$D46,Listas!$A$2:$B$8,2,0),52))=0),"P",""))</f>
        <v/>
      </c>
      <c r="AL91" s="25" t="str">
        <f aca="false">IF($A91="","",IF(AND(N(Actividades!$E46)&gt;0,AL$4&gt;=Actividades!$E46,MOD(AL$4-Actividades!$E46,IFERROR(VLOOKUP(Actividades!$D46,Listas!$A$2:$B$8,2,0),52))=0),"P",""))</f>
        <v/>
      </c>
      <c r="AM91" s="25" t="str">
        <f aca="false">IF($A91="","",IF(AND(N(Actividades!$E46)&gt;0,AM$4&gt;=Actividades!$E46,MOD(AM$4-Actividades!$E46,IFERROR(VLOOKUP(Actividades!$D46,Listas!$A$2:$B$8,2,0),52))=0),"P",""))</f>
        <v/>
      </c>
      <c r="AN91" s="25" t="str">
        <f aca="false">IF($A91="","",IF(AND(N(Actividades!$E46)&gt;0,AN$4&gt;=Actividades!$E46,MOD(AN$4-Actividades!$E46,IFERROR(VLOOKUP(Actividades!$D46,Listas!$A$2:$B$8,2,0),52))=0),"P",""))</f>
        <v/>
      </c>
      <c r="AO91" s="25" t="str">
        <f aca="false">IF($A91="","",IF(AND(N(Actividades!$E46)&gt;0,AO$4&gt;=Actividades!$E46,MOD(AO$4-Actividades!$E46,IFERROR(VLOOKUP(Actividades!$D46,Listas!$A$2:$B$8,2,0),52))=0),"P",""))</f>
        <v/>
      </c>
      <c r="AP91" s="25" t="str">
        <f aca="false">IF($A91="","",IF(AND(N(Actividades!$E46)&gt;0,AP$4&gt;=Actividades!$E46,MOD(AP$4-Actividades!$E46,IFERROR(VLOOKUP(Actividades!$D46,Listas!$A$2:$B$8,2,0),52))=0),"P",""))</f>
        <v/>
      </c>
      <c r="AQ91" s="25" t="str">
        <f aca="false">IF($A91="","",IF(AND(N(Actividades!$E46)&gt;0,AQ$4&gt;=Actividades!$E46,MOD(AQ$4-Actividades!$E46,IFERROR(VLOOKUP(Actividades!$D46,Listas!$A$2:$B$8,2,0),52))=0),"P",""))</f>
        <v/>
      </c>
      <c r="AR91" s="25" t="str">
        <f aca="false">IF($A91="","",IF(AND(N(Actividades!$E46)&gt;0,AR$4&gt;=Actividades!$E46,MOD(AR$4-Actividades!$E46,IFERROR(VLOOKUP(Actividades!$D46,Listas!$A$2:$B$8,2,0),52))=0),"P",""))</f>
        <v/>
      </c>
      <c r="AS91" s="25" t="str">
        <f aca="false">IF($A91="","",IF(AND(N(Actividades!$E46)&gt;0,AS$4&gt;=Actividades!$E46,MOD(AS$4-Actividades!$E46,IFERROR(VLOOKUP(Actividades!$D46,Listas!$A$2:$B$8,2,0),52))=0),"P",""))</f>
        <v/>
      </c>
      <c r="AT91" s="25" t="str">
        <f aca="false">IF($A91="","",IF(AND(N(Actividades!$E46)&gt;0,AT$4&gt;=Actividades!$E46,MOD(AT$4-Actividades!$E46,IFERROR(VLOOKUP(Actividades!$D46,Listas!$A$2:$B$8,2,0),52))=0),"P",""))</f>
        <v/>
      </c>
      <c r="AU91" s="25" t="str">
        <f aca="false">IF($A91="","",IF(AND(N(Actividades!$E46)&gt;0,AU$4&gt;=Actividades!$E46,MOD(AU$4-Actividades!$E46,IFERROR(VLOOKUP(Actividades!$D46,Listas!$A$2:$B$8,2,0),52))=0),"P",""))</f>
        <v/>
      </c>
      <c r="AV91" s="25" t="str">
        <f aca="false">IF($A91="","",IF(AND(N(Actividades!$E46)&gt;0,AV$4&gt;=Actividades!$E46,MOD(AV$4-Actividades!$E46,IFERROR(VLOOKUP(Actividades!$D46,Listas!$A$2:$B$8,2,0),52))=0),"P",""))</f>
        <v/>
      </c>
      <c r="AW91" s="25" t="str">
        <f aca="false">IF($A91="","",IF(AND(N(Actividades!$E46)&gt;0,AW$4&gt;=Actividades!$E46,MOD(AW$4-Actividades!$E46,IFERROR(VLOOKUP(Actividades!$D46,Listas!$A$2:$B$8,2,0),52))=0),"P",""))</f>
        <v/>
      </c>
      <c r="AX91" s="25" t="str">
        <f aca="false">IF($A91="","",IF(AND(N(Actividades!$E46)&gt;0,AX$4&gt;=Actividades!$E46,MOD(AX$4-Actividades!$E46,IFERROR(VLOOKUP(Actividades!$D46,Listas!$A$2:$B$8,2,0),52))=0),"P",""))</f>
        <v/>
      </c>
      <c r="AY91" s="25" t="str">
        <f aca="false">IF($A91="","",IF(AND(N(Actividades!$E46)&gt;0,AY$4&gt;=Actividades!$E46,MOD(AY$4-Actividades!$E46,IFERROR(VLOOKUP(Actividades!$D46,Listas!$A$2:$B$8,2,0),52))=0),"P",""))</f>
        <v/>
      </c>
      <c r="AZ91" s="25" t="str">
        <f aca="false">IF($A91="","",IF(AND(N(Actividades!$E46)&gt;0,AZ$4&gt;=Actividades!$E46,MOD(AZ$4-Actividades!$E46,IFERROR(VLOOKUP(Actividades!$D46,Listas!$A$2:$B$8,2,0),52))=0),"P",""))</f>
        <v/>
      </c>
      <c r="BA91" s="25" t="str">
        <f aca="false">IF($A91="","",IF(AND(N(Actividades!$E46)&gt;0,BA$4&gt;=Actividades!$E46,MOD(BA$4-Actividades!$E46,IFERROR(VLOOKUP(Actividades!$D46,Listas!$A$2:$B$8,2,0),52))=0),"P",""))</f>
        <v/>
      </c>
      <c r="BB91" s="25" t="str">
        <f aca="false">IF($A91="","",IF(AND(N(Actividades!$E46)&gt;0,BB$4&gt;=Actividades!$E46,MOD(BB$4-Actividades!$E46,IFERROR(VLOOKUP(Actividades!$D46,Listas!$A$2:$B$8,2,0),52))=0),"P",""))</f>
        <v/>
      </c>
      <c r="BC91" s="25" t="str">
        <f aca="false">IF($A91="","",IF(AND(N(Actividades!$E46)&gt;0,BC$4&gt;=Actividades!$E46,MOD(BC$4-Actividades!$E46,IFERROR(VLOOKUP(Actividades!$D46,Listas!$A$2:$B$8,2,0),52))=0),"P",""))</f>
        <v/>
      </c>
      <c r="BD91" s="26" t="str">
        <f aca="false">IF($A91="","",COUNTIF(D91:BC91,"P"))</f>
        <v/>
      </c>
      <c r="BE91" s="26" t="str">
        <f aca="false">IF($A91="","",SUMPRODUCT((D91:BC91="P")*(D92:BC92="✓")))</f>
        <v/>
      </c>
      <c r="BF91" s="27" t="str">
        <f aca="false">IF($A91="","",IF(BD91=0,"",BE91/BD91))</f>
        <v/>
      </c>
    </row>
    <row r="92" customFormat="false" ht="15" hidden="false" customHeight="false" outlineLevel="0" collapsed="false">
      <c r="A92" s="28"/>
      <c r="B92" s="28"/>
      <c r="C92" s="28" t="str">
        <f aca="false">IF($A91="","","Real")</f>
        <v/>
      </c>
      <c r="D92" s="29" t="str">
        <f aca="false">IF($A91="","",IF(COUNTIFS(Historial!$B$3:$B$502,$A91,Historial!$C$3:$C$502,$B91,Historial!$G$3:$G$502,D$4,Historial!$H$3:$H$502,$B$2)&gt;0,"✓",""))</f>
        <v/>
      </c>
      <c r="E92" s="29" t="str">
        <f aca="false">IF($A91="","",IF(COUNTIFS(Historial!$B$3:$B$502,$A91,Historial!$C$3:$C$502,$B91,Historial!$G$3:$G$502,E$4,Historial!$H$3:$H$502,$B$2)&gt;0,"✓",""))</f>
        <v/>
      </c>
      <c r="F92" s="29" t="str">
        <f aca="false">IF($A91="","",IF(COUNTIFS(Historial!$B$3:$B$502,$A91,Historial!$C$3:$C$502,$B91,Historial!$G$3:$G$502,F$4,Historial!$H$3:$H$502,$B$2)&gt;0,"✓",""))</f>
        <v/>
      </c>
      <c r="G92" s="29" t="str">
        <f aca="false">IF($A91="","",IF(COUNTIFS(Historial!$B$3:$B$502,$A91,Historial!$C$3:$C$502,$B91,Historial!$G$3:$G$502,G$4,Historial!$H$3:$H$502,$B$2)&gt;0,"✓",""))</f>
        <v/>
      </c>
      <c r="H92" s="29" t="str">
        <f aca="false">IF($A91="","",IF(COUNTIFS(Historial!$B$3:$B$502,$A91,Historial!$C$3:$C$502,$B91,Historial!$G$3:$G$502,H$4,Historial!$H$3:$H$502,$B$2)&gt;0,"✓",""))</f>
        <v/>
      </c>
      <c r="I92" s="29" t="str">
        <f aca="false">IF($A91="","",IF(COUNTIFS(Historial!$B$3:$B$502,$A91,Historial!$C$3:$C$502,$B91,Historial!$G$3:$G$502,I$4,Historial!$H$3:$H$502,$B$2)&gt;0,"✓",""))</f>
        <v/>
      </c>
      <c r="J92" s="29" t="str">
        <f aca="false">IF($A91="","",IF(COUNTIFS(Historial!$B$3:$B$502,$A91,Historial!$C$3:$C$502,$B91,Historial!$G$3:$G$502,J$4,Historial!$H$3:$H$502,$B$2)&gt;0,"✓",""))</f>
        <v/>
      </c>
      <c r="K92" s="29" t="str">
        <f aca="false">IF($A91="","",IF(COUNTIFS(Historial!$B$3:$B$502,$A91,Historial!$C$3:$C$502,$B91,Historial!$G$3:$G$502,K$4,Historial!$H$3:$H$502,$B$2)&gt;0,"✓",""))</f>
        <v/>
      </c>
      <c r="L92" s="29" t="str">
        <f aca="false">IF($A91="","",IF(COUNTIFS(Historial!$B$3:$B$502,$A91,Historial!$C$3:$C$502,$B91,Historial!$G$3:$G$502,L$4,Historial!$H$3:$H$502,$B$2)&gt;0,"✓",""))</f>
        <v/>
      </c>
      <c r="M92" s="29" t="str">
        <f aca="false">IF($A91="","",IF(COUNTIFS(Historial!$B$3:$B$502,$A91,Historial!$C$3:$C$502,$B91,Historial!$G$3:$G$502,M$4,Historial!$H$3:$H$502,$B$2)&gt;0,"✓",""))</f>
        <v/>
      </c>
      <c r="N92" s="29" t="str">
        <f aca="false">IF($A91="","",IF(COUNTIFS(Historial!$B$3:$B$502,$A91,Historial!$C$3:$C$502,$B91,Historial!$G$3:$G$502,N$4,Historial!$H$3:$H$502,$B$2)&gt;0,"✓",""))</f>
        <v/>
      </c>
      <c r="O92" s="29" t="str">
        <f aca="false">IF($A91="","",IF(COUNTIFS(Historial!$B$3:$B$502,$A91,Historial!$C$3:$C$502,$B91,Historial!$G$3:$G$502,O$4,Historial!$H$3:$H$502,$B$2)&gt;0,"✓",""))</f>
        <v/>
      </c>
      <c r="P92" s="29" t="str">
        <f aca="false">IF($A91="","",IF(COUNTIFS(Historial!$B$3:$B$502,$A91,Historial!$C$3:$C$502,$B91,Historial!$G$3:$G$502,P$4,Historial!$H$3:$H$502,$B$2)&gt;0,"✓",""))</f>
        <v/>
      </c>
      <c r="Q92" s="29" t="str">
        <f aca="false">IF($A91="","",IF(COUNTIFS(Historial!$B$3:$B$502,$A91,Historial!$C$3:$C$502,$B91,Historial!$G$3:$G$502,Q$4,Historial!$H$3:$H$502,$B$2)&gt;0,"✓",""))</f>
        <v/>
      </c>
      <c r="R92" s="29" t="str">
        <f aca="false">IF($A91="","",IF(COUNTIFS(Historial!$B$3:$B$502,$A91,Historial!$C$3:$C$502,$B91,Historial!$G$3:$G$502,R$4,Historial!$H$3:$H$502,$B$2)&gt;0,"✓",""))</f>
        <v/>
      </c>
      <c r="S92" s="29" t="str">
        <f aca="false">IF($A91="","",IF(COUNTIFS(Historial!$B$3:$B$502,$A91,Historial!$C$3:$C$502,$B91,Historial!$G$3:$G$502,S$4,Historial!$H$3:$H$502,$B$2)&gt;0,"✓",""))</f>
        <v/>
      </c>
      <c r="T92" s="29" t="str">
        <f aca="false">IF($A91="","",IF(COUNTIFS(Historial!$B$3:$B$502,$A91,Historial!$C$3:$C$502,$B91,Historial!$G$3:$G$502,T$4,Historial!$H$3:$H$502,$B$2)&gt;0,"✓",""))</f>
        <v/>
      </c>
      <c r="U92" s="29" t="str">
        <f aca="false">IF($A91="","",IF(COUNTIFS(Historial!$B$3:$B$502,$A91,Historial!$C$3:$C$502,$B91,Historial!$G$3:$G$502,U$4,Historial!$H$3:$H$502,$B$2)&gt;0,"✓",""))</f>
        <v/>
      </c>
      <c r="V92" s="29" t="str">
        <f aca="false">IF($A91="","",IF(COUNTIFS(Historial!$B$3:$B$502,$A91,Historial!$C$3:$C$502,$B91,Historial!$G$3:$G$502,V$4,Historial!$H$3:$H$502,$B$2)&gt;0,"✓",""))</f>
        <v/>
      </c>
      <c r="W92" s="29" t="str">
        <f aca="false">IF($A91="","",IF(COUNTIFS(Historial!$B$3:$B$502,$A91,Historial!$C$3:$C$502,$B91,Historial!$G$3:$G$502,W$4,Historial!$H$3:$H$502,$B$2)&gt;0,"✓",""))</f>
        <v/>
      </c>
      <c r="X92" s="29" t="str">
        <f aca="false">IF($A91="","",IF(COUNTIFS(Historial!$B$3:$B$502,$A91,Historial!$C$3:$C$502,$B91,Historial!$G$3:$G$502,X$4,Historial!$H$3:$H$502,$B$2)&gt;0,"✓",""))</f>
        <v/>
      </c>
      <c r="Y92" s="29" t="str">
        <f aca="false">IF($A91="","",IF(COUNTIFS(Historial!$B$3:$B$502,$A91,Historial!$C$3:$C$502,$B91,Historial!$G$3:$G$502,Y$4,Historial!$H$3:$H$502,$B$2)&gt;0,"✓",""))</f>
        <v/>
      </c>
      <c r="Z92" s="29" t="str">
        <f aca="false">IF($A91="","",IF(COUNTIFS(Historial!$B$3:$B$502,$A91,Historial!$C$3:$C$502,$B91,Historial!$G$3:$G$502,Z$4,Historial!$H$3:$H$502,$B$2)&gt;0,"✓",""))</f>
        <v/>
      </c>
      <c r="AA92" s="29" t="str">
        <f aca="false">IF($A91="","",IF(COUNTIFS(Historial!$B$3:$B$502,$A91,Historial!$C$3:$C$502,$B91,Historial!$G$3:$G$502,AA$4,Historial!$H$3:$H$502,$B$2)&gt;0,"✓",""))</f>
        <v/>
      </c>
      <c r="AB92" s="29" t="str">
        <f aca="false">IF($A91="","",IF(COUNTIFS(Historial!$B$3:$B$502,$A91,Historial!$C$3:$C$502,$B91,Historial!$G$3:$G$502,AB$4,Historial!$H$3:$H$502,$B$2)&gt;0,"✓",""))</f>
        <v/>
      </c>
      <c r="AC92" s="29" t="str">
        <f aca="false">IF($A91="","",IF(COUNTIFS(Historial!$B$3:$B$502,$A91,Historial!$C$3:$C$502,$B91,Historial!$G$3:$G$502,AC$4,Historial!$H$3:$H$502,$B$2)&gt;0,"✓",""))</f>
        <v/>
      </c>
      <c r="AD92" s="29" t="str">
        <f aca="false">IF($A91="","",IF(COUNTIFS(Historial!$B$3:$B$502,$A91,Historial!$C$3:$C$502,$B91,Historial!$G$3:$G$502,AD$4,Historial!$H$3:$H$502,$B$2)&gt;0,"✓",""))</f>
        <v/>
      </c>
      <c r="AE92" s="29" t="str">
        <f aca="false">IF($A91="","",IF(COUNTIFS(Historial!$B$3:$B$502,$A91,Historial!$C$3:$C$502,$B91,Historial!$G$3:$G$502,AE$4,Historial!$H$3:$H$502,$B$2)&gt;0,"✓",""))</f>
        <v/>
      </c>
      <c r="AF92" s="29" t="str">
        <f aca="false">IF($A91="","",IF(COUNTIFS(Historial!$B$3:$B$502,$A91,Historial!$C$3:$C$502,$B91,Historial!$G$3:$G$502,AF$4,Historial!$H$3:$H$502,$B$2)&gt;0,"✓",""))</f>
        <v/>
      </c>
      <c r="AG92" s="29" t="str">
        <f aca="false">IF($A91="","",IF(COUNTIFS(Historial!$B$3:$B$502,$A91,Historial!$C$3:$C$502,$B91,Historial!$G$3:$G$502,AG$4,Historial!$H$3:$H$502,$B$2)&gt;0,"✓",""))</f>
        <v/>
      </c>
      <c r="AH92" s="29" t="str">
        <f aca="false">IF($A91="","",IF(COUNTIFS(Historial!$B$3:$B$502,$A91,Historial!$C$3:$C$502,$B91,Historial!$G$3:$G$502,AH$4,Historial!$H$3:$H$502,$B$2)&gt;0,"✓",""))</f>
        <v/>
      </c>
      <c r="AI92" s="29" t="str">
        <f aca="false">IF($A91="","",IF(COUNTIFS(Historial!$B$3:$B$502,$A91,Historial!$C$3:$C$502,$B91,Historial!$G$3:$G$502,AI$4,Historial!$H$3:$H$502,$B$2)&gt;0,"✓",""))</f>
        <v/>
      </c>
      <c r="AJ92" s="29" t="str">
        <f aca="false">IF($A91="","",IF(COUNTIFS(Historial!$B$3:$B$502,$A91,Historial!$C$3:$C$502,$B91,Historial!$G$3:$G$502,AJ$4,Historial!$H$3:$H$502,$B$2)&gt;0,"✓",""))</f>
        <v/>
      </c>
      <c r="AK92" s="29" t="str">
        <f aca="false">IF($A91="","",IF(COUNTIFS(Historial!$B$3:$B$502,$A91,Historial!$C$3:$C$502,$B91,Historial!$G$3:$G$502,AK$4,Historial!$H$3:$H$502,$B$2)&gt;0,"✓",""))</f>
        <v/>
      </c>
      <c r="AL92" s="29" t="str">
        <f aca="false">IF($A91="","",IF(COUNTIFS(Historial!$B$3:$B$502,$A91,Historial!$C$3:$C$502,$B91,Historial!$G$3:$G$502,AL$4,Historial!$H$3:$H$502,$B$2)&gt;0,"✓",""))</f>
        <v/>
      </c>
      <c r="AM92" s="29" t="str">
        <f aca="false">IF($A91="","",IF(COUNTIFS(Historial!$B$3:$B$502,$A91,Historial!$C$3:$C$502,$B91,Historial!$G$3:$G$502,AM$4,Historial!$H$3:$H$502,$B$2)&gt;0,"✓",""))</f>
        <v/>
      </c>
      <c r="AN92" s="29" t="str">
        <f aca="false">IF($A91="","",IF(COUNTIFS(Historial!$B$3:$B$502,$A91,Historial!$C$3:$C$502,$B91,Historial!$G$3:$G$502,AN$4,Historial!$H$3:$H$502,$B$2)&gt;0,"✓",""))</f>
        <v/>
      </c>
      <c r="AO92" s="29" t="str">
        <f aca="false">IF($A91="","",IF(COUNTIFS(Historial!$B$3:$B$502,$A91,Historial!$C$3:$C$502,$B91,Historial!$G$3:$G$502,AO$4,Historial!$H$3:$H$502,$B$2)&gt;0,"✓",""))</f>
        <v/>
      </c>
      <c r="AP92" s="29" t="str">
        <f aca="false">IF($A91="","",IF(COUNTIFS(Historial!$B$3:$B$502,$A91,Historial!$C$3:$C$502,$B91,Historial!$G$3:$G$502,AP$4,Historial!$H$3:$H$502,$B$2)&gt;0,"✓",""))</f>
        <v/>
      </c>
      <c r="AQ92" s="29" t="str">
        <f aca="false">IF($A91="","",IF(COUNTIFS(Historial!$B$3:$B$502,$A91,Historial!$C$3:$C$502,$B91,Historial!$G$3:$G$502,AQ$4,Historial!$H$3:$H$502,$B$2)&gt;0,"✓",""))</f>
        <v/>
      </c>
      <c r="AR92" s="29" t="str">
        <f aca="false">IF($A91="","",IF(COUNTIFS(Historial!$B$3:$B$502,$A91,Historial!$C$3:$C$502,$B91,Historial!$G$3:$G$502,AR$4,Historial!$H$3:$H$502,$B$2)&gt;0,"✓",""))</f>
        <v/>
      </c>
      <c r="AS92" s="29" t="str">
        <f aca="false">IF($A91="","",IF(COUNTIFS(Historial!$B$3:$B$502,$A91,Historial!$C$3:$C$502,$B91,Historial!$G$3:$G$502,AS$4,Historial!$H$3:$H$502,$B$2)&gt;0,"✓",""))</f>
        <v/>
      </c>
      <c r="AT92" s="29" t="str">
        <f aca="false">IF($A91="","",IF(COUNTIFS(Historial!$B$3:$B$502,$A91,Historial!$C$3:$C$502,$B91,Historial!$G$3:$G$502,AT$4,Historial!$H$3:$H$502,$B$2)&gt;0,"✓",""))</f>
        <v/>
      </c>
      <c r="AU92" s="29" t="str">
        <f aca="false">IF($A91="","",IF(COUNTIFS(Historial!$B$3:$B$502,$A91,Historial!$C$3:$C$502,$B91,Historial!$G$3:$G$502,AU$4,Historial!$H$3:$H$502,$B$2)&gt;0,"✓",""))</f>
        <v/>
      </c>
      <c r="AV92" s="29" t="str">
        <f aca="false">IF($A91="","",IF(COUNTIFS(Historial!$B$3:$B$502,$A91,Historial!$C$3:$C$502,$B91,Historial!$G$3:$G$502,AV$4,Historial!$H$3:$H$502,$B$2)&gt;0,"✓",""))</f>
        <v/>
      </c>
      <c r="AW92" s="29" t="str">
        <f aca="false">IF($A91="","",IF(COUNTIFS(Historial!$B$3:$B$502,$A91,Historial!$C$3:$C$502,$B91,Historial!$G$3:$G$502,AW$4,Historial!$H$3:$H$502,$B$2)&gt;0,"✓",""))</f>
        <v/>
      </c>
      <c r="AX92" s="29" t="str">
        <f aca="false">IF($A91="","",IF(COUNTIFS(Historial!$B$3:$B$502,$A91,Historial!$C$3:$C$502,$B91,Historial!$G$3:$G$502,AX$4,Historial!$H$3:$H$502,$B$2)&gt;0,"✓",""))</f>
        <v/>
      </c>
      <c r="AY92" s="29" t="str">
        <f aca="false">IF($A91="","",IF(COUNTIFS(Historial!$B$3:$B$502,$A91,Historial!$C$3:$C$502,$B91,Historial!$G$3:$G$502,AY$4,Historial!$H$3:$H$502,$B$2)&gt;0,"✓",""))</f>
        <v/>
      </c>
      <c r="AZ92" s="29" t="str">
        <f aca="false">IF($A91="","",IF(COUNTIFS(Historial!$B$3:$B$502,$A91,Historial!$C$3:$C$502,$B91,Historial!$G$3:$G$502,AZ$4,Historial!$H$3:$H$502,$B$2)&gt;0,"✓",""))</f>
        <v/>
      </c>
      <c r="BA92" s="29" t="str">
        <f aca="false">IF($A91="","",IF(COUNTIFS(Historial!$B$3:$B$502,$A91,Historial!$C$3:$C$502,$B91,Historial!$G$3:$G$502,BA$4,Historial!$H$3:$H$502,$B$2)&gt;0,"✓",""))</f>
        <v/>
      </c>
      <c r="BB92" s="29" t="str">
        <f aca="false">IF($A91="","",IF(COUNTIFS(Historial!$B$3:$B$502,$A91,Historial!$C$3:$C$502,$B91,Historial!$G$3:$G$502,BB$4,Historial!$H$3:$H$502,$B$2)&gt;0,"✓",""))</f>
        <v/>
      </c>
      <c r="BC92" s="29" t="str">
        <f aca="false">IF($A91="","",IF(COUNTIFS(Historial!$B$3:$B$502,$A91,Historial!$C$3:$C$502,$B91,Historial!$G$3:$G$502,BC$4,Historial!$H$3:$H$502,$B$2)&gt;0,"✓",""))</f>
        <v/>
      </c>
      <c r="BD92" s="29"/>
      <c r="BE92" s="29"/>
      <c r="BF92" s="29"/>
    </row>
    <row r="93" customFormat="false" ht="15" hidden="false" customHeight="false" outlineLevel="0" collapsed="false">
      <c r="A93" s="24" t="str">
        <f aca="false">IF(Actividades!$B47="","",Actividades!$B47)</f>
        <v/>
      </c>
      <c r="B93" s="24" t="str">
        <f aca="false">IF(Actividades!$C47="","",Actividades!$C47)</f>
        <v/>
      </c>
      <c r="C93" s="24" t="str">
        <f aca="false">IF($A93="","","Plan")</f>
        <v/>
      </c>
      <c r="D93" s="25" t="str">
        <f aca="false">IF($A93="","",IF(AND(N(Actividades!$E47)&gt;0,D$4&gt;=Actividades!$E47,MOD(D$4-Actividades!$E47,IFERROR(VLOOKUP(Actividades!$D47,Listas!$A$2:$B$8,2,0),52))=0),"P",""))</f>
        <v/>
      </c>
      <c r="E93" s="25" t="str">
        <f aca="false">IF($A93="","",IF(AND(N(Actividades!$E47)&gt;0,E$4&gt;=Actividades!$E47,MOD(E$4-Actividades!$E47,IFERROR(VLOOKUP(Actividades!$D47,Listas!$A$2:$B$8,2,0),52))=0),"P",""))</f>
        <v/>
      </c>
      <c r="F93" s="25" t="str">
        <f aca="false">IF($A93="","",IF(AND(N(Actividades!$E47)&gt;0,F$4&gt;=Actividades!$E47,MOD(F$4-Actividades!$E47,IFERROR(VLOOKUP(Actividades!$D47,Listas!$A$2:$B$8,2,0),52))=0),"P",""))</f>
        <v/>
      </c>
      <c r="G93" s="25" t="str">
        <f aca="false">IF($A93="","",IF(AND(N(Actividades!$E47)&gt;0,G$4&gt;=Actividades!$E47,MOD(G$4-Actividades!$E47,IFERROR(VLOOKUP(Actividades!$D47,Listas!$A$2:$B$8,2,0),52))=0),"P",""))</f>
        <v/>
      </c>
      <c r="H93" s="25" t="str">
        <f aca="false">IF($A93="","",IF(AND(N(Actividades!$E47)&gt;0,H$4&gt;=Actividades!$E47,MOD(H$4-Actividades!$E47,IFERROR(VLOOKUP(Actividades!$D47,Listas!$A$2:$B$8,2,0),52))=0),"P",""))</f>
        <v/>
      </c>
      <c r="I93" s="25" t="str">
        <f aca="false">IF($A93="","",IF(AND(N(Actividades!$E47)&gt;0,I$4&gt;=Actividades!$E47,MOD(I$4-Actividades!$E47,IFERROR(VLOOKUP(Actividades!$D47,Listas!$A$2:$B$8,2,0),52))=0),"P",""))</f>
        <v/>
      </c>
      <c r="J93" s="25" t="str">
        <f aca="false">IF($A93="","",IF(AND(N(Actividades!$E47)&gt;0,J$4&gt;=Actividades!$E47,MOD(J$4-Actividades!$E47,IFERROR(VLOOKUP(Actividades!$D47,Listas!$A$2:$B$8,2,0),52))=0),"P",""))</f>
        <v/>
      </c>
      <c r="K93" s="25" t="str">
        <f aca="false">IF($A93="","",IF(AND(N(Actividades!$E47)&gt;0,K$4&gt;=Actividades!$E47,MOD(K$4-Actividades!$E47,IFERROR(VLOOKUP(Actividades!$D47,Listas!$A$2:$B$8,2,0),52))=0),"P",""))</f>
        <v/>
      </c>
      <c r="L93" s="25" t="str">
        <f aca="false">IF($A93="","",IF(AND(N(Actividades!$E47)&gt;0,L$4&gt;=Actividades!$E47,MOD(L$4-Actividades!$E47,IFERROR(VLOOKUP(Actividades!$D47,Listas!$A$2:$B$8,2,0),52))=0),"P",""))</f>
        <v/>
      </c>
      <c r="M93" s="25" t="str">
        <f aca="false">IF($A93="","",IF(AND(N(Actividades!$E47)&gt;0,M$4&gt;=Actividades!$E47,MOD(M$4-Actividades!$E47,IFERROR(VLOOKUP(Actividades!$D47,Listas!$A$2:$B$8,2,0),52))=0),"P",""))</f>
        <v/>
      </c>
      <c r="N93" s="25" t="str">
        <f aca="false">IF($A93="","",IF(AND(N(Actividades!$E47)&gt;0,N$4&gt;=Actividades!$E47,MOD(N$4-Actividades!$E47,IFERROR(VLOOKUP(Actividades!$D47,Listas!$A$2:$B$8,2,0),52))=0),"P",""))</f>
        <v/>
      </c>
      <c r="O93" s="25" t="str">
        <f aca="false">IF($A93="","",IF(AND(N(Actividades!$E47)&gt;0,O$4&gt;=Actividades!$E47,MOD(O$4-Actividades!$E47,IFERROR(VLOOKUP(Actividades!$D47,Listas!$A$2:$B$8,2,0),52))=0),"P",""))</f>
        <v/>
      </c>
      <c r="P93" s="25" t="str">
        <f aca="false">IF($A93="","",IF(AND(N(Actividades!$E47)&gt;0,P$4&gt;=Actividades!$E47,MOD(P$4-Actividades!$E47,IFERROR(VLOOKUP(Actividades!$D47,Listas!$A$2:$B$8,2,0),52))=0),"P",""))</f>
        <v/>
      </c>
      <c r="Q93" s="25" t="str">
        <f aca="false">IF($A93="","",IF(AND(N(Actividades!$E47)&gt;0,Q$4&gt;=Actividades!$E47,MOD(Q$4-Actividades!$E47,IFERROR(VLOOKUP(Actividades!$D47,Listas!$A$2:$B$8,2,0),52))=0),"P",""))</f>
        <v/>
      </c>
      <c r="R93" s="25" t="str">
        <f aca="false">IF($A93="","",IF(AND(N(Actividades!$E47)&gt;0,R$4&gt;=Actividades!$E47,MOD(R$4-Actividades!$E47,IFERROR(VLOOKUP(Actividades!$D47,Listas!$A$2:$B$8,2,0),52))=0),"P",""))</f>
        <v/>
      </c>
      <c r="S93" s="25" t="str">
        <f aca="false">IF($A93="","",IF(AND(N(Actividades!$E47)&gt;0,S$4&gt;=Actividades!$E47,MOD(S$4-Actividades!$E47,IFERROR(VLOOKUP(Actividades!$D47,Listas!$A$2:$B$8,2,0),52))=0),"P",""))</f>
        <v/>
      </c>
      <c r="T93" s="25" t="str">
        <f aca="false">IF($A93="","",IF(AND(N(Actividades!$E47)&gt;0,T$4&gt;=Actividades!$E47,MOD(T$4-Actividades!$E47,IFERROR(VLOOKUP(Actividades!$D47,Listas!$A$2:$B$8,2,0),52))=0),"P",""))</f>
        <v/>
      </c>
      <c r="U93" s="25" t="str">
        <f aca="false">IF($A93="","",IF(AND(N(Actividades!$E47)&gt;0,U$4&gt;=Actividades!$E47,MOD(U$4-Actividades!$E47,IFERROR(VLOOKUP(Actividades!$D47,Listas!$A$2:$B$8,2,0),52))=0),"P",""))</f>
        <v/>
      </c>
      <c r="V93" s="25" t="str">
        <f aca="false">IF($A93="","",IF(AND(N(Actividades!$E47)&gt;0,V$4&gt;=Actividades!$E47,MOD(V$4-Actividades!$E47,IFERROR(VLOOKUP(Actividades!$D47,Listas!$A$2:$B$8,2,0),52))=0),"P",""))</f>
        <v/>
      </c>
      <c r="W93" s="25" t="str">
        <f aca="false">IF($A93="","",IF(AND(N(Actividades!$E47)&gt;0,W$4&gt;=Actividades!$E47,MOD(W$4-Actividades!$E47,IFERROR(VLOOKUP(Actividades!$D47,Listas!$A$2:$B$8,2,0),52))=0),"P",""))</f>
        <v/>
      </c>
      <c r="X93" s="25" t="str">
        <f aca="false">IF($A93="","",IF(AND(N(Actividades!$E47)&gt;0,X$4&gt;=Actividades!$E47,MOD(X$4-Actividades!$E47,IFERROR(VLOOKUP(Actividades!$D47,Listas!$A$2:$B$8,2,0),52))=0),"P",""))</f>
        <v/>
      </c>
      <c r="Y93" s="25" t="str">
        <f aca="false">IF($A93="","",IF(AND(N(Actividades!$E47)&gt;0,Y$4&gt;=Actividades!$E47,MOD(Y$4-Actividades!$E47,IFERROR(VLOOKUP(Actividades!$D47,Listas!$A$2:$B$8,2,0),52))=0),"P",""))</f>
        <v/>
      </c>
      <c r="Z93" s="25" t="str">
        <f aca="false">IF($A93="","",IF(AND(N(Actividades!$E47)&gt;0,Z$4&gt;=Actividades!$E47,MOD(Z$4-Actividades!$E47,IFERROR(VLOOKUP(Actividades!$D47,Listas!$A$2:$B$8,2,0),52))=0),"P",""))</f>
        <v/>
      </c>
      <c r="AA93" s="25" t="str">
        <f aca="false">IF($A93="","",IF(AND(N(Actividades!$E47)&gt;0,AA$4&gt;=Actividades!$E47,MOD(AA$4-Actividades!$E47,IFERROR(VLOOKUP(Actividades!$D47,Listas!$A$2:$B$8,2,0),52))=0),"P",""))</f>
        <v/>
      </c>
      <c r="AB93" s="25" t="str">
        <f aca="false">IF($A93="","",IF(AND(N(Actividades!$E47)&gt;0,AB$4&gt;=Actividades!$E47,MOD(AB$4-Actividades!$E47,IFERROR(VLOOKUP(Actividades!$D47,Listas!$A$2:$B$8,2,0),52))=0),"P",""))</f>
        <v/>
      </c>
      <c r="AC93" s="25" t="str">
        <f aca="false">IF($A93="","",IF(AND(N(Actividades!$E47)&gt;0,AC$4&gt;=Actividades!$E47,MOD(AC$4-Actividades!$E47,IFERROR(VLOOKUP(Actividades!$D47,Listas!$A$2:$B$8,2,0),52))=0),"P",""))</f>
        <v/>
      </c>
      <c r="AD93" s="25" t="str">
        <f aca="false">IF($A93="","",IF(AND(N(Actividades!$E47)&gt;0,AD$4&gt;=Actividades!$E47,MOD(AD$4-Actividades!$E47,IFERROR(VLOOKUP(Actividades!$D47,Listas!$A$2:$B$8,2,0),52))=0),"P",""))</f>
        <v/>
      </c>
      <c r="AE93" s="25" t="str">
        <f aca="false">IF($A93="","",IF(AND(N(Actividades!$E47)&gt;0,AE$4&gt;=Actividades!$E47,MOD(AE$4-Actividades!$E47,IFERROR(VLOOKUP(Actividades!$D47,Listas!$A$2:$B$8,2,0),52))=0),"P",""))</f>
        <v/>
      </c>
      <c r="AF93" s="25" t="str">
        <f aca="false">IF($A93="","",IF(AND(N(Actividades!$E47)&gt;0,AF$4&gt;=Actividades!$E47,MOD(AF$4-Actividades!$E47,IFERROR(VLOOKUP(Actividades!$D47,Listas!$A$2:$B$8,2,0),52))=0),"P",""))</f>
        <v/>
      </c>
      <c r="AG93" s="25" t="str">
        <f aca="false">IF($A93="","",IF(AND(N(Actividades!$E47)&gt;0,AG$4&gt;=Actividades!$E47,MOD(AG$4-Actividades!$E47,IFERROR(VLOOKUP(Actividades!$D47,Listas!$A$2:$B$8,2,0),52))=0),"P",""))</f>
        <v/>
      </c>
      <c r="AH93" s="25" t="str">
        <f aca="false">IF($A93="","",IF(AND(N(Actividades!$E47)&gt;0,AH$4&gt;=Actividades!$E47,MOD(AH$4-Actividades!$E47,IFERROR(VLOOKUP(Actividades!$D47,Listas!$A$2:$B$8,2,0),52))=0),"P",""))</f>
        <v/>
      </c>
      <c r="AI93" s="25" t="str">
        <f aca="false">IF($A93="","",IF(AND(N(Actividades!$E47)&gt;0,AI$4&gt;=Actividades!$E47,MOD(AI$4-Actividades!$E47,IFERROR(VLOOKUP(Actividades!$D47,Listas!$A$2:$B$8,2,0),52))=0),"P",""))</f>
        <v/>
      </c>
      <c r="AJ93" s="25" t="str">
        <f aca="false">IF($A93="","",IF(AND(N(Actividades!$E47)&gt;0,AJ$4&gt;=Actividades!$E47,MOD(AJ$4-Actividades!$E47,IFERROR(VLOOKUP(Actividades!$D47,Listas!$A$2:$B$8,2,0),52))=0),"P",""))</f>
        <v/>
      </c>
      <c r="AK93" s="25" t="str">
        <f aca="false">IF($A93="","",IF(AND(N(Actividades!$E47)&gt;0,AK$4&gt;=Actividades!$E47,MOD(AK$4-Actividades!$E47,IFERROR(VLOOKUP(Actividades!$D47,Listas!$A$2:$B$8,2,0),52))=0),"P",""))</f>
        <v/>
      </c>
      <c r="AL93" s="25" t="str">
        <f aca="false">IF($A93="","",IF(AND(N(Actividades!$E47)&gt;0,AL$4&gt;=Actividades!$E47,MOD(AL$4-Actividades!$E47,IFERROR(VLOOKUP(Actividades!$D47,Listas!$A$2:$B$8,2,0),52))=0),"P",""))</f>
        <v/>
      </c>
      <c r="AM93" s="25" t="str">
        <f aca="false">IF($A93="","",IF(AND(N(Actividades!$E47)&gt;0,AM$4&gt;=Actividades!$E47,MOD(AM$4-Actividades!$E47,IFERROR(VLOOKUP(Actividades!$D47,Listas!$A$2:$B$8,2,0),52))=0),"P",""))</f>
        <v/>
      </c>
      <c r="AN93" s="25" t="str">
        <f aca="false">IF($A93="","",IF(AND(N(Actividades!$E47)&gt;0,AN$4&gt;=Actividades!$E47,MOD(AN$4-Actividades!$E47,IFERROR(VLOOKUP(Actividades!$D47,Listas!$A$2:$B$8,2,0),52))=0),"P",""))</f>
        <v/>
      </c>
      <c r="AO93" s="25" t="str">
        <f aca="false">IF($A93="","",IF(AND(N(Actividades!$E47)&gt;0,AO$4&gt;=Actividades!$E47,MOD(AO$4-Actividades!$E47,IFERROR(VLOOKUP(Actividades!$D47,Listas!$A$2:$B$8,2,0),52))=0),"P",""))</f>
        <v/>
      </c>
      <c r="AP93" s="25" t="str">
        <f aca="false">IF($A93="","",IF(AND(N(Actividades!$E47)&gt;0,AP$4&gt;=Actividades!$E47,MOD(AP$4-Actividades!$E47,IFERROR(VLOOKUP(Actividades!$D47,Listas!$A$2:$B$8,2,0),52))=0),"P",""))</f>
        <v/>
      </c>
      <c r="AQ93" s="25" t="str">
        <f aca="false">IF($A93="","",IF(AND(N(Actividades!$E47)&gt;0,AQ$4&gt;=Actividades!$E47,MOD(AQ$4-Actividades!$E47,IFERROR(VLOOKUP(Actividades!$D47,Listas!$A$2:$B$8,2,0),52))=0),"P",""))</f>
        <v/>
      </c>
      <c r="AR93" s="25" t="str">
        <f aca="false">IF($A93="","",IF(AND(N(Actividades!$E47)&gt;0,AR$4&gt;=Actividades!$E47,MOD(AR$4-Actividades!$E47,IFERROR(VLOOKUP(Actividades!$D47,Listas!$A$2:$B$8,2,0),52))=0),"P",""))</f>
        <v/>
      </c>
      <c r="AS93" s="25" t="str">
        <f aca="false">IF($A93="","",IF(AND(N(Actividades!$E47)&gt;0,AS$4&gt;=Actividades!$E47,MOD(AS$4-Actividades!$E47,IFERROR(VLOOKUP(Actividades!$D47,Listas!$A$2:$B$8,2,0),52))=0),"P",""))</f>
        <v/>
      </c>
      <c r="AT93" s="25" t="str">
        <f aca="false">IF($A93="","",IF(AND(N(Actividades!$E47)&gt;0,AT$4&gt;=Actividades!$E47,MOD(AT$4-Actividades!$E47,IFERROR(VLOOKUP(Actividades!$D47,Listas!$A$2:$B$8,2,0),52))=0),"P",""))</f>
        <v/>
      </c>
      <c r="AU93" s="25" t="str">
        <f aca="false">IF($A93="","",IF(AND(N(Actividades!$E47)&gt;0,AU$4&gt;=Actividades!$E47,MOD(AU$4-Actividades!$E47,IFERROR(VLOOKUP(Actividades!$D47,Listas!$A$2:$B$8,2,0),52))=0),"P",""))</f>
        <v/>
      </c>
      <c r="AV93" s="25" t="str">
        <f aca="false">IF($A93="","",IF(AND(N(Actividades!$E47)&gt;0,AV$4&gt;=Actividades!$E47,MOD(AV$4-Actividades!$E47,IFERROR(VLOOKUP(Actividades!$D47,Listas!$A$2:$B$8,2,0),52))=0),"P",""))</f>
        <v/>
      </c>
      <c r="AW93" s="25" t="str">
        <f aca="false">IF($A93="","",IF(AND(N(Actividades!$E47)&gt;0,AW$4&gt;=Actividades!$E47,MOD(AW$4-Actividades!$E47,IFERROR(VLOOKUP(Actividades!$D47,Listas!$A$2:$B$8,2,0),52))=0),"P",""))</f>
        <v/>
      </c>
      <c r="AX93" s="25" t="str">
        <f aca="false">IF($A93="","",IF(AND(N(Actividades!$E47)&gt;0,AX$4&gt;=Actividades!$E47,MOD(AX$4-Actividades!$E47,IFERROR(VLOOKUP(Actividades!$D47,Listas!$A$2:$B$8,2,0),52))=0),"P",""))</f>
        <v/>
      </c>
      <c r="AY93" s="25" t="str">
        <f aca="false">IF($A93="","",IF(AND(N(Actividades!$E47)&gt;0,AY$4&gt;=Actividades!$E47,MOD(AY$4-Actividades!$E47,IFERROR(VLOOKUP(Actividades!$D47,Listas!$A$2:$B$8,2,0),52))=0),"P",""))</f>
        <v/>
      </c>
      <c r="AZ93" s="25" t="str">
        <f aca="false">IF($A93="","",IF(AND(N(Actividades!$E47)&gt;0,AZ$4&gt;=Actividades!$E47,MOD(AZ$4-Actividades!$E47,IFERROR(VLOOKUP(Actividades!$D47,Listas!$A$2:$B$8,2,0),52))=0),"P",""))</f>
        <v/>
      </c>
      <c r="BA93" s="25" t="str">
        <f aca="false">IF($A93="","",IF(AND(N(Actividades!$E47)&gt;0,BA$4&gt;=Actividades!$E47,MOD(BA$4-Actividades!$E47,IFERROR(VLOOKUP(Actividades!$D47,Listas!$A$2:$B$8,2,0),52))=0),"P",""))</f>
        <v/>
      </c>
      <c r="BB93" s="25" t="str">
        <f aca="false">IF($A93="","",IF(AND(N(Actividades!$E47)&gt;0,BB$4&gt;=Actividades!$E47,MOD(BB$4-Actividades!$E47,IFERROR(VLOOKUP(Actividades!$D47,Listas!$A$2:$B$8,2,0),52))=0),"P",""))</f>
        <v/>
      </c>
      <c r="BC93" s="25" t="str">
        <f aca="false">IF($A93="","",IF(AND(N(Actividades!$E47)&gt;0,BC$4&gt;=Actividades!$E47,MOD(BC$4-Actividades!$E47,IFERROR(VLOOKUP(Actividades!$D47,Listas!$A$2:$B$8,2,0),52))=0),"P",""))</f>
        <v/>
      </c>
      <c r="BD93" s="26" t="str">
        <f aca="false">IF($A93="","",COUNTIF(D93:BC93,"P"))</f>
        <v/>
      </c>
      <c r="BE93" s="26" t="str">
        <f aca="false">IF($A93="","",SUMPRODUCT((D93:BC93="P")*(D94:BC94="✓")))</f>
        <v/>
      </c>
      <c r="BF93" s="27" t="str">
        <f aca="false">IF($A93="","",IF(BD93=0,"",BE93/BD93))</f>
        <v/>
      </c>
    </row>
    <row r="94" customFormat="false" ht="15" hidden="false" customHeight="false" outlineLevel="0" collapsed="false">
      <c r="A94" s="28"/>
      <c r="B94" s="28"/>
      <c r="C94" s="28" t="str">
        <f aca="false">IF($A93="","","Real")</f>
        <v/>
      </c>
      <c r="D94" s="29" t="str">
        <f aca="false">IF($A93="","",IF(COUNTIFS(Historial!$B$3:$B$502,$A93,Historial!$C$3:$C$502,$B93,Historial!$G$3:$G$502,D$4,Historial!$H$3:$H$502,$B$2)&gt;0,"✓",""))</f>
        <v/>
      </c>
      <c r="E94" s="29" t="str">
        <f aca="false">IF($A93="","",IF(COUNTIFS(Historial!$B$3:$B$502,$A93,Historial!$C$3:$C$502,$B93,Historial!$G$3:$G$502,E$4,Historial!$H$3:$H$502,$B$2)&gt;0,"✓",""))</f>
        <v/>
      </c>
      <c r="F94" s="29" t="str">
        <f aca="false">IF($A93="","",IF(COUNTIFS(Historial!$B$3:$B$502,$A93,Historial!$C$3:$C$502,$B93,Historial!$G$3:$G$502,F$4,Historial!$H$3:$H$502,$B$2)&gt;0,"✓",""))</f>
        <v/>
      </c>
      <c r="G94" s="29" t="str">
        <f aca="false">IF($A93="","",IF(COUNTIFS(Historial!$B$3:$B$502,$A93,Historial!$C$3:$C$502,$B93,Historial!$G$3:$G$502,G$4,Historial!$H$3:$H$502,$B$2)&gt;0,"✓",""))</f>
        <v/>
      </c>
      <c r="H94" s="29" t="str">
        <f aca="false">IF($A93="","",IF(COUNTIFS(Historial!$B$3:$B$502,$A93,Historial!$C$3:$C$502,$B93,Historial!$G$3:$G$502,H$4,Historial!$H$3:$H$502,$B$2)&gt;0,"✓",""))</f>
        <v/>
      </c>
      <c r="I94" s="29" t="str">
        <f aca="false">IF($A93="","",IF(COUNTIFS(Historial!$B$3:$B$502,$A93,Historial!$C$3:$C$502,$B93,Historial!$G$3:$G$502,I$4,Historial!$H$3:$H$502,$B$2)&gt;0,"✓",""))</f>
        <v/>
      </c>
      <c r="J94" s="29" t="str">
        <f aca="false">IF($A93="","",IF(COUNTIFS(Historial!$B$3:$B$502,$A93,Historial!$C$3:$C$502,$B93,Historial!$G$3:$G$502,J$4,Historial!$H$3:$H$502,$B$2)&gt;0,"✓",""))</f>
        <v/>
      </c>
      <c r="K94" s="29" t="str">
        <f aca="false">IF($A93="","",IF(COUNTIFS(Historial!$B$3:$B$502,$A93,Historial!$C$3:$C$502,$B93,Historial!$G$3:$G$502,K$4,Historial!$H$3:$H$502,$B$2)&gt;0,"✓",""))</f>
        <v/>
      </c>
      <c r="L94" s="29" t="str">
        <f aca="false">IF($A93="","",IF(COUNTIFS(Historial!$B$3:$B$502,$A93,Historial!$C$3:$C$502,$B93,Historial!$G$3:$G$502,L$4,Historial!$H$3:$H$502,$B$2)&gt;0,"✓",""))</f>
        <v/>
      </c>
      <c r="M94" s="29" t="str">
        <f aca="false">IF($A93="","",IF(COUNTIFS(Historial!$B$3:$B$502,$A93,Historial!$C$3:$C$502,$B93,Historial!$G$3:$G$502,M$4,Historial!$H$3:$H$502,$B$2)&gt;0,"✓",""))</f>
        <v/>
      </c>
      <c r="N94" s="29" t="str">
        <f aca="false">IF($A93="","",IF(COUNTIFS(Historial!$B$3:$B$502,$A93,Historial!$C$3:$C$502,$B93,Historial!$G$3:$G$502,N$4,Historial!$H$3:$H$502,$B$2)&gt;0,"✓",""))</f>
        <v/>
      </c>
      <c r="O94" s="29" t="str">
        <f aca="false">IF($A93="","",IF(COUNTIFS(Historial!$B$3:$B$502,$A93,Historial!$C$3:$C$502,$B93,Historial!$G$3:$G$502,O$4,Historial!$H$3:$H$502,$B$2)&gt;0,"✓",""))</f>
        <v/>
      </c>
      <c r="P94" s="29" t="str">
        <f aca="false">IF($A93="","",IF(COUNTIFS(Historial!$B$3:$B$502,$A93,Historial!$C$3:$C$502,$B93,Historial!$G$3:$G$502,P$4,Historial!$H$3:$H$502,$B$2)&gt;0,"✓",""))</f>
        <v/>
      </c>
      <c r="Q94" s="29" t="str">
        <f aca="false">IF($A93="","",IF(COUNTIFS(Historial!$B$3:$B$502,$A93,Historial!$C$3:$C$502,$B93,Historial!$G$3:$G$502,Q$4,Historial!$H$3:$H$502,$B$2)&gt;0,"✓",""))</f>
        <v/>
      </c>
      <c r="R94" s="29" t="str">
        <f aca="false">IF($A93="","",IF(COUNTIFS(Historial!$B$3:$B$502,$A93,Historial!$C$3:$C$502,$B93,Historial!$G$3:$G$502,R$4,Historial!$H$3:$H$502,$B$2)&gt;0,"✓",""))</f>
        <v/>
      </c>
      <c r="S94" s="29" t="str">
        <f aca="false">IF($A93="","",IF(COUNTIFS(Historial!$B$3:$B$502,$A93,Historial!$C$3:$C$502,$B93,Historial!$G$3:$G$502,S$4,Historial!$H$3:$H$502,$B$2)&gt;0,"✓",""))</f>
        <v/>
      </c>
      <c r="T94" s="29" t="str">
        <f aca="false">IF($A93="","",IF(COUNTIFS(Historial!$B$3:$B$502,$A93,Historial!$C$3:$C$502,$B93,Historial!$G$3:$G$502,T$4,Historial!$H$3:$H$502,$B$2)&gt;0,"✓",""))</f>
        <v/>
      </c>
      <c r="U94" s="29" t="str">
        <f aca="false">IF($A93="","",IF(COUNTIFS(Historial!$B$3:$B$502,$A93,Historial!$C$3:$C$502,$B93,Historial!$G$3:$G$502,U$4,Historial!$H$3:$H$502,$B$2)&gt;0,"✓",""))</f>
        <v/>
      </c>
      <c r="V94" s="29" t="str">
        <f aca="false">IF($A93="","",IF(COUNTIFS(Historial!$B$3:$B$502,$A93,Historial!$C$3:$C$502,$B93,Historial!$G$3:$G$502,V$4,Historial!$H$3:$H$502,$B$2)&gt;0,"✓",""))</f>
        <v/>
      </c>
      <c r="W94" s="29" t="str">
        <f aca="false">IF($A93="","",IF(COUNTIFS(Historial!$B$3:$B$502,$A93,Historial!$C$3:$C$502,$B93,Historial!$G$3:$G$502,W$4,Historial!$H$3:$H$502,$B$2)&gt;0,"✓",""))</f>
        <v/>
      </c>
      <c r="X94" s="29" t="str">
        <f aca="false">IF($A93="","",IF(COUNTIFS(Historial!$B$3:$B$502,$A93,Historial!$C$3:$C$502,$B93,Historial!$G$3:$G$502,X$4,Historial!$H$3:$H$502,$B$2)&gt;0,"✓",""))</f>
        <v/>
      </c>
      <c r="Y94" s="29" t="str">
        <f aca="false">IF($A93="","",IF(COUNTIFS(Historial!$B$3:$B$502,$A93,Historial!$C$3:$C$502,$B93,Historial!$G$3:$G$502,Y$4,Historial!$H$3:$H$502,$B$2)&gt;0,"✓",""))</f>
        <v/>
      </c>
      <c r="Z94" s="29" t="str">
        <f aca="false">IF($A93="","",IF(COUNTIFS(Historial!$B$3:$B$502,$A93,Historial!$C$3:$C$502,$B93,Historial!$G$3:$G$502,Z$4,Historial!$H$3:$H$502,$B$2)&gt;0,"✓",""))</f>
        <v/>
      </c>
      <c r="AA94" s="29" t="str">
        <f aca="false">IF($A93="","",IF(COUNTIFS(Historial!$B$3:$B$502,$A93,Historial!$C$3:$C$502,$B93,Historial!$G$3:$G$502,AA$4,Historial!$H$3:$H$502,$B$2)&gt;0,"✓",""))</f>
        <v/>
      </c>
      <c r="AB94" s="29" t="str">
        <f aca="false">IF($A93="","",IF(COUNTIFS(Historial!$B$3:$B$502,$A93,Historial!$C$3:$C$502,$B93,Historial!$G$3:$G$502,AB$4,Historial!$H$3:$H$502,$B$2)&gt;0,"✓",""))</f>
        <v/>
      </c>
      <c r="AC94" s="29" t="str">
        <f aca="false">IF($A93="","",IF(COUNTIFS(Historial!$B$3:$B$502,$A93,Historial!$C$3:$C$502,$B93,Historial!$G$3:$G$502,AC$4,Historial!$H$3:$H$502,$B$2)&gt;0,"✓",""))</f>
        <v/>
      </c>
      <c r="AD94" s="29" t="str">
        <f aca="false">IF($A93="","",IF(COUNTIFS(Historial!$B$3:$B$502,$A93,Historial!$C$3:$C$502,$B93,Historial!$G$3:$G$502,AD$4,Historial!$H$3:$H$502,$B$2)&gt;0,"✓",""))</f>
        <v/>
      </c>
      <c r="AE94" s="29" t="str">
        <f aca="false">IF($A93="","",IF(COUNTIFS(Historial!$B$3:$B$502,$A93,Historial!$C$3:$C$502,$B93,Historial!$G$3:$G$502,AE$4,Historial!$H$3:$H$502,$B$2)&gt;0,"✓",""))</f>
        <v/>
      </c>
      <c r="AF94" s="29" t="str">
        <f aca="false">IF($A93="","",IF(COUNTIFS(Historial!$B$3:$B$502,$A93,Historial!$C$3:$C$502,$B93,Historial!$G$3:$G$502,AF$4,Historial!$H$3:$H$502,$B$2)&gt;0,"✓",""))</f>
        <v/>
      </c>
      <c r="AG94" s="29" t="str">
        <f aca="false">IF($A93="","",IF(COUNTIFS(Historial!$B$3:$B$502,$A93,Historial!$C$3:$C$502,$B93,Historial!$G$3:$G$502,AG$4,Historial!$H$3:$H$502,$B$2)&gt;0,"✓",""))</f>
        <v/>
      </c>
      <c r="AH94" s="29" t="str">
        <f aca="false">IF($A93="","",IF(COUNTIFS(Historial!$B$3:$B$502,$A93,Historial!$C$3:$C$502,$B93,Historial!$G$3:$G$502,AH$4,Historial!$H$3:$H$502,$B$2)&gt;0,"✓",""))</f>
        <v/>
      </c>
      <c r="AI94" s="29" t="str">
        <f aca="false">IF($A93="","",IF(COUNTIFS(Historial!$B$3:$B$502,$A93,Historial!$C$3:$C$502,$B93,Historial!$G$3:$G$502,AI$4,Historial!$H$3:$H$502,$B$2)&gt;0,"✓",""))</f>
        <v/>
      </c>
      <c r="AJ94" s="29" t="str">
        <f aca="false">IF($A93="","",IF(COUNTIFS(Historial!$B$3:$B$502,$A93,Historial!$C$3:$C$502,$B93,Historial!$G$3:$G$502,AJ$4,Historial!$H$3:$H$502,$B$2)&gt;0,"✓",""))</f>
        <v/>
      </c>
      <c r="AK94" s="29" t="str">
        <f aca="false">IF($A93="","",IF(COUNTIFS(Historial!$B$3:$B$502,$A93,Historial!$C$3:$C$502,$B93,Historial!$G$3:$G$502,AK$4,Historial!$H$3:$H$502,$B$2)&gt;0,"✓",""))</f>
        <v/>
      </c>
      <c r="AL94" s="29" t="str">
        <f aca="false">IF($A93="","",IF(COUNTIFS(Historial!$B$3:$B$502,$A93,Historial!$C$3:$C$502,$B93,Historial!$G$3:$G$502,AL$4,Historial!$H$3:$H$502,$B$2)&gt;0,"✓",""))</f>
        <v/>
      </c>
      <c r="AM94" s="29" t="str">
        <f aca="false">IF($A93="","",IF(COUNTIFS(Historial!$B$3:$B$502,$A93,Historial!$C$3:$C$502,$B93,Historial!$G$3:$G$502,AM$4,Historial!$H$3:$H$502,$B$2)&gt;0,"✓",""))</f>
        <v/>
      </c>
      <c r="AN94" s="29" t="str">
        <f aca="false">IF($A93="","",IF(COUNTIFS(Historial!$B$3:$B$502,$A93,Historial!$C$3:$C$502,$B93,Historial!$G$3:$G$502,AN$4,Historial!$H$3:$H$502,$B$2)&gt;0,"✓",""))</f>
        <v/>
      </c>
      <c r="AO94" s="29" t="str">
        <f aca="false">IF($A93="","",IF(COUNTIFS(Historial!$B$3:$B$502,$A93,Historial!$C$3:$C$502,$B93,Historial!$G$3:$G$502,AO$4,Historial!$H$3:$H$502,$B$2)&gt;0,"✓",""))</f>
        <v/>
      </c>
      <c r="AP94" s="29" t="str">
        <f aca="false">IF($A93="","",IF(COUNTIFS(Historial!$B$3:$B$502,$A93,Historial!$C$3:$C$502,$B93,Historial!$G$3:$G$502,AP$4,Historial!$H$3:$H$502,$B$2)&gt;0,"✓",""))</f>
        <v/>
      </c>
      <c r="AQ94" s="29" t="str">
        <f aca="false">IF($A93="","",IF(COUNTIFS(Historial!$B$3:$B$502,$A93,Historial!$C$3:$C$502,$B93,Historial!$G$3:$G$502,AQ$4,Historial!$H$3:$H$502,$B$2)&gt;0,"✓",""))</f>
        <v/>
      </c>
      <c r="AR94" s="29" t="str">
        <f aca="false">IF($A93="","",IF(COUNTIFS(Historial!$B$3:$B$502,$A93,Historial!$C$3:$C$502,$B93,Historial!$G$3:$G$502,AR$4,Historial!$H$3:$H$502,$B$2)&gt;0,"✓",""))</f>
        <v/>
      </c>
      <c r="AS94" s="29" t="str">
        <f aca="false">IF($A93="","",IF(COUNTIFS(Historial!$B$3:$B$502,$A93,Historial!$C$3:$C$502,$B93,Historial!$G$3:$G$502,AS$4,Historial!$H$3:$H$502,$B$2)&gt;0,"✓",""))</f>
        <v/>
      </c>
      <c r="AT94" s="29" t="str">
        <f aca="false">IF($A93="","",IF(COUNTIFS(Historial!$B$3:$B$502,$A93,Historial!$C$3:$C$502,$B93,Historial!$G$3:$G$502,AT$4,Historial!$H$3:$H$502,$B$2)&gt;0,"✓",""))</f>
        <v/>
      </c>
      <c r="AU94" s="29" t="str">
        <f aca="false">IF($A93="","",IF(COUNTIFS(Historial!$B$3:$B$502,$A93,Historial!$C$3:$C$502,$B93,Historial!$G$3:$G$502,AU$4,Historial!$H$3:$H$502,$B$2)&gt;0,"✓",""))</f>
        <v/>
      </c>
      <c r="AV94" s="29" t="str">
        <f aca="false">IF($A93="","",IF(COUNTIFS(Historial!$B$3:$B$502,$A93,Historial!$C$3:$C$502,$B93,Historial!$G$3:$G$502,AV$4,Historial!$H$3:$H$502,$B$2)&gt;0,"✓",""))</f>
        <v/>
      </c>
      <c r="AW94" s="29" t="str">
        <f aca="false">IF($A93="","",IF(COUNTIFS(Historial!$B$3:$B$502,$A93,Historial!$C$3:$C$502,$B93,Historial!$G$3:$G$502,AW$4,Historial!$H$3:$H$502,$B$2)&gt;0,"✓",""))</f>
        <v/>
      </c>
      <c r="AX94" s="29" t="str">
        <f aca="false">IF($A93="","",IF(COUNTIFS(Historial!$B$3:$B$502,$A93,Historial!$C$3:$C$502,$B93,Historial!$G$3:$G$502,AX$4,Historial!$H$3:$H$502,$B$2)&gt;0,"✓",""))</f>
        <v/>
      </c>
      <c r="AY94" s="29" t="str">
        <f aca="false">IF($A93="","",IF(COUNTIFS(Historial!$B$3:$B$502,$A93,Historial!$C$3:$C$502,$B93,Historial!$G$3:$G$502,AY$4,Historial!$H$3:$H$502,$B$2)&gt;0,"✓",""))</f>
        <v/>
      </c>
      <c r="AZ94" s="29" t="str">
        <f aca="false">IF($A93="","",IF(COUNTIFS(Historial!$B$3:$B$502,$A93,Historial!$C$3:$C$502,$B93,Historial!$G$3:$G$502,AZ$4,Historial!$H$3:$H$502,$B$2)&gt;0,"✓",""))</f>
        <v/>
      </c>
      <c r="BA94" s="29" t="str">
        <f aca="false">IF($A93="","",IF(COUNTIFS(Historial!$B$3:$B$502,$A93,Historial!$C$3:$C$502,$B93,Historial!$G$3:$G$502,BA$4,Historial!$H$3:$H$502,$B$2)&gt;0,"✓",""))</f>
        <v/>
      </c>
      <c r="BB94" s="29" t="str">
        <f aca="false">IF($A93="","",IF(COUNTIFS(Historial!$B$3:$B$502,$A93,Historial!$C$3:$C$502,$B93,Historial!$G$3:$G$502,BB$4,Historial!$H$3:$H$502,$B$2)&gt;0,"✓",""))</f>
        <v/>
      </c>
      <c r="BC94" s="29" t="str">
        <f aca="false">IF($A93="","",IF(COUNTIFS(Historial!$B$3:$B$502,$A93,Historial!$C$3:$C$502,$B93,Historial!$G$3:$G$502,BC$4,Historial!$H$3:$H$502,$B$2)&gt;0,"✓",""))</f>
        <v/>
      </c>
      <c r="BD94" s="29"/>
      <c r="BE94" s="29"/>
      <c r="BF94" s="29"/>
    </row>
    <row r="95" customFormat="false" ht="15" hidden="false" customHeight="false" outlineLevel="0" collapsed="false">
      <c r="A95" s="24" t="str">
        <f aca="false">IF(Actividades!$B48="","",Actividades!$B48)</f>
        <v/>
      </c>
      <c r="B95" s="24" t="str">
        <f aca="false">IF(Actividades!$C48="","",Actividades!$C48)</f>
        <v/>
      </c>
      <c r="C95" s="24" t="str">
        <f aca="false">IF($A95="","","Plan")</f>
        <v/>
      </c>
      <c r="D95" s="25" t="str">
        <f aca="false">IF($A95="","",IF(AND(N(Actividades!$E48)&gt;0,D$4&gt;=Actividades!$E48,MOD(D$4-Actividades!$E48,IFERROR(VLOOKUP(Actividades!$D48,Listas!$A$2:$B$8,2,0),52))=0),"P",""))</f>
        <v/>
      </c>
      <c r="E95" s="25" t="str">
        <f aca="false">IF($A95="","",IF(AND(N(Actividades!$E48)&gt;0,E$4&gt;=Actividades!$E48,MOD(E$4-Actividades!$E48,IFERROR(VLOOKUP(Actividades!$D48,Listas!$A$2:$B$8,2,0),52))=0),"P",""))</f>
        <v/>
      </c>
      <c r="F95" s="25" t="str">
        <f aca="false">IF($A95="","",IF(AND(N(Actividades!$E48)&gt;0,F$4&gt;=Actividades!$E48,MOD(F$4-Actividades!$E48,IFERROR(VLOOKUP(Actividades!$D48,Listas!$A$2:$B$8,2,0),52))=0),"P",""))</f>
        <v/>
      </c>
      <c r="G95" s="25" t="str">
        <f aca="false">IF($A95="","",IF(AND(N(Actividades!$E48)&gt;0,G$4&gt;=Actividades!$E48,MOD(G$4-Actividades!$E48,IFERROR(VLOOKUP(Actividades!$D48,Listas!$A$2:$B$8,2,0),52))=0),"P",""))</f>
        <v/>
      </c>
      <c r="H95" s="25" t="str">
        <f aca="false">IF($A95="","",IF(AND(N(Actividades!$E48)&gt;0,H$4&gt;=Actividades!$E48,MOD(H$4-Actividades!$E48,IFERROR(VLOOKUP(Actividades!$D48,Listas!$A$2:$B$8,2,0),52))=0),"P",""))</f>
        <v/>
      </c>
      <c r="I95" s="25" t="str">
        <f aca="false">IF($A95="","",IF(AND(N(Actividades!$E48)&gt;0,I$4&gt;=Actividades!$E48,MOD(I$4-Actividades!$E48,IFERROR(VLOOKUP(Actividades!$D48,Listas!$A$2:$B$8,2,0),52))=0),"P",""))</f>
        <v/>
      </c>
      <c r="J95" s="25" t="str">
        <f aca="false">IF($A95="","",IF(AND(N(Actividades!$E48)&gt;0,J$4&gt;=Actividades!$E48,MOD(J$4-Actividades!$E48,IFERROR(VLOOKUP(Actividades!$D48,Listas!$A$2:$B$8,2,0),52))=0),"P",""))</f>
        <v/>
      </c>
      <c r="K95" s="25" t="str">
        <f aca="false">IF($A95="","",IF(AND(N(Actividades!$E48)&gt;0,K$4&gt;=Actividades!$E48,MOD(K$4-Actividades!$E48,IFERROR(VLOOKUP(Actividades!$D48,Listas!$A$2:$B$8,2,0),52))=0),"P",""))</f>
        <v/>
      </c>
      <c r="L95" s="25" t="str">
        <f aca="false">IF($A95="","",IF(AND(N(Actividades!$E48)&gt;0,L$4&gt;=Actividades!$E48,MOD(L$4-Actividades!$E48,IFERROR(VLOOKUP(Actividades!$D48,Listas!$A$2:$B$8,2,0),52))=0),"P",""))</f>
        <v/>
      </c>
      <c r="M95" s="25" t="str">
        <f aca="false">IF($A95="","",IF(AND(N(Actividades!$E48)&gt;0,M$4&gt;=Actividades!$E48,MOD(M$4-Actividades!$E48,IFERROR(VLOOKUP(Actividades!$D48,Listas!$A$2:$B$8,2,0),52))=0),"P",""))</f>
        <v/>
      </c>
      <c r="N95" s="25" t="str">
        <f aca="false">IF($A95="","",IF(AND(N(Actividades!$E48)&gt;0,N$4&gt;=Actividades!$E48,MOD(N$4-Actividades!$E48,IFERROR(VLOOKUP(Actividades!$D48,Listas!$A$2:$B$8,2,0),52))=0),"P",""))</f>
        <v/>
      </c>
      <c r="O95" s="25" t="str">
        <f aca="false">IF($A95="","",IF(AND(N(Actividades!$E48)&gt;0,O$4&gt;=Actividades!$E48,MOD(O$4-Actividades!$E48,IFERROR(VLOOKUP(Actividades!$D48,Listas!$A$2:$B$8,2,0),52))=0),"P",""))</f>
        <v/>
      </c>
      <c r="P95" s="25" t="str">
        <f aca="false">IF($A95="","",IF(AND(N(Actividades!$E48)&gt;0,P$4&gt;=Actividades!$E48,MOD(P$4-Actividades!$E48,IFERROR(VLOOKUP(Actividades!$D48,Listas!$A$2:$B$8,2,0),52))=0),"P",""))</f>
        <v/>
      </c>
      <c r="Q95" s="25" t="str">
        <f aca="false">IF($A95="","",IF(AND(N(Actividades!$E48)&gt;0,Q$4&gt;=Actividades!$E48,MOD(Q$4-Actividades!$E48,IFERROR(VLOOKUP(Actividades!$D48,Listas!$A$2:$B$8,2,0),52))=0),"P",""))</f>
        <v/>
      </c>
      <c r="R95" s="25" t="str">
        <f aca="false">IF($A95="","",IF(AND(N(Actividades!$E48)&gt;0,R$4&gt;=Actividades!$E48,MOD(R$4-Actividades!$E48,IFERROR(VLOOKUP(Actividades!$D48,Listas!$A$2:$B$8,2,0),52))=0),"P",""))</f>
        <v/>
      </c>
      <c r="S95" s="25" t="str">
        <f aca="false">IF($A95="","",IF(AND(N(Actividades!$E48)&gt;0,S$4&gt;=Actividades!$E48,MOD(S$4-Actividades!$E48,IFERROR(VLOOKUP(Actividades!$D48,Listas!$A$2:$B$8,2,0),52))=0),"P",""))</f>
        <v/>
      </c>
      <c r="T95" s="25" t="str">
        <f aca="false">IF($A95="","",IF(AND(N(Actividades!$E48)&gt;0,T$4&gt;=Actividades!$E48,MOD(T$4-Actividades!$E48,IFERROR(VLOOKUP(Actividades!$D48,Listas!$A$2:$B$8,2,0),52))=0),"P",""))</f>
        <v/>
      </c>
      <c r="U95" s="25" t="str">
        <f aca="false">IF($A95="","",IF(AND(N(Actividades!$E48)&gt;0,U$4&gt;=Actividades!$E48,MOD(U$4-Actividades!$E48,IFERROR(VLOOKUP(Actividades!$D48,Listas!$A$2:$B$8,2,0),52))=0),"P",""))</f>
        <v/>
      </c>
      <c r="V95" s="25" t="str">
        <f aca="false">IF($A95="","",IF(AND(N(Actividades!$E48)&gt;0,V$4&gt;=Actividades!$E48,MOD(V$4-Actividades!$E48,IFERROR(VLOOKUP(Actividades!$D48,Listas!$A$2:$B$8,2,0),52))=0),"P",""))</f>
        <v/>
      </c>
      <c r="W95" s="25" t="str">
        <f aca="false">IF($A95="","",IF(AND(N(Actividades!$E48)&gt;0,W$4&gt;=Actividades!$E48,MOD(W$4-Actividades!$E48,IFERROR(VLOOKUP(Actividades!$D48,Listas!$A$2:$B$8,2,0),52))=0),"P",""))</f>
        <v/>
      </c>
      <c r="X95" s="25" t="str">
        <f aca="false">IF($A95="","",IF(AND(N(Actividades!$E48)&gt;0,X$4&gt;=Actividades!$E48,MOD(X$4-Actividades!$E48,IFERROR(VLOOKUP(Actividades!$D48,Listas!$A$2:$B$8,2,0),52))=0),"P",""))</f>
        <v/>
      </c>
      <c r="Y95" s="25" t="str">
        <f aca="false">IF($A95="","",IF(AND(N(Actividades!$E48)&gt;0,Y$4&gt;=Actividades!$E48,MOD(Y$4-Actividades!$E48,IFERROR(VLOOKUP(Actividades!$D48,Listas!$A$2:$B$8,2,0),52))=0),"P",""))</f>
        <v/>
      </c>
      <c r="Z95" s="25" t="str">
        <f aca="false">IF($A95="","",IF(AND(N(Actividades!$E48)&gt;0,Z$4&gt;=Actividades!$E48,MOD(Z$4-Actividades!$E48,IFERROR(VLOOKUP(Actividades!$D48,Listas!$A$2:$B$8,2,0),52))=0),"P",""))</f>
        <v/>
      </c>
      <c r="AA95" s="25" t="str">
        <f aca="false">IF($A95="","",IF(AND(N(Actividades!$E48)&gt;0,AA$4&gt;=Actividades!$E48,MOD(AA$4-Actividades!$E48,IFERROR(VLOOKUP(Actividades!$D48,Listas!$A$2:$B$8,2,0),52))=0),"P",""))</f>
        <v/>
      </c>
      <c r="AB95" s="25" t="str">
        <f aca="false">IF($A95="","",IF(AND(N(Actividades!$E48)&gt;0,AB$4&gt;=Actividades!$E48,MOD(AB$4-Actividades!$E48,IFERROR(VLOOKUP(Actividades!$D48,Listas!$A$2:$B$8,2,0),52))=0),"P",""))</f>
        <v/>
      </c>
      <c r="AC95" s="25" t="str">
        <f aca="false">IF($A95="","",IF(AND(N(Actividades!$E48)&gt;0,AC$4&gt;=Actividades!$E48,MOD(AC$4-Actividades!$E48,IFERROR(VLOOKUP(Actividades!$D48,Listas!$A$2:$B$8,2,0),52))=0),"P",""))</f>
        <v/>
      </c>
      <c r="AD95" s="25" t="str">
        <f aca="false">IF($A95="","",IF(AND(N(Actividades!$E48)&gt;0,AD$4&gt;=Actividades!$E48,MOD(AD$4-Actividades!$E48,IFERROR(VLOOKUP(Actividades!$D48,Listas!$A$2:$B$8,2,0),52))=0),"P",""))</f>
        <v/>
      </c>
      <c r="AE95" s="25" t="str">
        <f aca="false">IF($A95="","",IF(AND(N(Actividades!$E48)&gt;0,AE$4&gt;=Actividades!$E48,MOD(AE$4-Actividades!$E48,IFERROR(VLOOKUP(Actividades!$D48,Listas!$A$2:$B$8,2,0),52))=0),"P",""))</f>
        <v/>
      </c>
      <c r="AF95" s="25" t="str">
        <f aca="false">IF($A95="","",IF(AND(N(Actividades!$E48)&gt;0,AF$4&gt;=Actividades!$E48,MOD(AF$4-Actividades!$E48,IFERROR(VLOOKUP(Actividades!$D48,Listas!$A$2:$B$8,2,0),52))=0),"P",""))</f>
        <v/>
      </c>
      <c r="AG95" s="25" t="str">
        <f aca="false">IF($A95="","",IF(AND(N(Actividades!$E48)&gt;0,AG$4&gt;=Actividades!$E48,MOD(AG$4-Actividades!$E48,IFERROR(VLOOKUP(Actividades!$D48,Listas!$A$2:$B$8,2,0),52))=0),"P",""))</f>
        <v/>
      </c>
      <c r="AH95" s="25" t="str">
        <f aca="false">IF($A95="","",IF(AND(N(Actividades!$E48)&gt;0,AH$4&gt;=Actividades!$E48,MOD(AH$4-Actividades!$E48,IFERROR(VLOOKUP(Actividades!$D48,Listas!$A$2:$B$8,2,0),52))=0),"P",""))</f>
        <v/>
      </c>
      <c r="AI95" s="25" t="str">
        <f aca="false">IF($A95="","",IF(AND(N(Actividades!$E48)&gt;0,AI$4&gt;=Actividades!$E48,MOD(AI$4-Actividades!$E48,IFERROR(VLOOKUP(Actividades!$D48,Listas!$A$2:$B$8,2,0),52))=0),"P",""))</f>
        <v/>
      </c>
      <c r="AJ95" s="25" t="str">
        <f aca="false">IF($A95="","",IF(AND(N(Actividades!$E48)&gt;0,AJ$4&gt;=Actividades!$E48,MOD(AJ$4-Actividades!$E48,IFERROR(VLOOKUP(Actividades!$D48,Listas!$A$2:$B$8,2,0),52))=0),"P",""))</f>
        <v/>
      </c>
      <c r="AK95" s="25" t="str">
        <f aca="false">IF($A95="","",IF(AND(N(Actividades!$E48)&gt;0,AK$4&gt;=Actividades!$E48,MOD(AK$4-Actividades!$E48,IFERROR(VLOOKUP(Actividades!$D48,Listas!$A$2:$B$8,2,0),52))=0),"P",""))</f>
        <v/>
      </c>
      <c r="AL95" s="25" t="str">
        <f aca="false">IF($A95="","",IF(AND(N(Actividades!$E48)&gt;0,AL$4&gt;=Actividades!$E48,MOD(AL$4-Actividades!$E48,IFERROR(VLOOKUP(Actividades!$D48,Listas!$A$2:$B$8,2,0),52))=0),"P",""))</f>
        <v/>
      </c>
      <c r="AM95" s="25" t="str">
        <f aca="false">IF($A95="","",IF(AND(N(Actividades!$E48)&gt;0,AM$4&gt;=Actividades!$E48,MOD(AM$4-Actividades!$E48,IFERROR(VLOOKUP(Actividades!$D48,Listas!$A$2:$B$8,2,0),52))=0),"P",""))</f>
        <v/>
      </c>
      <c r="AN95" s="25" t="str">
        <f aca="false">IF($A95="","",IF(AND(N(Actividades!$E48)&gt;0,AN$4&gt;=Actividades!$E48,MOD(AN$4-Actividades!$E48,IFERROR(VLOOKUP(Actividades!$D48,Listas!$A$2:$B$8,2,0),52))=0),"P",""))</f>
        <v/>
      </c>
      <c r="AO95" s="25" t="str">
        <f aca="false">IF($A95="","",IF(AND(N(Actividades!$E48)&gt;0,AO$4&gt;=Actividades!$E48,MOD(AO$4-Actividades!$E48,IFERROR(VLOOKUP(Actividades!$D48,Listas!$A$2:$B$8,2,0),52))=0),"P",""))</f>
        <v/>
      </c>
      <c r="AP95" s="25" t="str">
        <f aca="false">IF($A95="","",IF(AND(N(Actividades!$E48)&gt;0,AP$4&gt;=Actividades!$E48,MOD(AP$4-Actividades!$E48,IFERROR(VLOOKUP(Actividades!$D48,Listas!$A$2:$B$8,2,0),52))=0),"P",""))</f>
        <v/>
      </c>
      <c r="AQ95" s="25" t="str">
        <f aca="false">IF($A95="","",IF(AND(N(Actividades!$E48)&gt;0,AQ$4&gt;=Actividades!$E48,MOD(AQ$4-Actividades!$E48,IFERROR(VLOOKUP(Actividades!$D48,Listas!$A$2:$B$8,2,0),52))=0),"P",""))</f>
        <v/>
      </c>
      <c r="AR95" s="25" t="str">
        <f aca="false">IF($A95="","",IF(AND(N(Actividades!$E48)&gt;0,AR$4&gt;=Actividades!$E48,MOD(AR$4-Actividades!$E48,IFERROR(VLOOKUP(Actividades!$D48,Listas!$A$2:$B$8,2,0),52))=0),"P",""))</f>
        <v/>
      </c>
      <c r="AS95" s="25" t="str">
        <f aca="false">IF($A95="","",IF(AND(N(Actividades!$E48)&gt;0,AS$4&gt;=Actividades!$E48,MOD(AS$4-Actividades!$E48,IFERROR(VLOOKUP(Actividades!$D48,Listas!$A$2:$B$8,2,0),52))=0),"P",""))</f>
        <v/>
      </c>
      <c r="AT95" s="25" t="str">
        <f aca="false">IF($A95="","",IF(AND(N(Actividades!$E48)&gt;0,AT$4&gt;=Actividades!$E48,MOD(AT$4-Actividades!$E48,IFERROR(VLOOKUP(Actividades!$D48,Listas!$A$2:$B$8,2,0),52))=0),"P",""))</f>
        <v/>
      </c>
      <c r="AU95" s="25" t="str">
        <f aca="false">IF($A95="","",IF(AND(N(Actividades!$E48)&gt;0,AU$4&gt;=Actividades!$E48,MOD(AU$4-Actividades!$E48,IFERROR(VLOOKUP(Actividades!$D48,Listas!$A$2:$B$8,2,0),52))=0),"P",""))</f>
        <v/>
      </c>
      <c r="AV95" s="25" t="str">
        <f aca="false">IF($A95="","",IF(AND(N(Actividades!$E48)&gt;0,AV$4&gt;=Actividades!$E48,MOD(AV$4-Actividades!$E48,IFERROR(VLOOKUP(Actividades!$D48,Listas!$A$2:$B$8,2,0),52))=0),"P",""))</f>
        <v/>
      </c>
      <c r="AW95" s="25" t="str">
        <f aca="false">IF($A95="","",IF(AND(N(Actividades!$E48)&gt;0,AW$4&gt;=Actividades!$E48,MOD(AW$4-Actividades!$E48,IFERROR(VLOOKUP(Actividades!$D48,Listas!$A$2:$B$8,2,0),52))=0),"P",""))</f>
        <v/>
      </c>
      <c r="AX95" s="25" t="str">
        <f aca="false">IF($A95="","",IF(AND(N(Actividades!$E48)&gt;0,AX$4&gt;=Actividades!$E48,MOD(AX$4-Actividades!$E48,IFERROR(VLOOKUP(Actividades!$D48,Listas!$A$2:$B$8,2,0),52))=0),"P",""))</f>
        <v/>
      </c>
      <c r="AY95" s="25" t="str">
        <f aca="false">IF($A95="","",IF(AND(N(Actividades!$E48)&gt;0,AY$4&gt;=Actividades!$E48,MOD(AY$4-Actividades!$E48,IFERROR(VLOOKUP(Actividades!$D48,Listas!$A$2:$B$8,2,0),52))=0),"P",""))</f>
        <v/>
      </c>
      <c r="AZ95" s="25" t="str">
        <f aca="false">IF($A95="","",IF(AND(N(Actividades!$E48)&gt;0,AZ$4&gt;=Actividades!$E48,MOD(AZ$4-Actividades!$E48,IFERROR(VLOOKUP(Actividades!$D48,Listas!$A$2:$B$8,2,0),52))=0),"P",""))</f>
        <v/>
      </c>
      <c r="BA95" s="25" t="str">
        <f aca="false">IF($A95="","",IF(AND(N(Actividades!$E48)&gt;0,BA$4&gt;=Actividades!$E48,MOD(BA$4-Actividades!$E48,IFERROR(VLOOKUP(Actividades!$D48,Listas!$A$2:$B$8,2,0),52))=0),"P",""))</f>
        <v/>
      </c>
      <c r="BB95" s="25" t="str">
        <f aca="false">IF($A95="","",IF(AND(N(Actividades!$E48)&gt;0,BB$4&gt;=Actividades!$E48,MOD(BB$4-Actividades!$E48,IFERROR(VLOOKUP(Actividades!$D48,Listas!$A$2:$B$8,2,0),52))=0),"P",""))</f>
        <v/>
      </c>
      <c r="BC95" s="25" t="str">
        <f aca="false">IF($A95="","",IF(AND(N(Actividades!$E48)&gt;0,BC$4&gt;=Actividades!$E48,MOD(BC$4-Actividades!$E48,IFERROR(VLOOKUP(Actividades!$D48,Listas!$A$2:$B$8,2,0),52))=0),"P",""))</f>
        <v/>
      </c>
      <c r="BD95" s="26" t="str">
        <f aca="false">IF($A95="","",COUNTIF(D95:BC95,"P"))</f>
        <v/>
      </c>
      <c r="BE95" s="26" t="str">
        <f aca="false">IF($A95="","",SUMPRODUCT((D95:BC95="P")*(D96:BC96="✓")))</f>
        <v/>
      </c>
      <c r="BF95" s="27" t="str">
        <f aca="false">IF($A95="","",IF(BD95=0,"",BE95/BD95))</f>
        <v/>
      </c>
    </row>
    <row r="96" customFormat="false" ht="15" hidden="false" customHeight="false" outlineLevel="0" collapsed="false">
      <c r="A96" s="28"/>
      <c r="B96" s="28"/>
      <c r="C96" s="28" t="str">
        <f aca="false">IF($A95="","","Real")</f>
        <v/>
      </c>
      <c r="D96" s="29" t="str">
        <f aca="false">IF($A95="","",IF(COUNTIFS(Historial!$B$3:$B$502,$A95,Historial!$C$3:$C$502,$B95,Historial!$G$3:$G$502,D$4,Historial!$H$3:$H$502,$B$2)&gt;0,"✓",""))</f>
        <v/>
      </c>
      <c r="E96" s="29" t="str">
        <f aca="false">IF($A95="","",IF(COUNTIFS(Historial!$B$3:$B$502,$A95,Historial!$C$3:$C$502,$B95,Historial!$G$3:$G$502,E$4,Historial!$H$3:$H$502,$B$2)&gt;0,"✓",""))</f>
        <v/>
      </c>
      <c r="F96" s="29" t="str">
        <f aca="false">IF($A95="","",IF(COUNTIFS(Historial!$B$3:$B$502,$A95,Historial!$C$3:$C$502,$B95,Historial!$G$3:$G$502,F$4,Historial!$H$3:$H$502,$B$2)&gt;0,"✓",""))</f>
        <v/>
      </c>
      <c r="G96" s="29" t="str">
        <f aca="false">IF($A95="","",IF(COUNTIFS(Historial!$B$3:$B$502,$A95,Historial!$C$3:$C$502,$B95,Historial!$G$3:$G$502,G$4,Historial!$H$3:$H$502,$B$2)&gt;0,"✓",""))</f>
        <v/>
      </c>
      <c r="H96" s="29" t="str">
        <f aca="false">IF($A95="","",IF(COUNTIFS(Historial!$B$3:$B$502,$A95,Historial!$C$3:$C$502,$B95,Historial!$G$3:$G$502,H$4,Historial!$H$3:$H$502,$B$2)&gt;0,"✓",""))</f>
        <v/>
      </c>
      <c r="I96" s="29" t="str">
        <f aca="false">IF($A95="","",IF(COUNTIFS(Historial!$B$3:$B$502,$A95,Historial!$C$3:$C$502,$B95,Historial!$G$3:$G$502,I$4,Historial!$H$3:$H$502,$B$2)&gt;0,"✓",""))</f>
        <v/>
      </c>
      <c r="J96" s="29" t="str">
        <f aca="false">IF($A95="","",IF(COUNTIFS(Historial!$B$3:$B$502,$A95,Historial!$C$3:$C$502,$B95,Historial!$G$3:$G$502,J$4,Historial!$H$3:$H$502,$B$2)&gt;0,"✓",""))</f>
        <v/>
      </c>
      <c r="K96" s="29" t="str">
        <f aca="false">IF($A95="","",IF(COUNTIFS(Historial!$B$3:$B$502,$A95,Historial!$C$3:$C$502,$B95,Historial!$G$3:$G$502,K$4,Historial!$H$3:$H$502,$B$2)&gt;0,"✓",""))</f>
        <v/>
      </c>
      <c r="L96" s="29" t="str">
        <f aca="false">IF($A95="","",IF(COUNTIFS(Historial!$B$3:$B$502,$A95,Historial!$C$3:$C$502,$B95,Historial!$G$3:$G$502,L$4,Historial!$H$3:$H$502,$B$2)&gt;0,"✓",""))</f>
        <v/>
      </c>
      <c r="M96" s="29" t="str">
        <f aca="false">IF($A95="","",IF(COUNTIFS(Historial!$B$3:$B$502,$A95,Historial!$C$3:$C$502,$B95,Historial!$G$3:$G$502,M$4,Historial!$H$3:$H$502,$B$2)&gt;0,"✓",""))</f>
        <v/>
      </c>
      <c r="N96" s="29" t="str">
        <f aca="false">IF($A95="","",IF(COUNTIFS(Historial!$B$3:$B$502,$A95,Historial!$C$3:$C$502,$B95,Historial!$G$3:$G$502,N$4,Historial!$H$3:$H$502,$B$2)&gt;0,"✓",""))</f>
        <v/>
      </c>
      <c r="O96" s="29" t="str">
        <f aca="false">IF($A95="","",IF(COUNTIFS(Historial!$B$3:$B$502,$A95,Historial!$C$3:$C$502,$B95,Historial!$G$3:$G$502,O$4,Historial!$H$3:$H$502,$B$2)&gt;0,"✓",""))</f>
        <v/>
      </c>
      <c r="P96" s="29" t="str">
        <f aca="false">IF($A95="","",IF(COUNTIFS(Historial!$B$3:$B$502,$A95,Historial!$C$3:$C$502,$B95,Historial!$G$3:$G$502,P$4,Historial!$H$3:$H$502,$B$2)&gt;0,"✓",""))</f>
        <v/>
      </c>
      <c r="Q96" s="29" t="str">
        <f aca="false">IF($A95="","",IF(COUNTIFS(Historial!$B$3:$B$502,$A95,Historial!$C$3:$C$502,$B95,Historial!$G$3:$G$502,Q$4,Historial!$H$3:$H$502,$B$2)&gt;0,"✓",""))</f>
        <v/>
      </c>
      <c r="R96" s="29" t="str">
        <f aca="false">IF($A95="","",IF(COUNTIFS(Historial!$B$3:$B$502,$A95,Historial!$C$3:$C$502,$B95,Historial!$G$3:$G$502,R$4,Historial!$H$3:$H$502,$B$2)&gt;0,"✓",""))</f>
        <v/>
      </c>
      <c r="S96" s="29" t="str">
        <f aca="false">IF($A95="","",IF(COUNTIFS(Historial!$B$3:$B$502,$A95,Historial!$C$3:$C$502,$B95,Historial!$G$3:$G$502,S$4,Historial!$H$3:$H$502,$B$2)&gt;0,"✓",""))</f>
        <v/>
      </c>
      <c r="T96" s="29" t="str">
        <f aca="false">IF($A95="","",IF(COUNTIFS(Historial!$B$3:$B$502,$A95,Historial!$C$3:$C$502,$B95,Historial!$G$3:$G$502,T$4,Historial!$H$3:$H$502,$B$2)&gt;0,"✓",""))</f>
        <v/>
      </c>
      <c r="U96" s="29" t="str">
        <f aca="false">IF($A95="","",IF(COUNTIFS(Historial!$B$3:$B$502,$A95,Historial!$C$3:$C$502,$B95,Historial!$G$3:$G$502,U$4,Historial!$H$3:$H$502,$B$2)&gt;0,"✓",""))</f>
        <v/>
      </c>
      <c r="V96" s="29" t="str">
        <f aca="false">IF($A95="","",IF(COUNTIFS(Historial!$B$3:$B$502,$A95,Historial!$C$3:$C$502,$B95,Historial!$G$3:$G$502,V$4,Historial!$H$3:$H$502,$B$2)&gt;0,"✓",""))</f>
        <v/>
      </c>
      <c r="W96" s="29" t="str">
        <f aca="false">IF($A95="","",IF(COUNTIFS(Historial!$B$3:$B$502,$A95,Historial!$C$3:$C$502,$B95,Historial!$G$3:$G$502,W$4,Historial!$H$3:$H$502,$B$2)&gt;0,"✓",""))</f>
        <v/>
      </c>
      <c r="X96" s="29" t="str">
        <f aca="false">IF($A95="","",IF(COUNTIFS(Historial!$B$3:$B$502,$A95,Historial!$C$3:$C$502,$B95,Historial!$G$3:$G$502,X$4,Historial!$H$3:$H$502,$B$2)&gt;0,"✓",""))</f>
        <v/>
      </c>
      <c r="Y96" s="29" t="str">
        <f aca="false">IF($A95="","",IF(COUNTIFS(Historial!$B$3:$B$502,$A95,Historial!$C$3:$C$502,$B95,Historial!$G$3:$G$502,Y$4,Historial!$H$3:$H$502,$B$2)&gt;0,"✓",""))</f>
        <v/>
      </c>
      <c r="Z96" s="29" t="str">
        <f aca="false">IF($A95="","",IF(COUNTIFS(Historial!$B$3:$B$502,$A95,Historial!$C$3:$C$502,$B95,Historial!$G$3:$G$502,Z$4,Historial!$H$3:$H$502,$B$2)&gt;0,"✓",""))</f>
        <v/>
      </c>
      <c r="AA96" s="29" t="str">
        <f aca="false">IF($A95="","",IF(COUNTIFS(Historial!$B$3:$B$502,$A95,Historial!$C$3:$C$502,$B95,Historial!$G$3:$G$502,AA$4,Historial!$H$3:$H$502,$B$2)&gt;0,"✓",""))</f>
        <v/>
      </c>
      <c r="AB96" s="29" t="str">
        <f aca="false">IF($A95="","",IF(COUNTIFS(Historial!$B$3:$B$502,$A95,Historial!$C$3:$C$502,$B95,Historial!$G$3:$G$502,AB$4,Historial!$H$3:$H$502,$B$2)&gt;0,"✓",""))</f>
        <v/>
      </c>
      <c r="AC96" s="29" t="str">
        <f aca="false">IF($A95="","",IF(COUNTIFS(Historial!$B$3:$B$502,$A95,Historial!$C$3:$C$502,$B95,Historial!$G$3:$G$502,AC$4,Historial!$H$3:$H$502,$B$2)&gt;0,"✓",""))</f>
        <v/>
      </c>
      <c r="AD96" s="29" t="str">
        <f aca="false">IF($A95="","",IF(COUNTIFS(Historial!$B$3:$B$502,$A95,Historial!$C$3:$C$502,$B95,Historial!$G$3:$G$502,AD$4,Historial!$H$3:$H$502,$B$2)&gt;0,"✓",""))</f>
        <v/>
      </c>
      <c r="AE96" s="29" t="str">
        <f aca="false">IF($A95="","",IF(COUNTIFS(Historial!$B$3:$B$502,$A95,Historial!$C$3:$C$502,$B95,Historial!$G$3:$G$502,AE$4,Historial!$H$3:$H$502,$B$2)&gt;0,"✓",""))</f>
        <v/>
      </c>
      <c r="AF96" s="29" t="str">
        <f aca="false">IF($A95="","",IF(COUNTIFS(Historial!$B$3:$B$502,$A95,Historial!$C$3:$C$502,$B95,Historial!$G$3:$G$502,AF$4,Historial!$H$3:$H$502,$B$2)&gt;0,"✓",""))</f>
        <v/>
      </c>
      <c r="AG96" s="29" t="str">
        <f aca="false">IF($A95="","",IF(COUNTIFS(Historial!$B$3:$B$502,$A95,Historial!$C$3:$C$502,$B95,Historial!$G$3:$G$502,AG$4,Historial!$H$3:$H$502,$B$2)&gt;0,"✓",""))</f>
        <v/>
      </c>
      <c r="AH96" s="29" t="str">
        <f aca="false">IF($A95="","",IF(COUNTIFS(Historial!$B$3:$B$502,$A95,Historial!$C$3:$C$502,$B95,Historial!$G$3:$G$502,AH$4,Historial!$H$3:$H$502,$B$2)&gt;0,"✓",""))</f>
        <v/>
      </c>
      <c r="AI96" s="29" t="str">
        <f aca="false">IF($A95="","",IF(COUNTIFS(Historial!$B$3:$B$502,$A95,Historial!$C$3:$C$502,$B95,Historial!$G$3:$G$502,AI$4,Historial!$H$3:$H$502,$B$2)&gt;0,"✓",""))</f>
        <v/>
      </c>
      <c r="AJ96" s="29" t="str">
        <f aca="false">IF($A95="","",IF(COUNTIFS(Historial!$B$3:$B$502,$A95,Historial!$C$3:$C$502,$B95,Historial!$G$3:$G$502,AJ$4,Historial!$H$3:$H$502,$B$2)&gt;0,"✓",""))</f>
        <v/>
      </c>
      <c r="AK96" s="29" t="str">
        <f aca="false">IF($A95="","",IF(COUNTIFS(Historial!$B$3:$B$502,$A95,Historial!$C$3:$C$502,$B95,Historial!$G$3:$G$502,AK$4,Historial!$H$3:$H$502,$B$2)&gt;0,"✓",""))</f>
        <v/>
      </c>
      <c r="AL96" s="29" t="str">
        <f aca="false">IF($A95="","",IF(COUNTIFS(Historial!$B$3:$B$502,$A95,Historial!$C$3:$C$502,$B95,Historial!$G$3:$G$502,AL$4,Historial!$H$3:$H$502,$B$2)&gt;0,"✓",""))</f>
        <v/>
      </c>
      <c r="AM96" s="29" t="str">
        <f aca="false">IF($A95="","",IF(COUNTIFS(Historial!$B$3:$B$502,$A95,Historial!$C$3:$C$502,$B95,Historial!$G$3:$G$502,AM$4,Historial!$H$3:$H$502,$B$2)&gt;0,"✓",""))</f>
        <v/>
      </c>
      <c r="AN96" s="29" t="str">
        <f aca="false">IF($A95="","",IF(COUNTIFS(Historial!$B$3:$B$502,$A95,Historial!$C$3:$C$502,$B95,Historial!$G$3:$G$502,AN$4,Historial!$H$3:$H$502,$B$2)&gt;0,"✓",""))</f>
        <v/>
      </c>
      <c r="AO96" s="29" t="str">
        <f aca="false">IF($A95="","",IF(COUNTIFS(Historial!$B$3:$B$502,$A95,Historial!$C$3:$C$502,$B95,Historial!$G$3:$G$502,AO$4,Historial!$H$3:$H$502,$B$2)&gt;0,"✓",""))</f>
        <v/>
      </c>
      <c r="AP96" s="29" t="str">
        <f aca="false">IF($A95="","",IF(COUNTIFS(Historial!$B$3:$B$502,$A95,Historial!$C$3:$C$502,$B95,Historial!$G$3:$G$502,AP$4,Historial!$H$3:$H$502,$B$2)&gt;0,"✓",""))</f>
        <v/>
      </c>
      <c r="AQ96" s="29" t="str">
        <f aca="false">IF($A95="","",IF(COUNTIFS(Historial!$B$3:$B$502,$A95,Historial!$C$3:$C$502,$B95,Historial!$G$3:$G$502,AQ$4,Historial!$H$3:$H$502,$B$2)&gt;0,"✓",""))</f>
        <v/>
      </c>
      <c r="AR96" s="29" t="str">
        <f aca="false">IF($A95="","",IF(COUNTIFS(Historial!$B$3:$B$502,$A95,Historial!$C$3:$C$502,$B95,Historial!$G$3:$G$502,AR$4,Historial!$H$3:$H$502,$B$2)&gt;0,"✓",""))</f>
        <v/>
      </c>
      <c r="AS96" s="29" t="str">
        <f aca="false">IF($A95="","",IF(COUNTIFS(Historial!$B$3:$B$502,$A95,Historial!$C$3:$C$502,$B95,Historial!$G$3:$G$502,AS$4,Historial!$H$3:$H$502,$B$2)&gt;0,"✓",""))</f>
        <v/>
      </c>
      <c r="AT96" s="29" t="str">
        <f aca="false">IF($A95="","",IF(COUNTIFS(Historial!$B$3:$B$502,$A95,Historial!$C$3:$C$502,$B95,Historial!$G$3:$G$502,AT$4,Historial!$H$3:$H$502,$B$2)&gt;0,"✓",""))</f>
        <v/>
      </c>
      <c r="AU96" s="29" t="str">
        <f aca="false">IF($A95="","",IF(COUNTIFS(Historial!$B$3:$B$502,$A95,Historial!$C$3:$C$502,$B95,Historial!$G$3:$G$502,AU$4,Historial!$H$3:$H$502,$B$2)&gt;0,"✓",""))</f>
        <v/>
      </c>
      <c r="AV96" s="29" t="str">
        <f aca="false">IF($A95="","",IF(COUNTIFS(Historial!$B$3:$B$502,$A95,Historial!$C$3:$C$502,$B95,Historial!$G$3:$G$502,AV$4,Historial!$H$3:$H$502,$B$2)&gt;0,"✓",""))</f>
        <v/>
      </c>
      <c r="AW96" s="29" t="str">
        <f aca="false">IF($A95="","",IF(COUNTIFS(Historial!$B$3:$B$502,$A95,Historial!$C$3:$C$502,$B95,Historial!$G$3:$G$502,AW$4,Historial!$H$3:$H$502,$B$2)&gt;0,"✓",""))</f>
        <v/>
      </c>
      <c r="AX96" s="29" t="str">
        <f aca="false">IF($A95="","",IF(COUNTIFS(Historial!$B$3:$B$502,$A95,Historial!$C$3:$C$502,$B95,Historial!$G$3:$G$502,AX$4,Historial!$H$3:$H$502,$B$2)&gt;0,"✓",""))</f>
        <v/>
      </c>
      <c r="AY96" s="29" t="str">
        <f aca="false">IF($A95="","",IF(COUNTIFS(Historial!$B$3:$B$502,$A95,Historial!$C$3:$C$502,$B95,Historial!$G$3:$G$502,AY$4,Historial!$H$3:$H$502,$B$2)&gt;0,"✓",""))</f>
        <v/>
      </c>
      <c r="AZ96" s="29" t="str">
        <f aca="false">IF($A95="","",IF(COUNTIFS(Historial!$B$3:$B$502,$A95,Historial!$C$3:$C$502,$B95,Historial!$G$3:$G$502,AZ$4,Historial!$H$3:$H$502,$B$2)&gt;0,"✓",""))</f>
        <v/>
      </c>
      <c r="BA96" s="29" t="str">
        <f aca="false">IF($A95="","",IF(COUNTIFS(Historial!$B$3:$B$502,$A95,Historial!$C$3:$C$502,$B95,Historial!$G$3:$G$502,BA$4,Historial!$H$3:$H$502,$B$2)&gt;0,"✓",""))</f>
        <v/>
      </c>
      <c r="BB96" s="29" t="str">
        <f aca="false">IF($A95="","",IF(COUNTIFS(Historial!$B$3:$B$502,$A95,Historial!$C$3:$C$502,$B95,Historial!$G$3:$G$502,BB$4,Historial!$H$3:$H$502,$B$2)&gt;0,"✓",""))</f>
        <v/>
      </c>
      <c r="BC96" s="29" t="str">
        <f aca="false">IF($A95="","",IF(COUNTIFS(Historial!$B$3:$B$502,$A95,Historial!$C$3:$C$502,$B95,Historial!$G$3:$G$502,BC$4,Historial!$H$3:$H$502,$B$2)&gt;0,"✓",""))</f>
        <v/>
      </c>
      <c r="BD96" s="29"/>
      <c r="BE96" s="29"/>
      <c r="BF96" s="29"/>
    </row>
    <row r="97" customFormat="false" ht="15" hidden="false" customHeight="false" outlineLevel="0" collapsed="false">
      <c r="A97" s="24" t="str">
        <f aca="false">IF(Actividades!$B49="","",Actividades!$B49)</f>
        <v/>
      </c>
      <c r="B97" s="24" t="str">
        <f aca="false">IF(Actividades!$C49="","",Actividades!$C49)</f>
        <v/>
      </c>
      <c r="C97" s="24" t="str">
        <f aca="false">IF($A97="","","Plan")</f>
        <v/>
      </c>
      <c r="D97" s="25" t="str">
        <f aca="false">IF($A97="","",IF(AND(N(Actividades!$E49)&gt;0,D$4&gt;=Actividades!$E49,MOD(D$4-Actividades!$E49,IFERROR(VLOOKUP(Actividades!$D49,Listas!$A$2:$B$8,2,0),52))=0),"P",""))</f>
        <v/>
      </c>
      <c r="E97" s="25" t="str">
        <f aca="false">IF($A97="","",IF(AND(N(Actividades!$E49)&gt;0,E$4&gt;=Actividades!$E49,MOD(E$4-Actividades!$E49,IFERROR(VLOOKUP(Actividades!$D49,Listas!$A$2:$B$8,2,0),52))=0),"P",""))</f>
        <v/>
      </c>
      <c r="F97" s="25" t="str">
        <f aca="false">IF($A97="","",IF(AND(N(Actividades!$E49)&gt;0,F$4&gt;=Actividades!$E49,MOD(F$4-Actividades!$E49,IFERROR(VLOOKUP(Actividades!$D49,Listas!$A$2:$B$8,2,0),52))=0),"P",""))</f>
        <v/>
      </c>
      <c r="G97" s="25" t="str">
        <f aca="false">IF($A97="","",IF(AND(N(Actividades!$E49)&gt;0,G$4&gt;=Actividades!$E49,MOD(G$4-Actividades!$E49,IFERROR(VLOOKUP(Actividades!$D49,Listas!$A$2:$B$8,2,0),52))=0),"P",""))</f>
        <v/>
      </c>
      <c r="H97" s="25" t="str">
        <f aca="false">IF($A97="","",IF(AND(N(Actividades!$E49)&gt;0,H$4&gt;=Actividades!$E49,MOD(H$4-Actividades!$E49,IFERROR(VLOOKUP(Actividades!$D49,Listas!$A$2:$B$8,2,0),52))=0),"P",""))</f>
        <v/>
      </c>
      <c r="I97" s="25" t="str">
        <f aca="false">IF($A97="","",IF(AND(N(Actividades!$E49)&gt;0,I$4&gt;=Actividades!$E49,MOD(I$4-Actividades!$E49,IFERROR(VLOOKUP(Actividades!$D49,Listas!$A$2:$B$8,2,0),52))=0),"P",""))</f>
        <v/>
      </c>
      <c r="J97" s="25" t="str">
        <f aca="false">IF($A97="","",IF(AND(N(Actividades!$E49)&gt;0,J$4&gt;=Actividades!$E49,MOD(J$4-Actividades!$E49,IFERROR(VLOOKUP(Actividades!$D49,Listas!$A$2:$B$8,2,0),52))=0),"P",""))</f>
        <v/>
      </c>
      <c r="K97" s="25" t="str">
        <f aca="false">IF($A97="","",IF(AND(N(Actividades!$E49)&gt;0,K$4&gt;=Actividades!$E49,MOD(K$4-Actividades!$E49,IFERROR(VLOOKUP(Actividades!$D49,Listas!$A$2:$B$8,2,0),52))=0),"P",""))</f>
        <v/>
      </c>
      <c r="L97" s="25" t="str">
        <f aca="false">IF($A97="","",IF(AND(N(Actividades!$E49)&gt;0,L$4&gt;=Actividades!$E49,MOD(L$4-Actividades!$E49,IFERROR(VLOOKUP(Actividades!$D49,Listas!$A$2:$B$8,2,0),52))=0),"P",""))</f>
        <v/>
      </c>
      <c r="M97" s="25" t="str">
        <f aca="false">IF($A97="","",IF(AND(N(Actividades!$E49)&gt;0,M$4&gt;=Actividades!$E49,MOD(M$4-Actividades!$E49,IFERROR(VLOOKUP(Actividades!$D49,Listas!$A$2:$B$8,2,0),52))=0),"P",""))</f>
        <v/>
      </c>
      <c r="N97" s="25" t="str">
        <f aca="false">IF($A97="","",IF(AND(N(Actividades!$E49)&gt;0,N$4&gt;=Actividades!$E49,MOD(N$4-Actividades!$E49,IFERROR(VLOOKUP(Actividades!$D49,Listas!$A$2:$B$8,2,0),52))=0),"P",""))</f>
        <v/>
      </c>
      <c r="O97" s="25" t="str">
        <f aca="false">IF($A97="","",IF(AND(N(Actividades!$E49)&gt;0,O$4&gt;=Actividades!$E49,MOD(O$4-Actividades!$E49,IFERROR(VLOOKUP(Actividades!$D49,Listas!$A$2:$B$8,2,0),52))=0),"P",""))</f>
        <v/>
      </c>
      <c r="P97" s="25" t="str">
        <f aca="false">IF($A97="","",IF(AND(N(Actividades!$E49)&gt;0,P$4&gt;=Actividades!$E49,MOD(P$4-Actividades!$E49,IFERROR(VLOOKUP(Actividades!$D49,Listas!$A$2:$B$8,2,0),52))=0),"P",""))</f>
        <v/>
      </c>
      <c r="Q97" s="25" t="str">
        <f aca="false">IF($A97="","",IF(AND(N(Actividades!$E49)&gt;0,Q$4&gt;=Actividades!$E49,MOD(Q$4-Actividades!$E49,IFERROR(VLOOKUP(Actividades!$D49,Listas!$A$2:$B$8,2,0),52))=0),"P",""))</f>
        <v/>
      </c>
      <c r="R97" s="25" t="str">
        <f aca="false">IF($A97="","",IF(AND(N(Actividades!$E49)&gt;0,R$4&gt;=Actividades!$E49,MOD(R$4-Actividades!$E49,IFERROR(VLOOKUP(Actividades!$D49,Listas!$A$2:$B$8,2,0),52))=0),"P",""))</f>
        <v/>
      </c>
      <c r="S97" s="25" t="str">
        <f aca="false">IF($A97="","",IF(AND(N(Actividades!$E49)&gt;0,S$4&gt;=Actividades!$E49,MOD(S$4-Actividades!$E49,IFERROR(VLOOKUP(Actividades!$D49,Listas!$A$2:$B$8,2,0),52))=0),"P",""))</f>
        <v/>
      </c>
      <c r="T97" s="25" t="str">
        <f aca="false">IF($A97="","",IF(AND(N(Actividades!$E49)&gt;0,T$4&gt;=Actividades!$E49,MOD(T$4-Actividades!$E49,IFERROR(VLOOKUP(Actividades!$D49,Listas!$A$2:$B$8,2,0),52))=0),"P",""))</f>
        <v/>
      </c>
      <c r="U97" s="25" t="str">
        <f aca="false">IF($A97="","",IF(AND(N(Actividades!$E49)&gt;0,U$4&gt;=Actividades!$E49,MOD(U$4-Actividades!$E49,IFERROR(VLOOKUP(Actividades!$D49,Listas!$A$2:$B$8,2,0),52))=0),"P",""))</f>
        <v/>
      </c>
      <c r="V97" s="25" t="str">
        <f aca="false">IF($A97="","",IF(AND(N(Actividades!$E49)&gt;0,V$4&gt;=Actividades!$E49,MOD(V$4-Actividades!$E49,IFERROR(VLOOKUP(Actividades!$D49,Listas!$A$2:$B$8,2,0),52))=0),"P",""))</f>
        <v/>
      </c>
      <c r="W97" s="25" t="str">
        <f aca="false">IF($A97="","",IF(AND(N(Actividades!$E49)&gt;0,W$4&gt;=Actividades!$E49,MOD(W$4-Actividades!$E49,IFERROR(VLOOKUP(Actividades!$D49,Listas!$A$2:$B$8,2,0),52))=0),"P",""))</f>
        <v/>
      </c>
      <c r="X97" s="25" t="str">
        <f aca="false">IF($A97="","",IF(AND(N(Actividades!$E49)&gt;0,X$4&gt;=Actividades!$E49,MOD(X$4-Actividades!$E49,IFERROR(VLOOKUP(Actividades!$D49,Listas!$A$2:$B$8,2,0),52))=0),"P",""))</f>
        <v/>
      </c>
      <c r="Y97" s="25" t="str">
        <f aca="false">IF($A97="","",IF(AND(N(Actividades!$E49)&gt;0,Y$4&gt;=Actividades!$E49,MOD(Y$4-Actividades!$E49,IFERROR(VLOOKUP(Actividades!$D49,Listas!$A$2:$B$8,2,0),52))=0),"P",""))</f>
        <v/>
      </c>
      <c r="Z97" s="25" t="str">
        <f aca="false">IF($A97="","",IF(AND(N(Actividades!$E49)&gt;0,Z$4&gt;=Actividades!$E49,MOD(Z$4-Actividades!$E49,IFERROR(VLOOKUP(Actividades!$D49,Listas!$A$2:$B$8,2,0),52))=0),"P",""))</f>
        <v/>
      </c>
      <c r="AA97" s="25" t="str">
        <f aca="false">IF($A97="","",IF(AND(N(Actividades!$E49)&gt;0,AA$4&gt;=Actividades!$E49,MOD(AA$4-Actividades!$E49,IFERROR(VLOOKUP(Actividades!$D49,Listas!$A$2:$B$8,2,0),52))=0),"P",""))</f>
        <v/>
      </c>
      <c r="AB97" s="25" t="str">
        <f aca="false">IF($A97="","",IF(AND(N(Actividades!$E49)&gt;0,AB$4&gt;=Actividades!$E49,MOD(AB$4-Actividades!$E49,IFERROR(VLOOKUP(Actividades!$D49,Listas!$A$2:$B$8,2,0),52))=0),"P",""))</f>
        <v/>
      </c>
      <c r="AC97" s="25" t="str">
        <f aca="false">IF($A97="","",IF(AND(N(Actividades!$E49)&gt;0,AC$4&gt;=Actividades!$E49,MOD(AC$4-Actividades!$E49,IFERROR(VLOOKUP(Actividades!$D49,Listas!$A$2:$B$8,2,0),52))=0),"P",""))</f>
        <v/>
      </c>
      <c r="AD97" s="25" t="str">
        <f aca="false">IF($A97="","",IF(AND(N(Actividades!$E49)&gt;0,AD$4&gt;=Actividades!$E49,MOD(AD$4-Actividades!$E49,IFERROR(VLOOKUP(Actividades!$D49,Listas!$A$2:$B$8,2,0),52))=0),"P",""))</f>
        <v/>
      </c>
      <c r="AE97" s="25" t="str">
        <f aca="false">IF($A97="","",IF(AND(N(Actividades!$E49)&gt;0,AE$4&gt;=Actividades!$E49,MOD(AE$4-Actividades!$E49,IFERROR(VLOOKUP(Actividades!$D49,Listas!$A$2:$B$8,2,0),52))=0),"P",""))</f>
        <v/>
      </c>
      <c r="AF97" s="25" t="str">
        <f aca="false">IF($A97="","",IF(AND(N(Actividades!$E49)&gt;0,AF$4&gt;=Actividades!$E49,MOD(AF$4-Actividades!$E49,IFERROR(VLOOKUP(Actividades!$D49,Listas!$A$2:$B$8,2,0),52))=0),"P",""))</f>
        <v/>
      </c>
      <c r="AG97" s="25" t="str">
        <f aca="false">IF($A97="","",IF(AND(N(Actividades!$E49)&gt;0,AG$4&gt;=Actividades!$E49,MOD(AG$4-Actividades!$E49,IFERROR(VLOOKUP(Actividades!$D49,Listas!$A$2:$B$8,2,0),52))=0),"P",""))</f>
        <v/>
      </c>
      <c r="AH97" s="25" t="str">
        <f aca="false">IF($A97="","",IF(AND(N(Actividades!$E49)&gt;0,AH$4&gt;=Actividades!$E49,MOD(AH$4-Actividades!$E49,IFERROR(VLOOKUP(Actividades!$D49,Listas!$A$2:$B$8,2,0),52))=0),"P",""))</f>
        <v/>
      </c>
      <c r="AI97" s="25" t="str">
        <f aca="false">IF($A97="","",IF(AND(N(Actividades!$E49)&gt;0,AI$4&gt;=Actividades!$E49,MOD(AI$4-Actividades!$E49,IFERROR(VLOOKUP(Actividades!$D49,Listas!$A$2:$B$8,2,0),52))=0),"P",""))</f>
        <v/>
      </c>
      <c r="AJ97" s="25" t="str">
        <f aca="false">IF($A97="","",IF(AND(N(Actividades!$E49)&gt;0,AJ$4&gt;=Actividades!$E49,MOD(AJ$4-Actividades!$E49,IFERROR(VLOOKUP(Actividades!$D49,Listas!$A$2:$B$8,2,0),52))=0),"P",""))</f>
        <v/>
      </c>
      <c r="AK97" s="25" t="str">
        <f aca="false">IF($A97="","",IF(AND(N(Actividades!$E49)&gt;0,AK$4&gt;=Actividades!$E49,MOD(AK$4-Actividades!$E49,IFERROR(VLOOKUP(Actividades!$D49,Listas!$A$2:$B$8,2,0),52))=0),"P",""))</f>
        <v/>
      </c>
      <c r="AL97" s="25" t="str">
        <f aca="false">IF($A97="","",IF(AND(N(Actividades!$E49)&gt;0,AL$4&gt;=Actividades!$E49,MOD(AL$4-Actividades!$E49,IFERROR(VLOOKUP(Actividades!$D49,Listas!$A$2:$B$8,2,0),52))=0),"P",""))</f>
        <v/>
      </c>
      <c r="AM97" s="25" t="str">
        <f aca="false">IF($A97="","",IF(AND(N(Actividades!$E49)&gt;0,AM$4&gt;=Actividades!$E49,MOD(AM$4-Actividades!$E49,IFERROR(VLOOKUP(Actividades!$D49,Listas!$A$2:$B$8,2,0),52))=0),"P",""))</f>
        <v/>
      </c>
      <c r="AN97" s="25" t="str">
        <f aca="false">IF($A97="","",IF(AND(N(Actividades!$E49)&gt;0,AN$4&gt;=Actividades!$E49,MOD(AN$4-Actividades!$E49,IFERROR(VLOOKUP(Actividades!$D49,Listas!$A$2:$B$8,2,0),52))=0),"P",""))</f>
        <v/>
      </c>
      <c r="AO97" s="25" t="str">
        <f aca="false">IF($A97="","",IF(AND(N(Actividades!$E49)&gt;0,AO$4&gt;=Actividades!$E49,MOD(AO$4-Actividades!$E49,IFERROR(VLOOKUP(Actividades!$D49,Listas!$A$2:$B$8,2,0),52))=0),"P",""))</f>
        <v/>
      </c>
      <c r="AP97" s="25" t="str">
        <f aca="false">IF($A97="","",IF(AND(N(Actividades!$E49)&gt;0,AP$4&gt;=Actividades!$E49,MOD(AP$4-Actividades!$E49,IFERROR(VLOOKUP(Actividades!$D49,Listas!$A$2:$B$8,2,0),52))=0),"P",""))</f>
        <v/>
      </c>
      <c r="AQ97" s="25" t="str">
        <f aca="false">IF($A97="","",IF(AND(N(Actividades!$E49)&gt;0,AQ$4&gt;=Actividades!$E49,MOD(AQ$4-Actividades!$E49,IFERROR(VLOOKUP(Actividades!$D49,Listas!$A$2:$B$8,2,0),52))=0),"P",""))</f>
        <v/>
      </c>
      <c r="AR97" s="25" t="str">
        <f aca="false">IF($A97="","",IF(AND(N(Actividades!$E49)&gt;0,AR$4&gt;=Actividades!$E49,MOD(AR$4-Actividades!$E49,IFERROR(VLOOKUP(Actividades!$D49,Listas!$A$2:$B$8,2,0),52))=0),"P",""))</f>
        <v/>
      </c>
      <c r="AS97" s="25" t="str">
        <f aca="false">IF($A97="","",IF(AND(N(Actividades!$E49)&gt;0,AS$4&gt;=Actividades!$E49,MOD(AS$4-Actividades!$E49,IFERROR(VLOOKUP(Actividades!$D49,Listas!$A$2:$B$8,2,0),52))=0),"P",""))</f>
        <v/>
      </c>
      <c r="AT97" s="25" t="str">
        <f aca="false">IF($A97="","",IF(AND(N(Actividades!$E49)&gt;0,AT$4&gt;=Actividades!$E49,MOD(AT$4-Actividades!$E49,IFERROR(VLOOKUP(Actividades!$D49,Listas!$A$2:$B$8,2,0),52))=0),"P",""))</f>
        <v/>
      </c>
      <c r="AU97" s="25" t="str">
        <f aca="false">IF($A97="","",IF(AND(N(Actividades!$E49)&gt;0,AU$4&gt;=Actividades!$E49,MOD(AU$4-Actividades!$E49,IFERROR(VLOOKUP(Actividades!$D49,Listas!$A$2:$B$8,2,0),52))=0),"P",""))</f>
        <v/>
      </c>
      <c r="AV97" s="25" t="str">
        <f aca="false">IF($A97="","",IF(AND(N(Actividades!$E49)&gt;0,AV$4&gt;=Actividades!$E49,MOD(AV$4-Actividades!$E49,IFERROR(VLOOKUP(Actividades!$D49,Listas!$A$2:$B$8,2,0),52))=0),"P",""))</f>
        <v/>
      </c>
      <c r="AW97" s="25" t="str">
        <f aca="false">IF($A97="","",IF(AND(N(Actividades!$E49)&gt;0,AW$4&gt;=Actividades!$E49,MOD(AW$4-Actividades!$E49,IFERROR(VLOOKUP(Actividades!$D49,Listas!$A$2:$B$8,2,0),52))=0),"P",""))</f>
        <v/>
      </c>
      <c r="AX97" s="25" t="str">
        <f aca="false">IF($A97="","",IF(AND(N(Actividades!$E49)&gt;0,AX$4&gt;=Actividades!$E49,MOD(AX$4-Actividades!$E49,IFERROR(VLOOKUP(Actividades!$D49,Listas!$A$2:$B$8,2,0),52))=0),"P",""))</f>
        <v/>
      </c>
      <c r="AY97" s="25" t="str">
        <f aca="false">IF($A97="","",IF(AND(N(Actividades!$E49)&gt;0,AY$4&gt;=Actividades!$E49,MOD(AY$4-Actividades!$E49,IFERROR(VLOOKUP(Actividades!$D49,Listas!$A$2:$B$8,2,0),52))=0),"P",""))</f>
        <v/>
      </c>
      <c r="AZ97" s="25" t="str">
        <f aca="false">IF($A97="","",IF(AND(N(Actividades!$E49)&gt;0,AZ$4&gt;=Actividades!$E49,MOD(AZ$4-Actividades!$E49,IFERROR(VLOOKUP(Actividades!$D49,Listas!$A$2:$B$8,2,0),52))=0),"P",""))</f>
        <v/>
      </c>
      <c r="BA97" s="25" t="str">
        <f aca="false">IF($A97="","",IF(AND(N(Actividades!$E49)&gt;0,BA$4&gt;=Actividades!$E49,MOD(BA$4-Actividades!$E49,IFERROR(VLOOKUP(Actividades!$D49,Listas!$A$2:$B$8,2,0),52))=0),"P",""))</f>
        <v/>
      </c>
      <c r="BB97" s="25" t="str">
        <f aca="false">IF($A97="","",IF(AND(N(Actividades!$E49)&gt;0,BB$4&gt;=Actividades!$E49,MOD(BB$4-Actividades!$E49,IFERROR(VLOOKUP(Actividades!$D49,Listas!$A$2:$B$8,2,0),52))=0),"P",""))</f>
        <v/>
      </c>
      <c r="BC97" s="25" t="str">
        <f aca="false">IF($A97="","",IF(AND(N(Actividades!$E49)&gt;0,BC$4&gt;=Actividades!$E49,MOD(BC$4-Actividades!$E49,IFERROR(VLOOKUP(Actividades!$D49,Listas!$A$2:$B$8,2,0),52))=0),"P",""))</f>
        <v/>
      </c>
      <c r="BD97" s="26" t="str">
        <f aca="false">IF($A97="","",COUNTIF(D97:BC97,"P"))</f>
        <v/>
      </c>
      <c r="BE97" s="26" t="str">
        <f aca="false">IF($A97="","",SUMPRODUCT((D97:BC97="P")*(D98:BC98="✓")))</f>
        <v/>
      </c>
      <c r="BF97" s="27" t="str">
        <f aca="false">IF($A97="","",IF(BD97=0,"",BE97/BD97))</f>
        <v/>
      </c>
    </row>
    <row r="98" customFormat="false" ht="15" hidden="false" customHeight="false" outlineLevel="0" collapsed="false">
      <c r="A98" s="28"/>
      <c r="B98" s="28"/>
      <c r="C98" s="28" t="str">
        <f aca="false">IF($A97="","","Real")</f>
        <v/>
      </c>
      <c r="D98" s="29" t="str">
        <f aca="false">IF($A97="","",IF(COUNTIFS(Historial!$B$3:$B$502,$A97,Historial!$C$3:$C$502,$B97,Historial!$G$3:$G$502,D$4,Historial!$H$3:$H$502,$B$2)&gt;0,"✓",""))</f>
        <v/>
      </c>
      <c r="E98" s="29" t="str">
        <f aca="false">IF($A97="","",IF(COUNTIFS(Historial!$B$3:$B$502,$A97,Historial!$C$3:$C$502,$B97,Historial!$G$3:$G$502,E$4,Historial!$H$3:$H$502,$B$2)&gt;0,"✓",""))</f>
        <v/>
      </c>
      <c r="F98" s="29" t="str">
        <f aca="false">IF($A97="","",IF(COUNTIFS(Historial!$B$3:$B$502,$A97,Historial!$C$3:$C$502,$B97,Historial!$G$3:$G$502,F$4,Historial!$H$3:$H$502,$B$2)&gt;0,"✓",""))</f>
        <v/>
      </c>
      <c r="G98" s="29" t="str">
        <f aca="false">IF($A97="","",IF(COUNTIFS(Historial!$B$3:$B$502,$A97,Historial!$C$3:$C$502,$B97,Historial!$G$3:$G$502,G$4,Historial!$H$3:$H$502,$B$2)&gt;0,"✓",""))</f>
        <v/>
      </c>
      <c r="H98" s="29" t="str">
        <f aca="false">IF($A97="","",IF(COUNTIFS(Historial!$B$3:$B$502,$A97,Historial!$C$3:$C$502,$B97,Historial!$G$3:$G$502,H$4,Historial!$H$3:$H$502,$B$2)&gt;0,"✓",""))</f>
        <v/>
      </c>
      <c r="I98" s="29" t="str">
        <f aca="false">IF($A97="","",IF(COUNTIFS(Historial!$B$3:$B$502,$A97,Historial!$C$3:$C$502,$B97,Historial!$G$3:$G$502,I$4,Historial!$H$3:$H$502,$B$2)&gt;0,"✓",""))</f>
        <v/>
      </c>
      <c r="J98" s="29" t="str">
        <f aca="false">IF($A97="","",IF(COUNTIFS(Historial!$B$3:$B$502,$A97,Historial!$C$3:$C$502,$B97,Historial!$G$3:$G$502,J$4,Historial!$H$3:$H$502,$B$2)&gt;0,"✓",""))</f>
        <v/>
      </c>
      <c r="K98" s="29" t="str">
        <f aca="false">IF($A97="","",IF(COUNTIFS(Historial!$B$3:$B$502,$A97,Historial!$C$3:$C$502,$B97,Historial!$G$3:$G$502,K$4,Historial!$H$3:$H$502,$B$2)&gt;0,"✓",""))</f>
        <v/>
      </c>
      <c r="L98" s="29" t="str">
        <f aca="false">IF($A97="","",IF(COUNTIFS(Historial!$B$3:$B$502,$A97,Historial!$C$3:$C$502,$B97,Historial!$G$3:$G$502,L$4,Historial!$H$3:$H$502,$B$2)&gt;0,"✓",""))</f>
        <v/>
      </c>
      <c r="M98" s="29" t="str">
        <f aca="false">IF($A97="","",IF(COUNTIFS(Historial!$B$3:$B$502,$A97,Historial!$C$3:$C$502,$B97,Historial!$G$3:$G$502,M$4,Historial!$H$3:$H$502,$B$2)&gt;0,"✓",""))</f>
        <v/>
      </c>
      <c r="N98" s="29" t="str">
        <f aca="false">IF($A97="","",IF(COUNTIFS(Historial!$B$3:$B$502,$A97,Historial!$C$3:$C$502,$B97,Historial!$G$3:$G$502,N$4,Historial!$H$3:$H$502,$B$2)&gt;0,"✓",""))</f>
        <v/>
      </c>
      <c r="O98" s="29" t="str">
        <f aca="false">IF($A97="","",IF(COUNTIFS(Historial!$B$3:$B$502,$A97,Historial!$C$3:$C$502,$B97,Historial!$G$3:$G$502,O$4,Historial!$H$3:$H$502,$B$2)&gt;0,"✓",""))</f>
        <v/>
      </c>
      <c r="P98" s="29" t="str">
        <f aca="false">IF($A97="","",IF(COUNTIFS(Historial!$B$3:$B$502,$A97,Historial!$C$3:$C$502,$B97,Historial!$G$3:$G$502,P$4,Historial!$H$3:$H$502,$B$2)&gt;0,"✓",""))</f>
        <v/>
      </c>
      <c r="Q98" s="29" t="str">
        <f aca="false">IF($A97="","",IF(COUNTIFS(Historial!$B$3:$B$502,$A97,Historial!$C$3:$C$502,$B97,Historial!$G$3:$G$502,Q$4,Historial!$H$3:$H$502,$B$2)&gt;0,"✓",""))</f>
        <v/>
      </c>
      <c r="R98" s="29" t="str">
        <f aca="false">IF($A97="","",IF(COUNTIFS(Historial!$B$3:$B$502,$A97,Historial!$C$3:$C$502,$B97,Historial!$G$3:$G$502,R$4,Historial!$H$3:$H$502,$B$2)&gt;0,"✓",""))</f>
        <v/>
      </c>
      <c r="S98" s="29" t="str">
        <f aca="false">IF($A97="","",IF(COUNTIFS(Historial!$B$3:$B$502,$A97,Historial!$C$3:$C$502,$B97,Historial!$G$3:$G$502,S$4,Historial!$H$3:$H$502,$B$2)&gt;0,"✓",""))</f>
        <v/>
      </c>
      <c r="T98" s="29" t="str">
        <f aca="false">IF($A97="","",IF(COUNTIFS(Historial!$B$3:$B$502,$A97,Historial!$C$3:$C$502,$B97,Historial!$G$3:$G$502,T$4,Historial!$H$3:$H$502,$B$2)&gt;0,"✓",""))</f>
        <v/>
      </c>
      <c r="U98" s="29" t="str">
        <f aca="false">IF($A97="","",IF(COUNTIFS(Historial!$B$3:$B$502,$A97,Historial!$C$3:$C$502,$B97,Historial!$G$3:$G$502,U$4,Historial!$H$3:$H$502,$B$2)&gt;0,"✓",""))</f>
        <v/>
      </c>
      <c r="V98" s="29" t="str">
        <f aca="false">IF($A97="","",IF(COUNTIFS(Historial!$B$3:$B$502,$A97,Historial!$C$3:$C$502,$B97,Historial!$G$3:$G$502,V$4,Historial!$H$3:$H$502,$B$2)&gt;0,"✓",""))</f>
        <v/>
      </c>
      <c r="W98" s="29" t="str">
        <f aca="false">IF($A97="","",IF(COUNTIFS(Historial!$B$3:$B$502,$A97,Historial!$C$3:$C$502,$B97,Historial!$G$3:$G$502,W$4,Historial!$H$3:$H$502,$B$2)&gt;0,"✓",""))</f>
        <v/>
      </c>
      <c r="X98" s="29" t="str">
        <f aca="false">IF($A97="","",IF(COUNTIFS(Historial!$B$3:$B$502,$A97,Historial!$C$3:$C$502,$B97,Historial!$G$3:$G$502,X$4,Historial!$H$3:$H$502,$B$2)&gt;0,"✓",""))</f>
        <v/>
      </c>
      <c r="Y98" s="29" t="str">
        <f aca="false">IF($A97="","",IF(COUNTIFS(Historial!$B$3:$B$502,$A97,Historial!$C$3:$C$502,$B97,Historial!$G$3:$G$502,Y$4,Historial!$H$3:$H$502,$B$2)&gt;0,"✓",""))</f>
        <v/>
      </c>
      <c r="Z98" s="29" t="str">
        <f aca="false">IF($A97="","",IF(COUNTIFS(Historial!$B$3:$B$502,$A97,Historial!$C$3:$C$502,$B97,Historial!$G$3:$G$502,Z$4,Historial!$H$3:$H$502,$B$2)&gt;0,"✓",""))</f>
        <v/>
      </c>
      <c r="AA98" s="29" t="str">
        <f aca="false">IF($A97="","",IF(COUNTIFS(Historial!$B$3:$B$502,$A97,Historial!$C$3:$C$502,$B97,Historial!$G$3:$G$502,AA$4,Historial!$H$3:$H$502,$B$2)&gt;0,"✓",""))</f>
        <v/>
      </c>
      <c r="AB98" s="29" t="str">
        <f aca="false">IF($A97="","",IF(COUNTIFS(Historial!$B$3:$B$502,$A97,Historial!$C$3:$C$502,$B97,Historial!$G$3:$G$502,AB$4,Historial!$H$3:$H$502,$B$2)&gt;0,"✓",""))</f>
        <v/>
      </c>
      <c r="AC98" s="29" t="str">
        <f aca="false">IF($A97="","",IF(COUNTIFS(Historial!$B$3:$B$502,$A97,Historial!$C$3:$C$502,$B97,Historial!$G$3:$G$502,AC$4,Historial!$H$3:$H$502,$B$2)&gt;0,"✓",""))</f>
        <v/>
      </c>
      <c r="AD98" s="29" t="str">
        <f aca="false">IF($A97="","",IF(COUNTIFS(Historial!$B$3:$B$502,$A97,Historial!$C$3:$C$502,$B97,Historial!$G$3:$G$502,AD$4,Historial!$H$3:$H$502,$B$2)&gt;0,"✓",""))</f>
        <v/>
      </c>
      <c r="AE98" s="29" t="str">
        <f aca="false">IF($A97="","",IF(COUNTIFS(Historial!$B$3:$B$502,$A97,Historial!$C$3:$C$502,$B97,Historial!$G$3:$G$502,AE$4,Historial!$H$3:$H$502,$B$2)&gt;0,"✓",""))</f>
        <v/>
      </c>
      <c r="AF98" s="29" t="str">
        <f aca="false">IF($A97="","",IF(COUNTIFS(Historial!$B$3:$B$502,$A97,Historial!$C$3:$C$502,$B97,Historial!$G$3:$G$502,AF$4,Historial!$H$3:$H$502,$B$2)&gt;0,"✓",""))</f>
        <v/>
      </c>
      <c r="AG98" s="29" t="str">
        <f aca="false">IF($A97="","",IF(COUNTIFS(Historial!$B$3:$B$502,$A97,Historial!$C$3:$C$502,$B97,Historial!$G$3:$G$502,AG$4,Historial!$H$3:$H$502,$B$2)&gt;0,"✓",""))</f>
        <v/>
      </c>
      <c r="AH98" s="29" t="str">
        <f aca="false">IF($A97="","",IF(COUNTIFS(Historial!$B$3:$B$502,$A97,Historial!$C$3:$C$502,$B97,Historial!$G$3:$G$502,AH$4,Historial!$H$3:$H$502,$B$2)&gt;0,"✓",""))</f>
        <v/>
      </c>
      <c r="AI98" s="29" t="str">
        <f aca="false">IF($A97="","",IF(COUNTIFS(Historial!$B$3:$B$502,$A97,Historial!$C$3:$C$502,$B97,Historial!$G$3:$G$502,AI$4,Historial!$H$3:$H$502,$B$2)&gt;0,"✓",""))</f>
        <v/>
      </c>
      <c r="AJ98" s="29" t="str">
        <f aca="false">IF($A97="","",IF(COUNTIFS(Historial!$B$3:$B$502,$A97,Historial!$C$3:$C$502,$B97,Historial!$G$3:$G$502,AJ$4,Historial!$H$3:$H$502,$B$2)&gt;0,"✓",""))</f>
        <v/>
      </c>
      <c r="AK98" s="29" t="str">
        <f aca="false">IF($A97="","",IF(COUNTIFS(Historial!$B$3:$B$502,$A97,Historial!$C$3:$C$502,$B97,Historial!$G$3:$G$502,AK$4,Historial!$H$3:$H$502,$B$2)&gt;0,"✓",""))</f>
        <v/>
      </c>
      <c r="AL98" s="29" t="str">
        <f aca="false">IF($A97="","",IF(COUNTIFS(Historial!$B$3:$B$502,$A97,Historial!$C$3:$C$502,$B97,Historial!$G$3:$G$502,AL$4,Historial!$H$3:$H$502,$B$2)&gt;0,"✓",""))</f>
        <v/>
      </c>
      <c r="AM98" s="29" t="str">
        <f aca="false">IF($A97="","",IF(COUNTIFS(Historial!$B$3:$B$502,$A97,Historial!$C$3:$C$502,$B97,Historial!$G$3:$G$502,AM$4,Historial!$H$3:$H$502,$B$2)&gt;0,"✓",""))</f>
        <v/>
      </c>
      <c r="AN98" s="29" t="str">
        <f aca="false">IF($A97="","",IF(COUNTIFS(Historial!$B$3:$B$502,$A97,Historial!$C$3:$C$502,$B97,Historial!$G$3:$G$502,AN$4,Historial!$H$3:$H$502,$B$2)&gt;0,"✓",""))</f>
        <v/>
      </c>
      <c r="AO98" s="29" t="str">
        <f aca="false">IF($A97="","",IF(COUNTIFS(Historial!$B$3:$B$502,$A97,Historial!$C$3:$C$502,$B97,Historial!$G$3:$G$502,AO$4,Historial!$H$3:$H$502,$B$2)&gt;0,"✓",""))</f>
        <v/>
      </c>
      <c r="AP98" s="29" t="str">
        <f aca="false">IF($A97="","",IF(COUNTIFS(Historial!$B$3:$B$502,$A97,Historial!$C$3:$C$502,$B97,Historial!$G$3:$G$502,AP$4,Historial!$H$3:$H$502,$B$2)&gt;0,"✓",""))</f>
        <v/>
      </c>
      <c r="AQ98" s="29" t="str">
        <f aca="false">IF($A97="","",IF(COUNTIFS(Historial!$B$3:$B$502,$A97,Historial!$C$3:$C$502,$B97,Historial!$G$3:$G$502,AQ$4,Historial!$H$3:$H$502,$B$2)&gt;0,"✓",""))</f>
        <v/>
      </c>
      <c r="AR98" s="29" t="str">
        <f aca="false">IF($A97="","",IF(COUNTIFS(Historial!$B$3:$B$502,$A97,Historial!$C$3:$C$502,$B97,Historial!$G$3:$G$502,AR$4,Historial!$H$3:$H$502,$B$2)&gt;0,"✓",""))</f>
        <v/>
      </c>
      <c r="AS98" s="29" t="str">
        <f aca="false">IF($A97="","",IF(COUNTIFS(Historial!$B$3:$B$502,$A97,Historial!$C$3:$C$502,$B97,Historial!$G$3:$G$502,AS$4,Historial!$H$3:$H$502,$B$2)&gt;0,"✓",""))</f>
        <v/>
      </c>
      <c r="AT98" s="29" t="str">
        <f aca="false">IF($A97="","",IF(COUNTIFS(Historial!$B$3:$B$502,$A97,Historial!$C$3:$C$502,$B97,Historial!$G$3:$G$502,AT$4,Historial!$H$3:$H$502,$B$2)&gt;0,"✓",""))</f>
        <v/>
      </c>
      <c r="AU98" s="29" t="str">
        <f aca="false">IF($A97="","",IF(COUNTIFS(Historial!$B$3:$B$502,$A97,Historial!$C$3:$C$502,$B97,Historial!$G$3:$G$502,AU$4,Historial!$H$3:$H$502,$B$2)&gt;0,"✓",""))</f>
        <v/>
      </c>
      <c r="AV98" s="29" t="str">
        <f aca="false">IF($A97="","",IF(COUNTIFS(Historial!$B$3:$B$502,$A97,Historial!$C$3:$C$502,$B97,Historial!$G$3:$G$502,AV$4,Historial!$H$3:$H$502,$B$2)&gt;0,"✓",""))</f>
        <v/>
      </c>
      <c r="AW98" s="29" t="str">
        <f aca="false">IF($A97="","",IF(COUNTIFS(Historial!$B$3:$B$502,$A97,Historial!$C$3:$C$502,$B97,Historial!$G$3:$G$502,AW$4,Historial!$H$3:$H$502,$B$2)&gt;0,"✓",""))</f>
        <v/>
      </c>
      <c r="AX98" s="29" t="str">
        <f aca="false">IF($A97="","",IF(COUNTIFS(Historial!$B$3:$B$502,$A97,Historial!$C$3:$C$502,$B97,Historial!$G$3:$G$502,AX$4,Historial!$H$3:$H$502,$B$2)&gt;0,"✓",""))</f>
        <v/>
      </c>
      <c r="AY98" s="29" t="str">
        <f aca="false">IF($A97="","",IF(COUNTIFS(Historial!$B$3:$B$502,$A97,Historial!$C$3:$C$502,$B97,Historial!$G$3:$G$502,AY$4,Historial!$H$3:$H$502,$B$2)&gt;0,"✓",""))</f>
        <v/>
      </c>
      <c r="AZ98" s="29" t="str">
        <f aca="false">IF($A97="","",IF(COUNTIFS(Historial!$B$3:$B$502,$A97,Historial!$C$3:$C$502,$B97,Historial!$G$3:$G$502,AZ$4,Historial!$H$3:$H$502,$B$2)&gt;0,"✓",""))</f>
        <v/>
      </c>
      <c r="BA98" s="29" t="str">
        <f aca="false">IF($A97="","",IF(COUNTIFS(Historial!$B$3:$B$502,$A97,Historial!$C$3:$C$502,$B97,Historial!$G$3:$G$502,BA$4,Historial!$H$3:$H$502,$B$2)&gt;0,"✓",""))</f>
        <v/>
      </c>
      <c r="BB98" s="29" t="str">
        <f aca="false">IF($A97="","",IF(COUNTIFS(Historial!$B$3:$B$502,$A97,Historial!$C$3:$C$502,$B97,Historial!$G$3:$G$502,BB$4,Historial!$H$3:$H$502,$B$2)&gt;0,"✓",""))</f>
        <v/>
      </c>
      <c r="BC98" s="29" t="str">
        <f aca="false">IF($A97="","",IF(COUNTIFS(Historial!$B$3:$B$502,$A97,Historial!$C$3:$C$502,$B97,Historial!$G$3:$G$502,BC$4,Historial!$H$3:$H$502,$B$2)&gt;0,"✓",""))</f>
        <v/>
      </c>
      <c r="BD98" s="29"/>
      <c r="BE98" s="29"/>
      <c r="BF98" s="29"/>
    </row>
    <row r="99" customFormat="false" ht="15" hidden="false" customHeight="false" outlineLevel="0" collapsed="false">
      <c r="A99" s="24" t="str">
        <f aca="false">IF(Actividades!$B50="","",Actividades!$B50)</f>
        <v/>
      </c>
      <c r="B99" s="24" t="str">
        <f aca="false">IF(Actividades!$C50="","",Actividades!$C50)</f>
        <v/>
      </c>
      <c r="C99" s="24" t="str">
        <f aca="false">IF($A99="","","Plan")</f>
        <v/>
      </c>
      <c r="D99" s="25" t="str">
        <f aca="false">IF($A99="","",IF(AND(N(Actividades!$E50)&gt;0,D$4&gt;=Actividades!$E50,MOD(D$4-Actividades!$E50,IFERROR(VLOOKUP(Actividades!$D50,Listas!$A$2:$B$8,2,0),52))=0),"P",""))</f>
        <v/>
      </c>
      <c r="E99" s="25" t="str">
        <f aca="false">IF($A99="","",IF(AND(N(Actividades!$E50)&gt;0,E$4&gt;=Actividades!$E50,MOD(E$4-Actividades!$E50,IFERROR(VLOOKUP(Actividades!$D50,Listas!$A$2:$B$8,2,0),52))=0),"P",""))</f>
        <v/>
      </c>
      <c r="F99" s="25" t="str">
        <f aca="false">IF($A99="","",IF(AND(N(Actividades!$E50)&gt;0,F$4&gt;=Actividades!$E50,MOD(F$4-Actividades!$E50,IFERROR(VLOOKUP(Actividades!$D50,Listas!$A$2:$B$8,2,0),52))=0),"P",""))</f>
        <v/>
      </c>
      <c r="G99" s="25" t="str">
        <f aca="false">IF($A99="","",IF(AND(N(Actividades!$E50)&gt;0,G$4&gt;=Actividades!$E50,MOD(G$4-Actividades!$E50,IFERROR(VLOOKUP(Actividades!$D50,Listas!$A$2:$B$8,2,0),52))=0),"P",""))</f>
        <v/>
      </c>
      <c r="H99" s="25" t="str">
        <f aca="false">IF($A99="","",IF(AND(N(Actividades!$E50)&gt;0,H$4&gt;=Actividades!$E50,MOD(H$4-Actividades!$E50,IFERROR(VLOOKUP(Actividades!$D50,Listas!$A$2:$B$8,2,0),52))=0),"P",""))</f>
        <v/>
      </c>
      <c r="I99" s="25" t="str">
        <f aca="false">IF($A99="","",IF(AND(N(Actividades!$E50)&gt;0,I$4&gt;=Actividades!$E50,MOD(I$4-Actividades!$E50,IFERROR(VLOOKUP(Actividades!$D50,Listas!$A$2:$B$8,2,0),52))=0),"P",""))</f>
        <v/>
      </c>
      <c r="J99" s="25" t="str">
        <f aca="false">IF($A99="","",IF(AND(N(Actividades!$E50)&gt;0,J$4&gt;=Actividades!$E50,MOD(J$4-Actividades!$E50,IFERROR(VLOOKUP(Actividades!$D50,Listas!$A$2:$B$8,2,0),52))=0),"P",""))</f>
        <v/>
      </c>
      <c r="K99" s="25" t="str">
        <f aca="false">IF($A99="","",IF(AND(N(Actividades!$E50)&gt;0,K$4&gt;=Actividades!$E50,MOD(K$4-Actividades!$E50,IFERROR(VLOOKUP(Actividades!$D50,Listas!$A$2:$B$8,2,0),52))=0),"P",""))</f>
        <v/>
      </c>
      <c r="L99" s="25" t="str">
        <f aca="false">IF($A99="","",IF(AND(N(Actividades!$E50)&gt;0,L$4&gt;=Actividades!$E50,MOD(L$4-Actividades!$E50,IFERROR(VLOOKUP(Actividades!$D50,Listas!$A$2:$B$8,2,0),52))=0),"P",""))</f>
        <v/>
      </c>
      <c r="M99" s="25" t="str">
        <f aca="false">IF($A99="","",IF(AND(N(Actividades!$E50)&gt;0,M$4&gt;=Actividades!$E50,MOD(M$4-Actividades!$E50,IFERROR(VLOOKUP(Actividades!$D50,Listas!$A$2:$B$8,2,0),52))=0),"P",""))</f>
        <v/>
      </c>
      <c r="N99" s="25" t="str">
        <f aca="false">IF($A99="","",IF(AND(N(Actividades!$E50)&gt;0,N$4&gt;=Actividades!$E50,MOD(N$4-Actividades!$E50,IFERROR(VLOOKUP(Actividades!$D50,Listas!$A$2:$B$8,2,0),52))=0),"P",""))</f>
        <v/>
      </c>
      <c r="O99" s="25" t="str">
        <f aca="false">IF($A99="","",IF(AND(N(Actividades!$E50)&gt;0,O$4&gt;=Actividades!$E50,MOD(O$4-Actividades!$E50,IFERROR(VLOOKUP(Actividades!$D50,Listas!$A$2:$B$8,2,0),52))=0),"P",""))</f>
        <v/>
      </c>
      <c r="P99" s="25" t="str">
        <f aca="false">IF($A99="","",IF(AND(N(Actividades!$E50)&gt;0,P$4&gt;=Actividades!$E50,MOD(P$4-Actividades!$E50,IFERROR(VLOOKUP(Actividades!$D50,Listas!$A$2:$B$8,2,0),52))=0),"P",""))</f>
        <v/>
      </c>
      <c r="Q99" s="25" t="str">
        <f aca="false">IF($A99="","",IF(AND(N(Actividades!$E50)&gt;0,Q$4&gt;=Actividades!$E50,MOD(Q$4-Actividades!$E50,IFERROR(VLOOKUP(Actividades!$D50,Listas!$A$2:$B$8,2,0),52))=0),"P",""))</f>
        <v/>
      </c>
      <c r="R99" s="25" t="str">
        <f aca="false">IF($A99="","",IF(AND(N(Actividades!$E50)&gt;0,R$4&gt;=Actividades!$E50,MOD(R$4-Actividades!$E50,IFERROR(VLOOKUP(Actividades!$D50,Listas!$A$2:$B$8,2,0),52))=0),"P",""))</f>
        <v/>
      </c>
      <c r="S99" s="25" t="str">
        <f aca="false">IF($A99="","",IF(AND(N(Actividades!$E50)&gt;0,S$4&gt;=Actividades!$E50,MOD(S$4-Actividades!$E50,IFERROR(VLOOKUP(Actividades!$D50,Listas!$A$2:$B$8,2,0),52))=0),"P",""))</f>
        <v/>
      </c>
      <c r="T99" s="25" t="str">
        <f aca="false">IF($A99="","",IF(AND(N(Actividades!$E50)&gt;0,T$4&gt;=Actividades!$E50,MOD(T$4-Actividades!$E50,IFERROR(VLOOKUP(Actividades!$D50,Listas!$A$2:$B$8,2,0),52))=0),"P",""))</f>
        <v/>
      </c>
      <c r="U99" s="25" t="str">
        <f aca="false">IF($A99="","",IF(AND(N(Actividades!$E50)&gt;0,U$4&gt;=Actividades!$E50,MOD(U$4-Actividades!$E50,IFERROR(VLOOKUP(Actividades!$D50,Listas!$A$2:$B$8,2,0),52))=0),"P",""))</f>
        <v/>
      </c>
      <c r="V99" s="25" t="str">
        <f aca="false">IF($A99="","",IF(AND(N(Actividades!$E50)&gt;0,V$4&gt;=Actividades!$E50,MOD(V$4-Actividades!$E50,IFERROR(VLOOKUP(Actividades!$D50,Listas!$A$2:$B$8,2,0),52))=0),"P",""))</f>
        <v/>
      </c>
      <c r="W99" s="25" t="str">
        <f aca="false">IF($A99="","",IF(AND(N(Actividades!$E50)&gt;0,W$4&gt;=Actividades!$E50,MOD(W$4-Actividades!$E50,IFERROR(VLOOKUP(Actividades!$D50,Listas!$A$2:$B$8,2,0),52))=0),"P",""))</f>
        <v/>
      </c>
      <c r="X99" s="25" t="str">
        <f aca="false">IF($A99="","",IF(AND(N(Actividades!$E50)&gt;0,X$4&gt;=Actividades!$E50,MOD(X$4-Actividades!$E50,IFERROR(VLOOKUP(Actividades!$D50,Listas!$A$2:$B$8,2,0),52))=0),"P",""))</f>
        <v/>
      </c>
      <c r="Y99" s="25" t="str">
        <f aca="false">IF($A99="","",IF(AND(N(Actividades!$E50)&gt;0,Y$4&gt;=Actividades!$E50,MOD(Y$4-Actividades!$E50,IFERROR(VLOOKUP(Actividades!$D50,Listas!$A$2:$B$8,2,0),52))=0),"P",""))</f>
        <v/>
      </c>
      <c r="Z99" s="25" t="str">
        <f aca="false">IF($A99="","",IF(AND(N(Actividades!$E50)&gt;0,Z$4&gt;=Actividades!$E50,MOD(Z$4-Actividades!$E50,IFERROR(VLOOKUP(Actividades!$D50,Listas!$A$2:$B$8,2,0),52))=0),"P",""))</f>
        <v/>
      </c>
      <c r="AA99" s="25" t="str">
        <f aca="false">IF($A99="","",IF(AND(N(Actividades!$E50)&gt;0,AA$4&gt;=Actividades!$E50,MOD(AA$4-Actividades!$E50,IFERROR(VLOOKUP(Actividades!$D50,Listas!$A$2:$B$8,2,0),52))=0),"P",""))</f>
        <v/>
      </c>
      <c r="AB99" s="25" t="str">
        <f aca="false">IF($A99="","",IF(AND(N(Actividades!$E50)&gt;0,AB$4&gt;=Actividades!$E50,MOD(AB$4-Actividades!$E50,IFERROR(VLOOKUP(Actividades!$D50,Listas!$A$2:$B$8,2,0),52))=0),"P",""))</f>
        <v/>
      </c>
      <c r="AC99" s="25" t="str">
        <f aca="false">IF($A99="","",IF(AND(N(Actividades!$E50)&gt;0,AC$4&gt;=Actividades!$E50,MOD(AC$4-Actividades!$E50,IFERROR(VLOOKUP(Actividades!$D50,Listas!$A$2:$B$8,2,0),52))=0),"P",""))</f>
        <v/>
      </c>
      <c r="AD99" s="25" t="str">
        <f aca="false">IF($A99="","",IF(AND(N(Actividades!$E50)&gt;0,AD$4&gt;=Actividades!$E50,MOD(AD$4-Actividades!$E50,IFERROR(VLOOKUP(Actividades!$D50,Listas!$A$2:$B$8,2,0),52))=0),"P",""))</f>
        <v/>
      </c>
      <c r="AE99" s="25" t="str">
        <f aca="false">IF($A99="","",IF(AND(N(Actividades!$E50)&gt;0,AE$4&gt;=Actividades!$E50,MOD(AE$4-Actividades!$E50,IFERROR(VLOOKUP(Actividades!$D50,Listas!$A$2:$B$8,2,0),52))=0),"P",""))</f>
        <v/>
      </c>
      <c r="AF99" s="25" t="str">
        <f aca="false">IF($A99="","",IF(AND(N(Actividades!$E50)&gt;0,AF$4&gt;=Actividades!$E50,MOD(AF$4-Actividades!$E50,IFERROR(VLOOKUP(Actividades!$D50,Listas!$A$2:$B$8,2,0),52))=0),"P",""))</f>
        <v/>
      </c>
      <c r="AG99" s="25" t="str">
        <f aca="false">IF($A99="","",IF(AND(N(Actividades!$E50)&gt;0,AG$4&gt;=Actividades!$E50,MOD(AG$4-Actividades!$E50,IFERROR(VLOOKUP(Actividades!$D50,Listas!$A$2:$B$8,2,0),52))=0),"P",""))</f>
        <v/>
      </c>
      <c r="AH99" s="25" t="str">
        <f aca="false">IF($A99="","",IF(AND(N(Actividades!$E50)&gt;0,AH$4&gt;=Actividades!$E50,MOD(AH$4-Actividades!$E50,IFERROR(VLOOKUP(Actividades!$D50,Listas!$A$2:$B$8,2,0),52))=0),"P",""))</f>
        <v/>
      </c>
      <c r="AI99" s="25" t="str">
        <f aca="false">IF($A99="","",IF(AND(N(Actividades!$E50)&gt;0,AI$4&gt;=Actividades!$E50,MOD(AI$4-Actividades!$E50,IFERROR(VLOOKUP(Actividades!$D50,Listas!$A$2:$B$8,2,0),52))=0),"P",""))</f>
        <v/>
      </c>
      <c r="AJ99" s="25" t="str">
        <f aca="false">IF($A99="","",IF(AND(N(Actividades!$E50)&gt;0,AJ$4&gt;=Actividades!$E50,MOD(AJ$4-Actividades!$E50,IFERROR(VLOOKUP(Actividades!$D50,Listas!$A$2:$B$8,2,0),52))=0),"P",""))</f>
        <v/>
      </c>
      <c r="AK99" s="25" t="str">
        <f aca="false">IF($A99="","",IF(AND(N(Actividades!$E50)&gt;0,AK$4&gt;=Actividades!$E50,MOD(AK$4-Actividades!$E50,IFERROR(VLOOKUP(Actividades!$D50,Listas!$A$2:$B$8,2,0),52))=0),"P",""))</f>
        <v/>
      </c>
      <c r="AL99" s="25" t="str">
        <f aca="false">IF($A99="","",IF(AND(N(Actividades!$E50)&gt;0,AL$4&gt;=Actividades!$E50,MOD(AL$4-Actividades!$E50,IFERROR(VLOOKUP(Actividades!$D50,Listas!$A$2:$B$8,2,0),52))=0),"P",""))</f>
        <v/>
      </c>
      <c r="AM99" s="25" t="str">
        <f aca="false">IF($A99="","",IF(AND(N(Actividades!$E50)&gt;0,AM$4&gt;=Actividades!$E50,MOD(AM$4-Actividades!$E50,IFERROR(VLOOKUP(Actividades!$D50,Listas!$A$2:$B$8,2,0),52))=0),"P",""))</f>
        <v/>
      </c>
      <c r="AN99" s="25" t="str">
        <f aca="false">IF($A99="","",IF(AND(N(Actividades!$E50)&gt;0,AN$4&gt;=Actividades!$E50,MOD(AN$4-Actividades!$E50,IFERROR(VLOOKUP(Actividades!$D50,Listas!$A$2:$B$8,2,0),52))=0),"P",""))</f>
        <v/>
      </c>
      <c r="AO99" s="25" t="str">
        <f aca="false">IF($A99="","",IF(AND(N(Actividades!$E50)&gt;0,AO$4&gt;=Actividades!$E50,MOD(AO$4-Actividades!$E50,IFERROR(VLOOKUP(Actividades!$D50,Listas!$A$2:$B$8,2,0),52))=0),"P",""))</f>
        <v/>
      </c>
      <c r="AP99" s="25" t="str">
        <f aca="false">IF($A99="","",IF(AND(N(Actividades!$E50)&gt;0,AP$4&gt;=Actividades!$E50,MOD(AP$4-Actividades!$E50,IFERROR(VLOOKUP(Actividades!$D50,Listas!$A$2:$B$8,2,0),52))=0),"P",""))</f>
        <v/>
      </c>
      <c r="AQ99" s="25" t="str">
        <f aca="false">IF($A99="","",IF(AND(N(Actividades!$E50)&gt;0,AQ$4&gt;=Actividades!$E50,MOD(AQ$4-Actividades!$E50,IFERROR(VLOOKUP(Actividades!$D50,Listas!$A$2:$B$8,2,0),52))=0),"P",""))</f>
        <v/>
      </c>
      <c r="AR99" s="25" t="str">
        <f aca="false">IF($A99="","",IF(AND(N(Actividades!$E50)&gt;0,AR$4&gt;=Actividades!$E50,MOD(AR$4-Actividades!$E50,IFERROR(VLOOKUP(Actividades!$D50,Listas!$A$2:$B$8,2,0),52))=0),"P",""))</f>
        <v/>
      </c>
      <c r="AS99" s="25" t="str">
        <f aca="false">IF($A99="","",IF(AND(N(Actividades!$E50)&gt;0,AS$4&gt;=Actividades!$E50,MOD(AS$4-Actividades!$E50,IFERROR(VLOOKUP(Actividades!$D50,Listas!$A$2:$B$8,2,0),52))=0),"P",""))</f>
        <v/>
      </c>
      <c r="AT99" s="25" t="str">
        <f aca="false">IF($A99="","",IF(AND(N(Actividades!$E50)&gt;0,AT$4&gt;=Actividades!$E50,MOD(AT$4-Actividades!$E50,IFERROR(VLOOKUP(Actividades!$D50,Listas!$A$2:$B$8,2,0),52))=0),"P",""))</f>
        <v/>
      </c>
      <c r="AU99" s="25" t="str">
        <f aca="false">IF($A99="","",IF(AND(N(Actividades!$E50)&gt;0,AU$4&gt;=Actividades!$E50,MOD(AU$4-Actividades!$E50,IFERROR(VLOOKUP(Actividades!$D50,Listas!$A$2:$B$8,2,0),52))=0),"P",""))</f>
        <v/>
      </c>
      <c r="AV99" s="25" t="str">
        <f aca="false">IF($A99="","",IF(AND(N(Actividades!$E50)&gt;0,AV$4&gt;=Actividades!$E50,MOD(AV$4-Actividades!$E50,IFERROR(VLOOKUP(Actividades!$D50,Listas!$A$2:$B$8,2,0),52))=0),"P",""))</f>
        <v/>
      </c>
      <c r="AW99" s="25" t="str">
        <f aca="false">IF($A99="","",IF(AND(N(Actividades!$E50)&gt;0,AW$4&gt;=Actividades!$E50,MOD(AW$4-Actividades!$E50,IFERROR(VLOOKUP(Actividades!$D50,Listas!$A$2:$B$8,2,0),52))=0),"P",""))</f>
        <v/>
      </c>
      <c r="AX99" s="25" t="str">
        <f aca="false">IF($A99="","",IF(AND(N(Actividades!$E50)&gt;0,AX$4&gt;=Actividades!$E50,MOD(AX$4-Actividades!$E50,IFERROR(VLOOKUP(Actividades!$D50,Listas!$A$2:$B$8,2,0),52))=0),"P",""))</f>
        <v/>
      </c>
      <c r="AY99" s="25" t="str">
        <f aca="false">IF($A99="","",IF(AND(N(Actividades!$E50)&gt;0,AY$4&gt;=Actividades!$E50,MOD(AY$4-Actividades!$E50,IFERROR(VLOOKUP(Actividades!$D50,Listas!$A$2:$B$8,2,0),52))=0),"P",""))</f>
        <v/>
      </c>
      <c r="AZ99" s="25" t="str">
        <f aca="false">IF($A99="","",IF(AND(N(Actividades!$E50)&gt;0,AZ$4&gt;=Actividades!$E50,MOD(AZ$4-Actividades!$E50,IFERROR(VLOOKUP(Actividades!$D50,Listas!$A$2:$B$8,2,0),52))=0),"P",""))</f>
        <v/>
      </c>
      <c r="BA99" s="25" t="str">
        <f aca="false">IF($A99="","",IF(AND(N(Actividades!$E50)&gt;0,BA$4&gt;=Actividades!$E50,MOD(BA$4-Actividades!$E50,IFERROR(VLOOKUP(Actividades!$D50,Listas!$A$2:$B$8,2,0),52))=0),"P",""))</f>
        <v/>
      </c>
      <c r="BB99" s="25" t="str">
        <f aca="false">IF($A99="","",IF(AND(N(Actividades!$E50)&gt;0,BB$4&gt;=Actividades!$E50,MOD(BB$4-Actividades!$E50,IFERROR(VLOOKUP(Actividades!$D50,Listas!$A$2:$B$8,2,0),52))=0),"P",""))</f>
        <v/>
      </c>
      <c r="BC99" s="25" t="str">
        <f aca="false">IF($A99="","",IF(AND(N(Actividades!$E50)&gt;0,BC$4&gt;=Actividades!$E50,MOD(BC$4-Actividades!$E50,IFERROR(VLOOKUP(Actividades!$D50,Listas!$A$2:$B$8,2,0),52))=0),"P",""))</f>
        <v/>
      </c>
      <c r="BD99" s="26" t="str">
        <f aca="false">IF($A99="","",COUNTIF(D99:BC99,"P"))</f>
        <v/>
      </c>
      <c r="BE99" s="26" t="str">
        <f aca="false">IF($A99="","",SUMPRODUCT((D99:BC99="P")*(D100:BC100="✓")))</f>
        <v/>
      </c>
      <c r="BF99" s="27" t="str">
        <f aca="false">IF($A99="","",IF(BD99=0,"",BE99/BD99))</f>
        <v/>
      </c>
    </row>
    <row r="100" customFormat="false" ht="15" hidden="false" customHeight="false" outlineLevel="0" collapsed="false">
      <c r="A100" s="28"/>
      <c r="B100" s="28"/>
      <c r="C100" s="28" t="str">
        <f aca="false">IF($A99="","","Real")</f>
        <v/>
      </c>
      <c r="D100" s="29" t="str">
        <f aca="false">IF($A99="","",IF(COUNTIFS(Historial!$B$3:$B$502,$A99,Historial!$C$3:$C$502,$B99,Historial!$G$3:$G$502,D$4,Historial!$H$3:$H$502,$B$2)&gt;0,"✓",""))</f>
        <v/>
      </c>
      <c r="E100" s="29" t="str">
        <f aca="false">IF($A99="","",IF(COUNTIFS(Historial!$B$3:$B$502,$A99,Historial!$C$3:$C$502,$B99,Historial!$G$3:$G$502,E$4,Historial!$H$3:$H$502,$B$2)&gt;0,"✓",""))</f>
        <v/>
      </c>
      <c r="F100" s="29" t="str">
        <f aca="false">IF($A99="","",IF(COUNTIFS(Historial!$B$3:$B$502,$A99,Historial!$C$3:$C$502,$B99,Historial!$G$3:$G$502,F$4,Historial!$H$3:$H$502,$B$2)&gt;0,"✓",""))</f>
        <v/>
      </c>
      <c r="G100" s="29" t="str">
        <f aca="false">IF($A99="","",IF(COUNTIFS(Historial!$B$3:$B$502,$A99,Historial!$C$3:$C$502,$B99,Historial!$G$3:$G$502,G$4,Historial!$H$3:$H$502,$B$2)&gt;0,"✓",""))</f>
        <v/>
      </c>
      <c r="H100" s="29" t="str">
        <f aca="false">IF($A99="","",IF(COUNTIFS(Historial!$B$3:$B$502,$A99,Historial!$C$3:$C$502,$B99,Historial!$G$3:$G$502,H$4,Historial!$H$3:$H$502,$B$2)&gt;0,"✓",""))</f>
        <v/>
      </c>
      <c r="I100" s="29" t="str">
        <f aca="false">IF($A99="","",IF(COUNTIFS(Historial!$B$3:$B$502,$A99,Historial!$C$3:$C$502,$B99,Historial!$G$3:$G$502,I$4,Historial!$H$3:$H$502,$B$2)&gt;0,"✓",""))</f>
        <v/>
      </c>
      <c r="J100" s="29" t="str">
        <f aca="false">IF($A99="","",IF(COUNTIFS(Historial!$B$3:$B$502,$A99,Historial!$C$3:$C$502,$B99,Historial!$G$3:$G$502,J$4,Historial!$H$3:$H$502,$B$2)&gt;0,"✓",""))</f>
        <v/>
      </c>
      <c r="K100" s="29" t="str">
        <f aca="false">IF($A99="","",IF(COUNTIFS(Historial!$B$3:$B$502,$A99,Historial!$C$3:$C$502,$B99,Historial!$G$3:$G$502,K$4,Historial!$H$3:$H$502,$B$2)&gt;0,"✓",""))</f>
        <v/>
      </c>
      <c r="L100" s="29" t="str">
        <f aca="false">IF($A99="","",IF(COUNTIFS(Historial!$B$3:$B$502,$A99,Historial!$C$3:$C$502,$B99,Historial!$G$3:$G$502,L$4,Historial!$H$3:$H$502,$B$2)&gt;0,"✓",""))</f>
        <v/>
      </c>
      <c r="M100" s="29" t="str">
        <f aca="false">IF($A99="","",IF(COUNTIFS(Historial!$B$3:$B$502,$A99,Historial!$C$3:$C$502,$B99,Historial!$G$3:$G$502,M$4,Historial!$H$3:$H$502,$B$2)&gt;0,"✓",""))</f>
        <v/>
      </c>
      <c r="N100" s="29" t="str">
        <f aca="false">IF($A99="","",IF(COUNTIFS(Historial!$B$3:$B$502,$A99,Historial!$C$3:$C$502,$B99,Historial!$G$3:$G$502,N$4,Historial!$H$3:$H$502,$B$2)&gt;0,"✓",""))</f>
        <v/>
      </c>
      <c r="O100" s="29" t="str">
        <f aca="false">IF($A99="","",IF(COUNTIFS(Historial!$B$3:$B$502,$A99,Historial!$C$3:$C$502,$B99,Historial!$G$3:$G$502,O$4,Historial!$H$3:$H$502,$B$2)&gt;0,"✓",""))</f>
        <v/>
      </c>
      <c r="P100" s="29" t="str">
        <f aca="false">IF($A99="","",IF(COUNTIFS(Historial!$B$3:$B$502,$A99,Historial!$C$3:$C$502,$B99,Historial!$G$3:$G$502,P$4,Historial!$H$3:$H$502,$B$2)&gt;0,"✓",""))</f>
        <v/>
      </c>
      <c r="Q100" s="29" t="str">
        <f aca="false">IF($A99="","",IF(COUNTIFS(Historial!$B$3:$B$502,$A99,Historial!$C$3:$C$502,$B99,Historial!$G$3:$G$502,Q$4,Historial!$H$3:$H$502,$B$2)&gt;0,"✓",""))</f>
        <v/>
      </c>
      <c r="R100" s="29" t="str">
        <f aca="false">IF($A99="","",IF(COUNTIFS(Historial!$B$3:$B$502,$A99,Historial!$C$3:$C$502,$B99,Historial!$G$3:$G$502,R$4,Historial!$H$3:$H$502,$B$2)&gt;0,"✓",""))</f>
        <v/>
      </c>
      <c r="S100" s="29" t="str">
        <f aca="false">IF($A99="","",IF(COUNTIFS(Historial!$B$3:$B$502,$A99,Historial!$C$3:$C$502,$B99,Historial!$G$3:$G$502,S$4,Historial!$H$3:$H$502,$B$2)&gt;0,"✓",""))</f>
        <v/>
      </c>
      <c r="T100" s="29" t="str">
        <f aca="false">IF($A99="","",IF(COUNTIFS(Historial!$B$3:$B$502,$A99,Historial!$C$3:$C$502,$B99,Historial!$G$3:$G$502,T$4,Historial!$H$3:$H$502,$B$2)&gt;0,"✓",""))</f>
        <v/>
      </c>
      <c r="U100" s="29" t="str">
        <f aca="false">IF($A99="","",IF(COUNTIFS(Historial!$B$3:$B$502,$A99,Historial!$C$3:$C$502,$B99,Historial!$G$3:$G$502,U$4,Historial!$H$3:$H$502,$B$2)&gt;0,"✓",""))</f>
        <v/>
      </c>
      <c r="V100" s="29" t="str">
        <f aca="false">IF($A99="","",IF(COUNTIFS(Historial!$B$3:$B$502,$A99,Historial!$C$3:$C$502,$B99,Historial!$G$3:$G$502,V$4,Historial!$H$3:$H$502,$B$2)&gt;0,"✓",""))</f>
        <v/>
      </c>
      <c r="W100" s="29" t="str">
        <f aca="false">IF($A99="","",IF(COUNTIFS(Historial!$B$3:$B$502,$A99,Historial!$C$3:$C$502,$B99,Historial!$G$3:$G$502,W$4,Historial!$H$3:$H$502,$B$2)&gt;0,"✓",""))</f>
        <v/>
      </c>
      <c r="X100" s="29" t="str">
        <f aca="false">IF($A99="","",IF(COUNTIFS(Historial!$B$3:$B$502,$A99,Historial!$C$3:$C$502,$B99,Historial!$G$3:$G$502,X$4,Historial!$H$3:$H$502,$B$2)&gt;0,"✓",""))</f>
        <v/>
      </c>
      <c r="Y100" s="29" t="str">
        <f aca="false">IF($A99="","",IF(COUNTIFS(Historial!$B$3:$B$502,$A99,Historial!$C$3:$C$502,$B99,Historial!$G$3:$G$502,Y$4,Historial!$H$3:$H$502,$B$2)&gt;0,"✓",""))</f>
        <v/>
      </c>
      <c r="Z100" s="29" t="str">
        <f aca="false">IF($A99="","",IF(COUNTIFS(Historial!$B$3:$B$502,$A99,Historial!$C$3:$C$502,$B99,Historial!$G$3:$G$502,Z$4,Historial!$H$3:$H$502,$B$2)&gt;0,"✓",""))</f>
        <v/>
      </c>
      <c r="AA100" s="29" t="str">
        <f aca="false">IF($A99="","",IF(COUNTIFS(Historial!$B$3:$B$502,$A99,Historial!$C$3:$C$502,$B99,Historial!$G$3:$G$502,AA$4,Historial!$H$3:$H$502,$B$2)&gt;0,"✓",""))</f>
        <v/>
      </c>
      <c r="AB100" s="29" t="str">
        <f aca="false">IF($A99="","",IF(COUNTIFS(Historial!$B$3:$B$502,$A99,Historial!$C$3:$C$502,$B99,Historial!$G$3:$G$502,AB$4,Historial!$H$3:$H$502,$B$2)&gt;0,"✓",""))</f>
        <v/>
      </c>
      <c r="AC100" s="29" t="str">
        <f aca="false">IF($A99="","",IF(COUNTIFS(Historial!$B$3:$B$502,$A99,Historial!$C$3:$C$502,$B99,Historial!$G$3:$G$502,AC$4,Historial!$H$3:$H$502,$B$2)&gt;0,"✓",""))</f>
        <v/>
      </c>
      <c r="AD100" s="29" t="str">
        <f aca="false">IF($A99="","",IF(COUNTIFS(Historial!$B$3:$B$502,$A99,Historial!$C$3:$C$502,$B99,Historial!$G$3:$G$502,AD$4,Historial!$H$3:$H$502,$B$2)&gt;0,"✓",""))</f>
        <v/>
      </c>
      <c r="AE100" s="29" t="str">
        <f aca="false">IF($A99="","",IF(COUNTIFS(Historial!$B$3:$B$502,$A99,Historial!$C$3:$C$502,$B99,Historial!$G$3:$G$502,AE$4,Historial!$H$3:$H$502,$B$2)&gt;0,"✓",""))</f>
        <v/>
      </c>
      <c r="AF100" s="29" t="str">
        <f aca="false">IF($A99="","",IF(COUNTIFS(Historial!$B$3:$B$502,$A99,Historial!$C$3:$C$502,$B99,Historial!$G$3:$G$502,AF$4,Historial!$H$3:$H$502,$B$2)&gt;0,"✓",""))</f>
        <v/>
      </c>
      <c r="AG100" s="29" t="str">
        <f aca="false">IF($A99="","",IF(COUNTIFS(Historial!$B$3:$B$502,$A99,Historial!$C$3:$C$502,$B99,Historial!$G$3:$G$502,AG$4,Historial!$H$3:$H$502,$B$2)&gt;0,"✓",""))</f>
        <v/>
      </c>
      <c r="AH100" s="29" t="str">
        <f aca="false">IF($A99="","",IF(COUNTIFS(Historial!$B$3:$B$502,$A99,Historial!$C$3:$C$502,$B99,Historial!$G$3:$G$502,AH$4,Historial!$H$3:$H$502,$B$2)&gt;0,"✓",""))</f>
        <v/>
      </c>
      <c r="AI100" s="29" t="str">
        <f aca="false">IF($A99="","",IF(COUNTIFS(Historial!$B$3:$B$502,$A99,Historial!$C$3:$C$502,$B99,Historial!$G$3:$G$502,AI$4,Historial!$H$3:$H$502,$B$2)&gt;0,"✓",""))</f>
        <v/>
      </c>
      <c r="AJ100" s="29" t="str">
        <f aca="false">IF($A99="","",IF(COUNTIFS(Historial!$B$3:$B$502,$A99,Historial!$C$3:$C$502,$B99,Historial!$G$3:$G$502,AJ$4,Historial!$H$3:$H$502,$B$2)&gt;0,"✓",""))</f>
        <v/>
      </c>
      <c r="AK100" s="29" t="str">
        <f aca="false">IF($A99="","",IF(COUNTIFS(Historial!$B$3:$B$502,$A99,Historial!$C$3:$C$502,$B99,Historial!$G$3:$G$502,AK$4,Historial!$H$3:$H$502,$B$2)&gt;0,"✓",""))</f>
        <v/>
      </c>
      <c r="AL100" s="29" t="str">
        <f aca="false">IF($A99="","",IF(COUNTIFS(Historial!$B$3:$B$502,$A99,Historial!$C$3:$C$502,$B99,Historial!$G$3:$G$502,AL$4,Historial!$H$3:$H$502,$B$2)&gt;0,"✓",""))</f>
        <v/>
      </c>
      <c r="AM100" s="29" t="str">
        <f aca="false">IF($A99="","",IF(COUNTIFS(Historial!$B$3:$B$502,$A99,Historial!$C$3:$C$502,$B99,Historial!$G$3:$G$502,AM$4,Historial!$H$3:$H$502,$B$2)&gt;0,"✓",""))</f>
        <v/>
      </c>
      <c r="AN100" s="29" t="str">
        <f aca="false">IF($A99="","",IF(COUNTIFS(Historial!$B$3:$B$502,$A99,Historial!$C$3:$C$502,$B99,Historial!$G$3:$G$502,AN$4,Historial!$H$3:$H$502,$B$2)&gt;0,"✓",""))</f>
        <v/>
      </c>
      <c r="AO100" s="29" t="str">
        <f aca="false">IF($A99="","",IF(COUNTIFS(Historial!$B$3:$B$502,$A99,Historial!$C$3:$C$502,$B99,Historial!$G$3:$G$502,AO$4,Historial!$H$3:$H$502,$B$2)&gt;0,"✓",""))</f>
        <v/>
      </c>
      <c r="AP100" s="29" t="str">
        <f aca="false">IF($A99="","",IF(COUNTIFS(Historial!$B$3:$B$502,$A99,Historial!$C$3:$C$502,$B99,Historial!$G$3:$G$502,AP$4,Historial!$H$3:$H$502,$B$2)&gt;0,"✓",""))</f>
        <v/>
      </c>
      <c r="AQ100" s="29" t="str">
        <f aca="false">IF($A99="","",IF(COUNTIFS(Historial!$B$3:$B$502,$A99,Historial!$C$3:$C$502,$B99,Historial!$G$3:$G$502,AQ$4,Historial!$H$3:$H$502,$B$2)&gt;0,"✓",""))</f>
        <v/>
      </c>
      <c r="AR100" s="29" t="str">
        <f aca="false">IF($A99="","",IF(COUNTIFS(Historial!$B$3:$B$502,$A99,Historial!$C$3:$C$502,$B99,Historial!$G$3:$G$502,AR$4,Historial!$H$3:$H$502,$B$2)&gt;0,"✓",""))</f>
        <v/>
      </c>
      <c r="AS100" s="29" t="str">
        <f aca="false">IF($A99="","",IF(COUNTIFS(Historial!$B$3:$B$502,$A99,Historial!$C$3:$C$502,$B99,Historial!$G$3:$G$502,AS$4,Historial!$H$3:$H$502,$B$2)&gt;0,"✓",""))</f>
        <v/>
      </c>
      <c r="AT100" s="29" t="str">
        <f aca="false">IF($A99="","",IF(COUNTIFS(Historial!$B$3:$B$502,$A99,Historial!$C$3:$C$502,$B99,Historial!$G$3:$G$502,AT$4,Historial!$H$3:$H$502,$B$2)&gt;0,"✓",""))</f>
        <v/>
      </c>
      <c r="AU100" s="29" t="str">
        <f aca="false">IF($A99="","",IF(COUNTIFS(Historial!$B$3:$B$502,$A99,Historial!$C$3:$C$502,$B99,Historial!$G$3:$G$502,AU$4,Historial!$H$3:$H$502,$B$2)&gt;0,"✓",""))</f>
        <v/>
      </c>
      <c r="AV100" s="29" t="str">
        <f aca="false">IF($A99="","",IF(COUNTIFS(Historial!$B$3:$B$502,$A99,Historial!$C$3:$C$502,$B99,Historial!$G$3:$G$502,AV$4,Historial!$H$3:$H$502,$B$2)&gt;0,"✓",""))</f>
        <v/>
      </c>
      <c r="AW100" s="29" t="str">
        <f aca="false">IF($A99="","",IF(COUNTIFS(Historial!$B$3:$B$502,$A99,Historial!$C$3:$C$502,$B99,Historial!$G$3:$G$502,AW$4,Historial!$H$3:$H$502,$B$2)&gt;0,"✓",""))</f>
        <v/>
      </c>
      <c r="AX100" s="29" t="str">
        <f aca="false">IF($A99="","",IF(COUNTIFS(Historial!$B$3:$B$502,$A99,Historial!$C$3:$C$502,$B99,Historial!$G$3:$G$502,AX$4,Historial!$H$3:$H$502,$B$2)&gt;0,"✓",""))</f>
        <v/>
      </c>
      <c r="AY100" s="29" t="str">
        <f aca="false">IF($A99="","",IF(COUNTIFS(Historial!$B$3:$B$502,$A99,Historial!$C$3:$C$502,$B99,Historial!$G$3:$G$502,AY$4,Historial!$H$3:$H$502,$B$2)&gt;0,"✓",""))</f>
        <v/>
      </c>
      <c r="AZ100" s="29" t="str">
        <f aca="false">IF($A99="","",IF(COUNTIFS(Historial!$B$3:$B$502,$A99,Historial!$C$3:$C$502,$B99,Historial!$G$3:$G$502,AZ$4,Historial!$H$3:$H$502,$B$2)&gt;0,"✓",""))</f>
        <v/>
      </c>
      <c r="BA100" s="29" t="str">
        <f aca="false">IF($A99="","",IF(COUNTIFS(Historial!$B$3:$B$502,$A99,Historial!$C$3:$C$502,$B99,Historial!$G$3:$G$502,BA$4,Historial!$H$3:$H$502,$B$2)&gt;0,"✓",""))</f>
        <v/>
      </c>
      <c r="BB100" s="29" t="str">
        <f aca="false">IF($A99="","",IF(COUNTIFS(Historial!$B$3:$B$502,$A99,Historial!$C$3:$C$502,$B99,Historial!$G$3:$G$502,BB$4,Historial!$H$3:$H$502,$B$2)&gt;0,"✓",""))</f>
        <v/>
      </c>
      <c r="BC100" s="29" t="str">
        <f aca="false">IF($A99="","",IF(COUNTIFS(Historial!$B$3:$B$502,$A99,Historial!$C$3:$C$502,$B99,Historial!$G$3:$G$502,BC$4,Historial!$H$3:$H$502,$B$2)&gt;0,"✓",""))</f>
        <v/>
      </c>
      <c r="BD100" s="29"/>
      <c r="BE100" s="29"/>
      <c r="BF100" s="29"/>
    </row>
    <row r="101" customFormat="false" ht="15" hidden="false" customHeight="false" outlineLevel="0" collapsed="false">
      <c r="A101" s="24" t="str">
        <f aca="false">IF(Actividades!$B51="","",Actividades!$B51)</f>
        <v/>
      </c>
      <c r="B101" s="24" t="str">
        <f aca="false">IF(Actividades!$C51="","",Actividades!$C51)</f>
        <v/>
      </c>
      <c r="C101" s="24" t="str">
        <f aca="false">IF($A101="","","Plan")</f>
        <v/>
      </c>
      <c r="D101" s="25" t="str">
        <f aca="false">IF($A101="","",IF(AND(N(Actividades!$E51)&gt;0,D$4&gt;=Actividades!$E51,MOD(D$4-Actividades!$E51,IFERROR(VLOOKUP(Actividades!$D51,Listas!$A$2:$B$8,2,0),52))=0),"P",""))</f>
        <v/>
      </c>
      <c r="E101" s="25" t="str">
        <f aca="false">IF($A101="","",IF(AND(N(Actividades!$E51)&gt;0,E$4&gt;=Actividades!$E51,MOD(E$4-Actividades!$E51,IFERROR(VLOOKUP(Actividades!$D51,Listas!$A$2:$B$8,2,0),52))=0),"P",""))</f>
        <v/>
      </c>
      <c r="F101" s="25" t="str">
        <f aca="false">IF($A101="","",IF(AND(N(Actividades!$E51)&gt;0,F$4&gt;=Actividades!$E51,MOD(F$4-Actividades!$E51,IFERROR(VLOOKUP(Actividades!$D51,Listas!$A$2:$B$8,2,0),52))=0),"P",""))</f>
        <v/>
      </c>
      <c r="G101" s="25" t="str">
        <f aca="false">IF($A101="","",IF(AND(N(Actividades!$E51)&gt;0,G$4&gt;=Actividades!$E51,MOD(G$4-Actividades!$E51,IFERROR(VLOOKUP(Actividades!$D51,Listas!$A$2:$B$8,2,0),52))=0),"P",""))</f>
        <v/>
      </c>
      <c r="H101" s="25" t="str">
        <f aca="false">IF($A101="","",IF(AND(N(Actividades!$E51)&gt;0,H$4&gt;=Actividades!$E51,MOD(H$4-Actividades!$E51,IFERROR(VLOOKUP(Actividades!$D51,Listas!$A$2:$B$8,2,0),52))=0),"P",""))</f>
        <v/>
      </c>
      <c r="I101" s="25" t="str">
        <f aca="false">IF($A101="","",IF(AND(N(Actividades!$E51)&gt;0,I$4&gt;=Actividades!$E51,MOD(I$4-Actividades!$E51,IFERROR(VLOOKUP(Actividades!$D51,Listas!$A$2:$B$8,2,0),52))=0),"P",""))</f>
        <v/>
      </c>
      <c r="J101" s="25" t="str">
        <f aca="false">IF($A101="","",IF(AND(N(Actividades!$E51)&gt;0,J$4&gt;=Actividades!$E51,MOD(J$4-Actividades!$E51,IFERROR(VLOOKUP(Actividades!$D51,Listas!$A$2:$B$8,2,0),52))=0),"P",""))</f>
        <v/>
      </c>
      <c r="K101" s="25" t="str">
        <f aca="false">IF($A101="","",IF(AND(N(Actividades!$E51)&gt;0,K$4&gt;=Actividades!$E51,MOD(K$4-Actividades!$E51,IFERROR(VLOOKUP(Actividades!$D51,Listas!$A$2:$B$8,2,0),52))=0),"P",""))</f>
        <v/>
      </c>
      <c r="L101" s="25" t="str">
        <f aca="false">IF($A101="","",IF(AND(N(Actividades!$E51)&gt;0,L$4&gt;=Actividades!$E51,MOD(L$4-Actividades!$E51,IFERROR(VLOOKUP(Actividades!$D51,Listas!$A$2:$B$8,2,0),52))=0),"P",""))</f>
        <v/>
      </c>
      <c r="M101" s="25" t="str">
        <f aca="false">IF($A101="","",IF(AND(N(Actividades!$E51)&gt;0,M$4&gt;=Actividades!$E51,MOD(M$4-Actividades!$E51,IFERROR(VLOOKUP(Actividades!$D51,Listas!$A$2:$B$8,2,0),52))=0),"P",""))</f>
        <v/>
      </c>
      <c r="N101" s="25" t="str">
        <f aca="false">IF($A101="","",IF(AND(N(Actividades!$E51)&gt;0,N$4&gt;=Actividades!$E51,MOD(N$4-Actividades!$E51,IFERROR(VLOOKUP(Actividades!$D51,Listas!$A$2:$B$8,2,0),52))=0),"P",""))</f>
        <v/>
      </c>
      <c r="O101" s="25" t="str">
        <f aca="false">IF($A101="","",IF(AND(N(Actividades!$E51)&gt;0,O$4&gt;=Actividades!$E51,MOD(O$4-Actividades!$E51,IFERROR(VLOOKUP(Actividades!$D51,Listas!$A$2:$B$8,2,0),52))=0),"P",""))</f>
        <v/>
      </c>
      <c r="P101" s="25" t="str">
        <f aca="false">IF($A101="","",IF(AND(N(Actividades!$E51)&gt;0,P$4&gt;=Actividades!$E51,MOD(P$4-Actividades!$E51,IFERROR(VLOOKUP(Actividades!$D51,Listas!$A$2:$B$8,2,0),52))=0),"P",""))</f>
        <v/>
      </c>
      <c r="Q101" s="25" t="str">
        <f aca="false">IF($A101="","",IF(AND(N(Actividades!$E51)&gt;0,Q$4&gt;=Actividades!$E51,MOD(Q$4-Actividades!$E51,IFERROR(VLOOKUP(Actividades!$D51,Listas!$A$2:$B$8,2,0),52))=0),"P",""))</f>
        <v/>
      </c>
      <c r="R101" s="25" t="str">
        <f aca="false">IF($A101="","",IF(AND(N(Actividades!$E51)&gt;0,R$4&gt;=Actividades!$E51,MOD(R$4-Actividades!$E51,IFERROR(VLOOKUP(Actividades!$D51,Listas!$A$2:$B$8,2,0),52))=0),"P",""))</f>
        <v/>
      </c>
      <c r="S101" s="25" t="str">
        <f aca="false">IF($A101="","",IF(AND(N(Actividades!$E51)&gt;0,S$4&gt;=Actividades!$E51,MOD(S$4-Actividades!$E51,IFERROR(VLOOKUP(Actividades!$D51,Listas!$A$2:$B$8,2,0),52))=0),"P",""))</f>
        <v/>
      </c>
      <c r="T101" s="25" t="str">
        <f aca="false">IF($A101="","",IF(AND(N(Actividades!$E51)&gt;0,T$4&gt;=Actividades!$E51,MOD(T$4-Actividades!$E51,IFERROR(VLOOKUP(Actividades!$D51,Listas!$A$2:$B$8,2,0),52))=0),"P",""))</f>
        <v/>
      </c>
      <c r="U101" s="25" t="str">
        <f aca="false">IF($A101="","",IF(AND(N(Actividades!$E51)&gt;0,U$4&gt;=Actividades!$E51,MOD(U$4-Actividades!$E51,IFERROR(VLOOKUP(Actividades!$D51,Listas!$A$2:$B$8,2,0),52))=0),"P",""))</f>
        <v/>
      </c>
      <c r="V101" s="25" t="str">
        <f aca="false">IF($A101="","",IF(AND(N(Actividades!$E51)&gt;0,V$4&gt;=Actividades!$E51,MOD(V$4-Actividades!$E51,IFERROR(VLOOKUP(Actividades!$D51,Listas!$A$2:$B$8,2,0),52))=0),"P",""))</f>
        <v/>
      </c>
      <c r="W101" s="25" t="str">
        <f aca="false">IF($A101="","",IF(AND(N(Actividades!$E51)&gt;0,W$4&gt;=Actividades!$E51,MOD(W$4-Actividades!$E51,IFERROR(VLOOKUP(Actividades!$D51,Listas!$A$2:$B$8,2,0),52))=0),"P",""))</f>
        <v/>
      </c>
      <c r="X101" s="25" t="str">
        <f aca="false">IF($A101="","",IF(AND(N(Actividades!$E51)&gt;0,X$4&gt;=Actividades!$E51,MOD(X$4-Actividades!$E51,IFERROR(VLOOKUP(Actividades!$D51,Listas!$A$2:$B$8,2,0),52))=0),"P",""))</f>
        <v/>
      </c>
      <c r="Y101" s="25" t="str">
        <f aca="false">IF($A101="","",IF(AND(N(Actividades!$E51)&gt;0,Y$4&gt;=Actividades!$E51,MOD(Y$4-Actividades!$E51,IFERROR(VLOOKUP(Actividades!$D51,Listas!$A$2:$B$8,2,0),52))=0),"P",""))</f>
        <v/>
      </c>
      <c r="Z101" s="25" t="str">
        <f aca="false">IF($A101="","",IF(AND(N(Actividades!$E51)&gt;0,Z$4&gt;=Actividades!$E51,MOD(Z$4-Actividades!$E51,IFERROR(VLOOKUP(Actividades!$D51,Listas!$A$2:$B$8,2,0),52))=0),"P",""))</f>
        <v/>
      </c>
      <c r="AA101" s="25" t="str">
        <f aca="false">IF($A101="","",IF(AND(N(Actividades!$E51)&gt;0,AA$4&gt;=Actividades!$E51,MOD(AA$4-Actividades!$E51,IFERROR(VLOOKUP(Actividades!$D51,Listas!$A$2:$B$8,2,0),52))=0),"P",""))</f>
        <v/>
      </c>
      <c r="AB101" s="25" t="str">
        <f aca="false">IF($A101="","",IF(AND(N(Actividades!$E51)&gt;0,AB$4&gt;=Actividades!$E51,MOD(AB$4-Actividades!$E51,IFERROR(VLOOKUP(Actividades!$D51,Listas!$A$2:$B$8,2,0),52))=0),"P",""))</f>
        <v/>
      </c>
      <c r="AC101" s="25" t="str">
        <f aca="false">IF($A101="","",IF(AND(N(Actividades!$E51)&gt;0,AC$4&gt;=Actividades!$E51,MOD(AC$4-Actividades!$E51,IFERROR(VLOOKUP(Actividades!$D51,Listas!$A$2:$B$8,2,0),52))=0),"P",""))</f>
        <v/>
      </c>
      <c r="AD101" s="25" t="str">
        <f aca="false">IF($A101="","",IF(AND(N(Actividades!$E51)&gt;0,AD$4&gt;=Actividades!$E51,MOD(AD$4-Actividades!$E51,IFERROR(VLOOKUP(Actividades!$D51,Listas!$A$2:$B$8,2,0),52))=0),"P",""))</f>
        <v/>
      </c>
      <c r="AE101" s="25" t="str">
        <f aca="false">IF($A101="","",IF(AND(N(Actividades!$E51)&gt;0,AE$4&gt;=Actividades!$E51,MOD(AE$4-Actividades!$E51,IFERROR(VLOOKUP(Actividades!$D51,Listas!$A$2:$B$8,2,0),52))=0),"P",""))</f>
        <v/>
      </c>
      <c r="AF101" s="25" t="str">
        <f aca="false">IF($A101="","",IF(AND(N(Actividades!$E51)&gt;0,AF$4&gt;=Actividades!$E51,MOD(AF$4-Actividades!$E51,IFERROR(VLOOKUP(Actividades!$D51,Listas!$A$2:$B$8,2,0),52))=0),"P",""))</f>
        <v/>
      </c>
      <c r="AG101" s="25" t="str">
        <f aca="false">IF($A101="","",IF(AND(N(Actividades!$E51)&gt;0,AG$4&gt;=Actividades!$E51,MOD(AG$4-Actividades!$E51,IFERROR(VLOOKUP(Actividades!$D51,Listas!$A$2:$B$8,2,0),52))=0),"P",""))</f>
        <v/>
      </c>
      <c r="AH101" s="25" t="str">
        <f aca="false">IF($A101="","",IF(AND(N(Actividades!$E51)&gt;0,AH$4&gt;=Actividades!$E51,MOD(AH$4-Actividades!$E51,IFERROR(VLOOKUP(Actividades!$D51,Listas!$A$2:$B$8,2,0),52))=0),"P",""))</f>
        <v/>
      </c>
      <c r="AI101" s="25" t="str">
        <f aca="false">IF($A101="","",IF(AND(N(Actividades!$E51)&gt;0,AI$4&gt;=Actividades!$E51,MOD(AI$4-Actividades!$E51,IFERROR(VLOOKUP(Actividades!$D51,Listas!$A$2:$B$8,2,0),52))=0),"P",""))</f>
        <v/>
      </c>
      <c r="AJ101" s="25" t="str">
        <f aca="false">IF($A101="","",IF(AND(N(Actividades!$E51)&gt;0,AJ$4&gt;=Actividades!$E51,MOD(AJ$4-Actividades!$E51,IFERROR(VLOOKUP(Actividades!$D51,Listas!$A$2:$B$8,2,0),52))=0),"P",""))</f>
        <v/>
      </c>
      <c r="AK101" s="25" t="str">
        <f aca="false">IF($A101="","",IF(AND(N(Actividades!$E51)&gt;0,AK$4&gt;=Actividades!$E51,MOD(AK$4-Actividades!$E51,IFERROR(VLOOKUP(Actividades!$D51,Listas!$A$2:$B$8,2,0),52))=0),"P",""))</f>
        <v/>
      </c>
      <c r="AL101" s="25" t="str">
        <f aca="false">IF($A101="","",IF(AND(N(Actividades!$E51)&gt;0,AL$4&gt;=Actividades!$E51,MOD(AL$4-Actividades!$E51,IFERROR(VLOOKUP(Actividades!$D51,Listas!$A$2:$B$8,2,0),52))=0),"P",""))</f>
        <v/>
      </c>
      <c r="AM101" s="25" t="str">
        <f aca="false">IF($A101="","",IF(AND(N(Actividades!$E51)&gt;0,AM$4&gt;=Actividades!$E51,MOD(AM$4-Actividades!$E51,IFERROR(VLOOKUP(Actividades!$D51,Listas!$A$2:$B$8,2,0),52))=0),"P",""))</f>
        <v/>
      </c>
      <c r="AN101" s="25" t="str">
        <f aca="false">IF($A101="","",IF(AND(N(Actividades!$E51)&gt;0,AN$4&gt;=Actividades!$E51,MOD(AN$4-Actividades!$E51,IFERROR(VLOOKUP(Actividades!$D51,Listas!$A$2:$B$8,2,0),52))=0),"P",""))</f>
        <v/>
      </c>
      <c r="AO101" s="25" t="str">
        <f aca="false">IF($A101="","",IF(AND(N(Actividades!$E51)&gt;0,AO$4&gt;=Actividades!$E51,MOD(AO$4-Actividades!$E51,IFERROR(VLOOKUP(Actividades!$D51,Listas!$A$2:$B$8,2,0),52))=0),"P",""))</f>
        <v/>
      </c>
      <c r="AP101" s="25" t="str">
        <f aca="false">IF($A101="","",IF(AND(N(Actividades!$E51)&gt;0,AP$4&gt;=Actividades!$E51,MOD(AP$4-Actividades!$E51,IFERROR(VLOOKUP(Actividades!$D51,Listas!$A$2:$B$8,2,0),52))=0),"P",""))</f>
        <v/>
      </c>
      <c r="AQ101" s="25" t="str">
        <f aca="false">IF($A101="","",IF(AND(N(Actividades!$E51)&gt;0,AQ$4&gt;=Actividades!$E51,MOD(AQ$4-Actividades!$E51,IFERROR(VLOOKUP(Actividades!$D51,Listas!$A$2:$B$8,2,0),52))=0),"P",""))</f>
        <v/>
      </c>
      <c r="AR101" s="25" t="str">
        <f aca="false">IF($A101="","",IF(AND(N(Actividades!$E51)&gt;0,AR$4&gt;=Actividades!$E51,MOD(AR$4-Actividades!$E51,IFERROR(VLOOKUP(Actividades!$D51,Listas!$A$2:$B$8,2,0),52))=0),"P",""))</f>
        <v/>
      </c>
      <c r="AS101" s="25" t="str">
        <f aca="false">IF($A101="","",IF(AND(N(Actividades!$E51)&gt;0,AS$4&gt;=Actividades!$E51,MOD(AS$4-Actividades!$E51,IFERROR(VLOOKUP(Actividades!$D51,Listas!$A$2:$B$8,2,0),52))=0),"P",""))</f>
        <v/>
      </c>
      <c r="AT101" s="25" t="str">
        <f aca="false">IF($A101="","",IF(AND(N(Actividades!$E51)&gt;0,AT$4&gt;=Actividades!$E51,MOD(AT$4-Actividades!$E51,IFERROR(VLOOKUP(Actividades!$D51,Listas!$A$2:$B$8,2,0),52))=0),"P",""))</f>
        <v/>
      </c>
      <c r="AU101" s="25" t="str">
        <f aca="false">IF($A101="","",IF(AND(N(Actividades!$E51)&gt;0,AU$4&gt;=Actividades!$E51,MOD(AU$4-Actividades!$E51,IFERROR(VLOOKUP(Actividades!$D51,Listas!$A$2:$B$8,2,0),52))=0),"P",""))</f>
        <v/>
      </c>
      <c r="AV101" s="25" t="str">
        <f aca="false">IF($A101="","",IF(AND(N(Actividades!$E51)&gt;0,AV$4&gt;=Actividades!$E51,MOD(AV$4-Actividades!$E51,IFERROR(VLOOKUP(Actividades!$D51,Listas!$A$2:$B$8,2,0),52))=0),"P",""))</f>
        <v/>
      </c>
      <c r="AW101" s="25" t="str">
        <f aca="false">IF($A101="","",IF(AND(N(Actividades!$E51)&gt;0,AW$4&gt;=Actividades!$E51,MOD(AW$4-Actividades!$E51,IFERROR(VLOOKUP(Actividades!$D51,Listas!$A$2:$B$8,2,0),52))=0),"P",""))</f>
        <v/>
      </c>
      <c r="AX101" s="25" t="str">
        <f aca="false">IF($A101="","",IF(AND(N(Actividades!$E51)&gt;0,AX$4&gt;=Actividades!$E51,MOD(AX$4-Actividades!$E51,IFERROR(VLOOKUP(Actividades!$D51,Listas!$A$2:$B$8,2,0),52))=0),"P",""))</f>
        <v/>
      </c>
      <c r="AY101" s="25" t="str">
        <f aca="false">IF($A101="","",IF(AND(N(Actividades!$E51)&gt;0,AY$4&gt;=Actividades!$E51,MOD(AY$4-Actividades!$E51,IFERROR(VLOOKUP(Actividades!$D51,Listas!$A$2:$B$8,2,0),52))=0),"P",""))</f>
        <v/>
      </c>
      <c r="AZ101" s="25" t="str">
        <f aca="false">IF($A101="","",IF(AND(N(Actividades!$E51)&gt;0,AZ$4&gt;=Actividades!$E51,MOD(AZ$4-Actividades!$E51,IFERROR(VLOOKUP(Actividades!$D51,Listas!$A$2:$B$8,2,0),52))=0),"P",""))</f>
        <v/>
      </c>
      <c r="BA101" s="25" t="str">
        <f aca="false">IF($A101="","",IF(AND(N(Actividades!$E51)&gt;0,BA$4&gt;=Actividades!$E51,MOD(BA$4-Actividades!$E51,IFERROR(VLOOKUP(Actividades!$D51,Listas!$A$2:$B$8,2,0),52))=0),"P",""))</f>
        <v/>
      </c>
      <c r="BB101" s="25" t="str">
        <f aca="false">IF($A101="","",IF(AND(N(Actividades!$E51)&gt;0,BB$4&gt;=Actividades!$E51,MOD(BB$4-Actividades!$E51,IFERROR(VLOOKUP(Actividades!$D51,Listas!$A$2:$B$8,2,0),52))=0),"P",""))</f>
        <v/>
      </c>
      <c r="BC101" s="25" t="str">
        <f aca="false">IF($A101="","",IF(AND(N(Actividades!$E51)&gt;0,BC$4&gt;=Actividades!$E51,MOD(BC$4-Actividades!$E51,IFERROR(VLOOKUP(Actividades!$D51,Listas!$A$2:$B$8,2,0),52))=0),"P",""))</f>
        <v/>
      </c>
      <c r="BD101" s="26" t="str">
        <f aca="false">IF($A101="","",COUNTIF(D101:BC101,"P"))</f>
        <v/>
      </c>
      <c r="BE101" s="26" t="str">
        <f aca="false">IF($A101="","",SUMPRODUCT((D101:BC101="P")*(D102:BC102="✓")))</f>
        <v/>
      </c>
      <c r="BF101" s="27" t="str">
        <f aca="false">IF($A101="","",IF(BD101=0,"",BE101/BD101))</f>
        <v/>
      </c>
    </row>
    <row r="102" customFormat="false" ht="15" hidden="false" customHeight="false" outlineLevel="0" collapsed="false">
      <c r="A102" s="28"/>
      <c r="B102" s="28"/>
      <c r="C102" s="28" t="str">
        <f aca="false">IF($A101="","","Real")</f>
        <v/>
      </c>
      <c r="D102" s="29" t="str">
        <f aca="false">IF($A101="","",IF(COUNTIFS(Historial!$B$3:$B$502,$A101,Historial!$C$3:$C$502,$B101,Historial!$G$3:$G$502,D$4,Historial!$H$3:$H$502,$B$2)&gt;0,"✓",""))</f>
        <v/>
      </c>
      <c r="E102" s="29" t="str">
        <f aca="false">IF($A101="","",IF(COUNTIFS(Historial!$B$3:$B$502,$A101,Historial!$C$3:$C$502,$B101,Historial!$G$3:$G$502,E$4,Historial!$H$3:$H$502,$B$2)&gt;0,"✓",""))</f>
        <v/>
      </c>
      <c r="F102" s="29" t="str">
        <f aca="false">IF($A101="","",IF(COUNTIFS(Historial!$B$3:$B$502,$A101,Historial!$C$3:$C$502,$B101,Historial!$G$3:$G$502,F$4,Historial!$H$3:$H$502,$B$2)&gt;0,"✓",""))</f>
        <v/>
      </c>
      <c r="G102" s="29" t="str">
        <f aca="false">IF($A101="","",IF(COUNTIFS(Historial!$B$3:$B$502,$A101,Historial!$C$3:$C$502,$B101,Historial!$G$3:$G$502,G$4,Historial!$H$3:$H$502,$B$2)&gt;0,"✓",""))</f>
        <v/>
      </c>
      <c r="H102" s="29" t="str">
        <f aca="false">IF($A101="","",IF(COUNTIFS(Historial!$B$3:$B$502,$A101,Historial!$C$3:$C$502,$B101,Historial!$G$3:$G$502,H$4,Historial!$H$3:$H$502,$B$2)&gt;0,"✓",""))</f>
        <v/>
      </c>
      <c r="I102" s="29" t="str">
        <f aca="false">IF($A101="","",IF(COUNTIFS(Historial!$B$3:$B$502,$A101,Historial!$C$3:$C$502,$B101,Historial!$G$3:$G$502,I$4,Historial!$H$3:$H$502,$B$2)&gt;0,"✓",""))</f>
        <v/>
      </c>
      <c r="J102" s="29" t="str">
        <f aca="false">IF($A101="","",IF(COUNTIFS(Historial!$B$3:$B$502,$A101,Historial!$C$3:$C$502,$B101,Historial!$G$3:$G$502,J$4,Historial!$H$3:$H$502,$B$2)&gt;0,"✓",""))</f>
        <v/>
      </c>
      <c r="K102" s="29" t="str">
        <f aca="false">IF($A101="","",IF(COUNTIFS(Historial!$B$3:$B$502,$A101,Historial!$C$3:$C$502,$B101,Historial!$G$3:$G$502,K$4,Historial!$H$3:$H$502,$B$2)&gt;0,"✓",""))</f>
        <v/>
      </c>
      <c r="L102" s="29" t="str">
        <f aca="false">IF($A101="","",IF(COUNTIFS(Historial!$B$3:$B$502,$A101,Historial!$C$3:$C$502,$B101,Historial!$G$3:$G$502,L$4,Historial!$H$3:$H$502,$B$2)&gt;0,"✓",""))</f>
        <v/>
      </c>
      <c r="M102" s="29" t="str">
        <f aca="false">IF($A101="","",IF(COUNTIFS(Historial!$B$3:$B$502,$A101,Historial!$C$3:$C$502,$B101,Historial!$G$3:$G$502,M$4,Historial!$H$3:$H$502,$B$2)&gt;0,"✓",""))</f>
        <v/>
      </c>
      <c r="N102" s="29" t="str">
        <f aca="false">IF($A101="","",IF(COUNTIFS(Historial!$B$3:$B$502,$A101,Historial!$C$3:$C$502,$B101,Historial!$G$3:$G$502,N$4,Historial!$H$3:$H$502,$B$2)&gt;0,"✓",""))</f>
        <v/>
      </c>
      <c r="O102" s="29" t="str">
        <f aca="false">IF($A101="","",IF(COUNTIFS(Historial!$B$3:$B$502,$A101,Historial!$C$3:$C$502,$B101,Historial!$G$3:$G$502,O$4,Historial!$H$3:$H$502,$B$2)&gt;0,"✓",""))</f>
        <v/>
      </c>
      <c r="P102" s="29" t="str">
        <f aca="false">IF($A101="","",IF(COUNTIFS(Historial!$B$3:$B$502,$A101,Historial!$C$3:$C$502,$B101,Historial!$G$3:$G$502,P$4,Historial!$H$3:$H$502,$B$2)&gt;0,"✓",""))</f>
        <v/>
      </c>
      <c r="Q102" s="29" t="str">
        <f aca="false">IF($A101="","",IF(COUNTIFS(Historial!$B$3:$B$502,$A101,Historial!$C$3:$C$502,$B101,Historial!$G$3:$G$502,Q$4,Historial!$H$3:$H$502,$B$2)&gt;0,"✓",""))</f>
        <v/>
      </c>
      <c r="R102" s="29" t="str">
        <f aca="false">IF($A101="","",IF(COUNTIFS(Historial!$B$3:$B$502,$A101,Historial!$C$3:$C$502,$B101,Historial!$G$3:$G$502,R$4,Historial!$H$3:$H$502,$B$2)&gt;0,"✓",""))</f>
        <v/>
      </c>
      <c r="S102" s="29" t="str">
        <f aca="false">IF($A101="","",IF(COUNTIFS(Historial!$B$3:$B$502,$A101,Historial!$C$3:$C$502,$B101,Historial!$G$3:$G$502,S$4,Historial!$H$3:$H$502,$B$2)&gt;0,"✓",""))</f>
        <v/>
      </c>
      <c r="T102" s="29" t="str">
        <f aca="false">IF($A101="","",IF(COUNTIFS(Historial!$B$3:$B$502,$A101,Historial!$C$3:$C$502,$B101,Historial!$G$3:$G$502,T$4,Historial!$H$3:$H$502,$B$2)&gt;0,"✓",""))</f>
        <v/>
      </c>
      <c r="U102" s="29" t="str">
        <f aca="false">IF($A101="","",IF(COUNTIFS(Historial!$B$3:$B$502,$A101,Historial!$C$3:$C$502,$B101,Historial!$G$3:$G$502,U$4,Historial!$H$3:$H$502,$B$2)&gt;0,"✓",""))</f>
        <v/>
      </c>
      <c r="V102" s="29" t="str">
        <f aca="false">IF($A101="","",IF(COUNTIFS(Historial!$B$3:$B$502,$A101,Historial!$C$3:$C$502,$B101,Historial!$G$3:$G$502,V$4,Historial!$H$3:$H$502,$B$2)&gt;0,"✓",""))</f>
        <v/>
      </c>
      <c r="W102" s="29" t="str">
        <f aca="false">IF($A101="","",IF(COUNTIFS(Historial!$B$3:$B$502,$A101,Historial!$C$3:$C$502,$B101,Historial!$G$3:$G$502,W$4,Historial!$H$3:$H$502,$B$2)&gt;0,"✓",""))</f>
        <v/>
      </c>
      <c r="X102" s="29" t="str">
        <f aca="false">IF($A101="","",IF(COUNTIFS(Historial!$B$3:$B$502,$A101,Historial!$C$3:$C$502,$B101,Historial!$G$3:$G$502,X$4,Historial!$H$3:$H$502,$B$2)&gt;0,"✓",""))</f>
        <v/>
      </c>
      <c r="Y102" s="29" t="str">
        <f aca="false">IF($A101="","",IF(COUNTIFS(Historial!$B$3:$B$502,$A101,Historial!$C$3:$C$502,$B101,Historial!$G$3:$G$502,Y$4,Historial!$H$3:$H$502,$B$2)&gt;0,"✓",""))</f>
        <v/>
      </c>
      <c r="Z102" s="29" t="str">
        <f aca="false">IF($A101="","",IF(COUNTIFS(Historial!$B$3:$B$502,$A101,Historial!$C$3:$C$502,$B101,Historial!$G$3:$G$502,Z$4,Historial!$H$3:$H$502,$B$2)&gt;0,"✓",""))</f>
        <v/>
      </c>
      <c r="AA102" s="29" t="str">
        <f aca="false">IF($A101="","",IF(COUNTIFS(Historial!$B$3:$B$502,$A101,Historial!$C$3:$C$502,$B101,Historial!$G$3:$G$502,AA$4,Historial!$H$3:$H$502,$B$2)&gt;0,"✓",""))</f>
        <v/>
      </c>
      <c r="AB102" s="29" t="str">
        <f aca="false">IF($A101="","",IF(COUNTIFS(Historial!$B$3:$B$502,$A101,Historial!$C$3:$C$502,$B101,Historial!$G$3:$G$502,AB$4,Historial!$H$3:$H$502,$B$2)&gt;0,"✓",""))</f>
        <v/>
      </c>
      <c r="AC102" s="29" t="str">
        <f aca="false">IF($A101="","",IF(COUNTIFS(Historial!$B$3:$B$502,$A101,Historial!$C$3:$C$502,$B101,Historial!$G$3:$G$502,AC$4,Historial!$H$3:$H$502,$B$2)&gt;0,"✓",""))</f>
        <v/>
      </c>
      <c r="AD102" s="29" t="str">
        <f aca="false">IF($A101="","",IF(COUNTIFS(Historial!$B$3:$B$502,$A101,Historial!$C$3:$C$502,$B101,Historial!$G$3:$G$502,AD$4,Historial!$H$3:$H$502,$B$2)&gt;0,"✓",""))</f>
        <v/>
      </c>
      <c r="AE102" s="29" t="str">
        <f aca="false">IF($A101="","",IF(COUNTIFS(Historial!$B$3:$B$502,$A101,Historial!$C$3:$C$502,$B101,Historial!$G$3:$G$502,AE$4,Historial!$H$3:$H$502,$B$2)&gt;0,"✓",""))</f>
        <v/>
      </c>
      <c r="AF102" s="29" t="str">
        <f aca="false">IF($A101="","",IF(COUNTIFS(Historial!$B$3:$B$502,$A101,Historial!$C$3:$C$502,$B101,Historial!$G$3:$G$502,AF$4,Historial!$H$3:$H$502,$B$2)&gt;0,"✓",""))</f>
        <v/>
      </c>
      <c r="AG102" s="29" t="str">
        <f aca="false">IF($A101="","",IF(COUNTIFS(Historial!$B$3:$B$502,$A101,Historial!$C$3:$C$502,$B101,Historial!$G$3:$G$502,AG$4,Historial!$H$3:$H$502,$B$2)&gt;0,"✓",""))</f>
        <v/>
      </c>
      <c r="AH102" s="29" t="str">
        <f aca="false">IF($A101="","",IF(COUNTIFS(Historial!$B$3:$B$502,$A101,Historial!$C$3:$C$502,$B101,Historial!$G$3:$G$502,AH$4,Historial!$H$3:$H$502,$B$2)&gt;0,"✓",""))</f>
        <v/>
      </c>
      <c r="AI102" s="29" t="str">
        <f aca="false">IF($A101="","",IF(COUNTIFS(Historial!$B$3:$B$502,$A101,Historial!$C$3:$C$502,$B101,Historial!$G$3:$G$502,AI$4,Historial!$H$3:$H$502,$B$2)&gt;0,"✓",""))</f>
        <v/>
      </c>
      <c r="AJ102" s="29" t="str">
        <f aca="false">IF($A101="","",IF(COUNTIFS(Historial!$B$3:$B$502,$A101,Historial!$C$3:$C$502,$B101,Historial!$G$3:$G$502,AJ$4,Historial!$H$3:$H$502,$B$2)&gt;0,"✓",""))</f>
        <v/>
      </c>
      <c r="AK102" s="29" t="str">
        <f aca="false">IF($A101="","",IF(COUNTIFS(Historial!$B$3:$B$502,$A101,Historial!$C$3:$C$502,$B101,Historial!$G$3:$G$502,AK$4,Historial!$H$3:$H$502,$B$2)&gt;0,"✓",""))</f>
        <v/>
      </c>
      <c r="AL102" s="29" t="str">
        <f aca="false">IF($A101="","",IF(COUNTIFS(Historial!$B$3:$B$502,$A101,Historial!$C$3:$C$502,$B101,Historial!$G$3:$G$502,AL$4,Historial!$H$3:$H$502,$B$2)&gt;0,"✓",""))</f>
        <v/>
      </c>
      <c r="AM102" s="29" t="str">
        <f aca="false">IF($A101="","",IF(COUNTIFS(Historial!$B$3:$B$502,$A101,Historial!$C$3:$C$502,$B101,Historial!$G$3:$G$502,AM$4,Historial!$H$3:$H$502,$B$2)&gt;0,"✓",""))</f>
        <v/>
      </c>
      <c r="AN102" s="29" t="str">
        <f aca="false">IF($A101="","",IF(COUNTIFS(Historial!$B$3:$B$502,$A101,Historial!$C$3:$C$502,$B101,Historial!$G$3:$G$502,AN$4,Historial!$H$3:$H$502,$B$2)&gt;0,"✓",""))</f>
        <v/>
      </c>
      <c r="AO102" s="29" t="str">
        <f aca="false">IF($A101="","",IF(COUNTIFS(Historial!$B$3:$B$502,$A101,Historial!$C$3:$C$502,$B101,Historial!$G$3:$G$502,AO$4,Historial!$H$3:$H$502,$B$2)&gt;0,"✓",""))</f>
        <v/>
      </c>
      <c r="AP102" s="29" t="str">
        <f aca="false">IF($A101="","",IF(COUNTIFS(Historial!$B$3:$B$502,$A101,Historial!$C$3:$C$502,$B101,Historial!$G$3:$G$502,AP$4,Historial!$H$3:$H$502,$B$2)&gt;0,"✓",""))</f>
        <v/>
      </c>
      <c r="AQ102" s="29" t="str">
        <f aca="false">IF($A101="","",IF(COUNTIFS(Historial!$B$3:$B$502,$A101,Historial!$C$3:$C$502,$B101,Historial!$G$3:$G$502,AQ$4,Historial!$H$3:$H$502,$B$2)&gt;0,"✓",""))</f>
        <v/>
      </c>
      <c r="AR102" s="29" t="str">
        <f aca="false">IF($A101="","",IF(COUNTIFS(Historial!$B$3:$B$502,$A101,Historial!$C$3:$C$502,$B101,Historial!$G$3:$G$502,AR$4,Historial!$H$3:$H$502,$B$2)&gt;0,"✓",""))</f>
        <v/>
      </c>
      <c r="AS102" s="29" t="str">
        <f aca="false">IF($A101="","",IF(COUNTIFS(Historial!$B$3:$B$502,$A101,Historial!$C$3:$C$502,$B101,Historial!$G$3:$G$502,AS$4,Historial!$H$3:$H$502,$B$2)&gt;0,"✓",""))</f>
        <v/>
      </c>
      <c r="AT102" s="29" t="str">
        <f aca="false">IF($A101="","",IF(COUNTIFS(Historial!$B$3:$B$502,$A101,Historial!$C$3:$C$502,$B101,Historial!$G$3:$G$502,AT$4,Historial!$H$3:$H$502,$B$2)&gt;0,"✓",""))</f>
        <v/>
      </c>
      <c r="AU102" s="29" t="str">
        <f aca="false">IF($A101="","",IF(COUNTIFS(Historial!$B$3:$B$502,$A101,Historial!$C$3:$C$502,$B101,Historial!$G$3:$G$502,AU$4,Historial!$H$3:$H$502,$B$2)&gt;0,"✓",""))</f>
        <v/>
      </c>
      <c r="AV102" s="29" t="str">
        <f aca="false">IF($A101="","",IF(COUNTIFS(Historial!$B$3:$B$502,$A101,Historial!$C$3:$C$502,$B101,Historial!$G$3:$G$502,AV$4,Historial!$H$3:$H$502,$B$2)&gt;0,"✓",""))</f>
        <v/>
      </c>
      <c r="AW102" s="29" t="str">
        <f aca="false">IF($A101="","",IF(COUNTIFS(Historial!$B$3:$B$502,$A101,Historial!$C$3:$C$502,$B101,Historial!$G$3:$G$502,AW$4,Historial!$H$3:$H$502,$B$2)&gt;0,"✓",""))</f>
        <v/>
      </c>
      <c r="AX102" s="29" t="str">
        <f aca="false">IF($A101="","",IF(COUNTIFS(Historial!$B$3:$B$502,$A101,Historial!$C$3:$C$502,$B101,Historial!$G$3:$G$502,AX$4,Historial!$H$3:$H$502,$B$2)&gt;0,"✓",""))</f>
        <v/>
      </c>
      <c r="AY102" s="29" t="str">
        <f aca="false">IF($A101="","",IF(COUNTIFS(Historial!$B$3:$B$502,$A101,Historial!$C$3:$C$502,$B101,Historial!$G$3:$G$502,AY$4,Historial!$H$3:$H$502,$B$2)&gt;0,"✓",""))</f>
        <v/>
      </c>
      <c r="AZ102" s="29" t="str">
        <f aca="false">IF($A101="","",IF(COUNTIFS(Historial!$B$3:$B$502,$A101,Historial!$C$3:$C$502,$B101,Historial!$G$3:$G$502,AZ$4,Historial!$H$3:$H$502,$B$2)&gt;0,"✓",""))</f>
        <v/>
      </c>
      <c r="BA102" s="29" t="str">
        <f aca="false">IF($A101="","",IF(COUNTIFS(Historial!$B$3:$B$502,$A101,Historial!$C$3:$C$502,$B101,Historial!$G$3:$G$502,BA$4,Historial!$H$3:$H$502,$B$2)&gt;0,"✓",""))</f>
        <v/>
      </c>
      <c r="BB102" s="29" t="str">
        <f aca="false">IF($A101="","",IF(COUNTIFS(Historial!$B$3:$B$502,$A101,Historial!$C$3:$C$502,$B101,Historial!$G$3:$G$502,BB$4,Historial!$H$3:$H$502,$B$2)&gt;0,"✓",""))</f>
        <v/>
      </c>
      <c r="BC102" s="29" t="str">
        <f aca="false">IF($A101="","",IF(COUNTIFS(Historial!$B$3:$B$502,$A101,Historial!$C$3:$C$502,$B101,Historial!$G$3:$G$502,BC$4,Historial!$H$3:$H$502,$B$2)&gt;0,"✓",""))</f>
        <v/>
      </c>
      <c r="BD102" s="29"/>
      <c r="BE102" s="29"/>
      <c r="BF102" s="29"/>
    </row>
    <row r="103" customFormat="false" ht="15" hidden="false" customHeight="false" outlineLevel="0" collapsed="false">
      <c r="A103" s="24" t="str">
        <f aca="false">IF(Actividades!$B52="","",Actividades!$B52)</f>
        <v/>
      </c>
      <c r="B103" s="24" t="str">
        <f aca="false">IF(Actividades!$C52="","",Actividades!$C52)</f>
        <v/>
      </c>
      <c r="C103" s="24" t="str">
        <f aca="false">IF($A103="","","Plan")</f>
        <v/>
      </c>
      <c r="D103" s="25" t="str">
        <f aca="false">IF($A103="","",IF(AND(N(Actividades!$E52)&gt;0,D$4&gt;=Actividades!$E52,MOD(D$4-Actividades!$E52,IFERROR(VLOOKUP(Actividades!$D52,Listas!$A$2:$B$8,2,0),52))=0),"P",""))</f>
        <v/>
      </c>
      <c r="E103" s="25" t="str">
        <f aca="false">IF($A103="","",IF(AND(N(Actividades!$E52)&gt;0,E$4&gt;=Actividades!$E52,MOD(E$4-Actividades!$E52,IFERROR(VLOOKUP(Actividades!$D52,Listas!$A$2:$B$8,2,0),52))=0),"P",""))</f>
        <v/>
      </c>
      <c r="F103" s="25" t="str">
        <f aca="false">IF($A103="","",IF(AND(N(Actividades!$E52)&gt;0,F$4&gt;=Actividades!$E52,MOD(F$4-Actividades!$E52,IFERROR(VLOOKUP(Actividades!$D52,Listas!$A$2:$B$8,2,0),52))=0),"P",""))</f>
        <v/>
      </c>
      <c r="G103" s="25" t="str">
        <f aca="false">IF($A103="","",IF(AND(N(Actividades!$E52)&gt;0,G$4&gt;=Actividades!$E52,MOD(G$4-Actividades!$E52,IFERROR(VLOOKUP(Actividades!$D52,Listas!$A$2:$B$8,2,0),52))=0),"P",""))</f>
        <v/>
      </c>
      <c r="H103" s="25" t="str">
        <f aca="false">IF($A103="","",IF(AND(N(Actividades!$E52)&gt;0,H$4&gt;=Actividades!$E52,MOD(H$4-Actividades!$E52,IFERROR(VLOOKUP(Actividades!$D52,Listas!$A$2:$B$8,2,0),52))=0),"P",""))</f>
        <v/>
      </c>
      <c r="I103" s="25" t="str">
        <f aca="false">IF($A103="","",IF(AND(N(Actividades!$E52)&gt;0,I$4&gt;=Actividades!$E52,MOD(I$4-Actividades!$E52,IFERROR(VLOOKUP(Actividades!$D52,Listas!$A$2:$B$8,2,0),52))=0),"P",""))</f>
        <v/>
      </c>
      <c r="J103" s="25" t="str">
        <f aca="false">IF($A103="","",IF(AND(N(Actividades!$E52)&gt;0,J$4&gt;=Actividades!$E52,MOD(J$4-Actividades!$E52,IFERROR(VLOOKUP(Actividades!$D52,Listas!$A$2:$B$8,2,0),52))=0),"P",""))</f>
        <v/>
      </c>
      <c r="K103" s="25" t="str">
        <f aca="false">IF($A103="","",IF(AND(N(Actividades!$E52)&gt;0,K$4&gt;=Actividades!$E52,MOD(K$4-Actividades!$E52,IFERROR(VLOOKUP(Actividades!$D52,Listas!$A$2:$B$8,2,0),52))=0),"P",""))</f>
        <v/>
      </c>
      <c r="L103" s="25" t="str">
        <f aca="false">IF($A103="","",IF(AND(N(Actividades!$E52)&gt;0,L$4&gt;=Actividades!$E52,MOD(L$4-Actividades!$E52,IFERROR(VLOOKUP(Actividades!$D52,Listas!$A$2:$B$8,2,0),52))=0),"P",""))</f>
        <v/>
      </c>
      <c r="M103" s="25" t="str">
        <f aca="false">IF($A103="","",IF(AND(N(Actividades!$E52)&gt;0,M$4&gt;=Actividades!$E52,MOD(M$4-Actividades!$E52,IFERROR(VLOOKUP(Actividades!$D52,Listas!$A$2:$B$8,2,0),52))=0),"P",""))</f>
        <v/>
      </c>
      <c r="N103" s="25" t="str">
        <f aca="false">IF($A103="","",IF(AND(N(Actividades!$E52)&gt;0,N$4&gt;=Actividades!$E52,MOD(N$4-Actividades!$E52,IFERROR(VLOOKUP(Actividades!$D52,Listas!$A$2:$B$8,2,0),52))=0),"P",""))</f>
        <v/>
      </c>
      <c r="O103" s="25" t="str">
        <f aca="false">IF($A103="","",IF(AND(N(Actividades!$E52)&gt;0,O$4&gt;=Actividades!$E52,MOD(O$4-Actividades!$E52,IFERROR(VLOOKUP(Actividades!$D52,Listas!$A$2:$B$8,2,0),52))=0),"P",""))</f>
        <v/>
      </c>
      <c r="P103" s="25" t="str">
        <f aca="false">IF($A103="","",IF(AND(N(Actividades!$E52)&gt;0,P$4&gt;=Actividades!$E52,MOD(P$4-Actividades!$E52,IFERROR(VLOOKUP(Actividades!$D52,Listas!$A$2:$B$8,2,0),52))=0),"P",""))</f>
        <v/>
      </c>
      <c r="Q103" s="25" t="str">
        <f aca="false">IF($A103="","",IF(AND(N(Actividades!$E52)&gt;0,Q$4&gt;=Actividades!$E52,MOD(Q$4-Actividades!$E52,IFERROR(VLOOKUP(Actividades!$D52,Listas!$A$2:$B$8,2,0),52))=0),"P",""))</f>
        <v/>
      </c>
      <c r="R103" s="25" t="str">
        <f aca="false">IF($A103="","",IF(AND(N(Actividades!$E52)&gt;0,R$4&gt;=Actividades!$E52,MOD(R$4-Actividades!$E52,IFERROR(VLOOKUP(Actividades!$D52,Listas!$A$2:$B$8,2,0),52))=0),"P",""))</f>
        <v/>
      </c>
      <c r="S103" s="25" t="str">
        <f aca="false">IF($A103="","",IF(AND(N(Actividades!$E52)&gt;0,S$4&gt;=Actividades!$E52,MOD(S$4-Actividades!$E52,IFERROR(VLOOKUP(Actividades!$D52,Listas!$A$2:$B$8,2,0),52))=0),"P",""))</f>
        <v/>
      </c>
      <c r="T103" s="25" t="str">
        <f aca="false">IF($A103="","",IF(AND(N(Actividades!$E52)&gt;0,T$4&gt;=Actividades!$E52,MOD(T$4-Actividades!$E52,IFERROR(VLOOKUP(Actividades!$D52,Listas!$A$2:$B$8,2,0),52))=0),"P",""))</f>
        <v/>
      </c>
      <c r="U103" s="25" t="str">
        <f aca="false">IF($A103="","",IF(AND(N(Actividades!$E52)&gt;0,U$4&gt;=Actividades!$E52,MOD(U$4-Actividades!$E52,IFERROR(VLOOKUP(Actividades!$D52,Listas!$A$2:$B$8,2,0),52))=0),"P",""))</f>
        <v/>
      </c>
      <c r="V103" s="25" t="str">
        <f aca="false">IF($A103="","",IF(AND(N(Actividades!$E52)&gt;0,V$4&gt;=Actividades!$E52,MOD(V$4-Actividades!$E52,IFERROR(VLOOKUP(Actividades!$D52,Listas!$A$2:$B$8,2,0),52))=0),"P",""))</f>
        <v/>
      </c>
      <c r="W103" s="25" t="str">
        <f aca="false">IF($A103="","",IF(AND(N(Actividades!$E52)&gt;0,W$4&gt;=Actividades!$E52,MOD(W$4-Actividades!$E52,IFERROR(VLOOKUP(Actividades!$D52,Listas!$A$2:$B$8,2,0),52))=0),"P",""))</f>
        <v/>
      </c>
      <c r="X103" s="25" t="str">
        <f aca="false">IF($A103="","",IF(AND(N(Actividades!$E52)&gt;0,X$4&gt;=Actividades!$E52,MOD(X$4-Actividades!$E52,IFERROR(VLOOKUP(Actividades!$D52,Listas!$A$2:$B$8,2,0),52))=0),"P",""))</f>
        <v/>
      </c>
      <c r="Y103" s="25" t="str">
        <f aca="false">IF($A103="","",IF(AND(N(Actividades!$E52)&gt;0,Y$4&gt;=Actividades!$E52,MOD(Y$4-Actividades!$E52,IFERROR(VLOOKUP(Actividades!$D52,Listas!$A$2:$B$8,2,0),52))=0),"P",""))</f>
        <v/>
      </c>
      <c r="Z103" s="25" t="str">
        <f aca="false">IF($A103="","",IF(AND(N(Actividades!$E52)&gt;0,Z$4&gt;=Actividades!$E52,MOD(Z$4-Actividades!$E52,IFERROR(VLOOKUP(Actividades!$D52,Listas!$A$2:$B$8,2,0),52))=0),"P",""))</f>
        <v/>
      </c>
      <c r="AA103" s="25" t="str">
        <f aca="false">IF($A103="","",IF(AND(N(Actividades!$E52)&gt;0,AA$4&gt;=Actividades!$E52,MOD(AA$4-Actividades!$E52,IFERROR(VLOOKUP(Actividades!$D52,Listas!$A$2:$B$8,2,0),52))=0),"P",""))</f>
        <v/>
      </c>
      <c r="AB103" s="25" t="str">
        <f aca="false">IF($A103="","",IF(AND(N(Actividades!$E52)&gt;0,AB$4&gt;=Actividades!$E52,MOD(AB$4-Actividades!$E52,IFERROR(VLOOKUP(Actividades!$D52,Listas!$A$2:$B$8,2,0),52))=0),"P",""))</f>
        <v/>
      </c>
      <c r="AC103" s="25" t="str">
        <f aca="false">IF($A103="","",IF(AND(N(Actividades!$E52)&gt;0,AC$4&gt;=Actividades!$E52,MOD(AC$4-Actividades!$E52,IFERROR(VLOOKUP(Actividades!$D52,Listas!$A$2:$B$8,2,0),52))=0),"P",""))</f>
        <v/>
      </c>
      <c r="AD103" s="25" t="str">
        <f aca="false">IF($A103="","",IF(AND(N(Actividades!$E52)&gt;0,AD$4&gt;=Actividades!$E52,MOD(AD$4-Actividades!$E52,IFERROR(VLOOKUP(Actividades!$D52,Listas!$A$2:$B$8,2,0),52))=0),"P",""))</f>
        <v/>
      </c>
      <c r="AE103" s="25" t="str">
        <f aca="false">IF($A103="","",IF(AND(N(Actividades!$E52)&gt;0,AE$4&gt;=Actividades!$E52,MOD(AE$4-Actividades!$E52,IFERROR(VLOOKUP(Actividades!$D52,Listas!$A$2:$B$8,2,0),52))=0),"P",""))</f>
        <v/>
      </c>
      <c r="AF103" s="25" t="str">
        <f aca="false">IF($A103="","",IF(AND(N(Actividades!$E52)&gt;0,AF$4&gt;=Actividades!$E52,MOD(AF$4-Actividades!$E52,IFERROR(VLOOKUP(Actividades!$D52,Listas!$A$2:$B$8,2,0),52))=0),"P",""))</f>
        <v/>
      </c>
      <c r="AG103" s="25" t="str">
        <f aca="false">IF($A103="","",IF(AND(N(Actividades!$E52)&gt;0,AG$4&gt;=Actividades!$E52,MOD(AG$4-Actividades!$E52,IFERROR(VLOOKUP(Actividades!$D52,Listas!$A$2:$B$8,2,0),52))=0),"P",""))</f>
        <v/>
      </c>
      <c r="AH103" s="25" t="str">
        <f aca="false">IF($A103="","",IF(AND(N(Actividades!$E52)&gt;0,AH$4&gt;=Actividades!$E52,MOD(AH$4-Actividades!$E52,IFERROR(VLOOKUP(Actividades!$D52,Listas!$A$2:$B$8,2,0),52))=0),"P",""))</f>
        <v/>
      </c>
      <c r="AI103" s="25" t="str">
        <f aca="false">IF($A103="","",IF(AND(N(Actividades!$E52)&gt;0,AI$4&gt;=Actividades!$E52,MOD(AI$4-Actividades!$E52,IFERROR(VLOOKUP(Actividades!$D52,Listas!$A$2:$B$8,2,0),52))=0),"P",""))</f>
        <v/>
      </c>
      <c r="AJ103" s="25" t="str">
        <f aca="false">IF($A103="","",IF(AND(N(Actividades!$E52)&gt;0,AJ$4&gt;=Actividades!$E52,MOD(AJ$4-Actividades!$E52,IFERROR(VLOOKUP(Actividades!$D52,Listas!$A$2:$B$8,2,0),52))=0),"P",""))</f>
        <v/>
      </c>
      <c r="AK103" s="25" t="str">
        <f aca="false">IF($A103="","",IF(AND(N(Actividades!$E52)&gt;0,AK$4&gt;=Actividades!$E52,MOD(AK$4-Actividades!$E52,IFERROR(VLOOKUP(Actividades!$D52,Listas!$A$2:$B$8,2,0),52))=0),"P",""))</f>
        <v/>
      </c>
      <c r="AL103" s="25" t="str">
        <f aca="false">IF($A103="","",IF(AND(N(Actividades!$E52)&gt;0,AL$4&gt;=Actividades!$E52,MOD(AL$4-Actividades!$E52,IFERROR(VLOOKUP(Actividades!$D52,Listas!$A$2:$B$8,2,0),52))=0),"P",""))</f>
        <v/>
      </c>
      <c r="AM103" s="25" t="str">
        <f aca="false">IF($A103="","",IF(AND(N(Actividades!$E52)&gt;0,AM$4&gt;=Actividades!$E52,MOD(AM$4-Actividades!$E52,IFERROR(VLOOKUP(Actividades!$D52,Listas!$A$2:$B$8,2,0),52))=0),"P",""))</f>
        <v/>
      </c>
      <c r="AN103" s="25" t="str">
        <f aca="false">IF($A103="","",IF(AND(N(Actividades!$E52)&gt;0,AN$4&gt;=Actividades!$E52,MOD(AN$4-Actividades!$E52,IFERROR(VLOOKUP(Actividades!$D52,Listas!$A$2:$B$8,2,0),52))=0),"P",""))</f>
        <v/>
      </c>
      <c r="AO103" s="25" t="str">
        <f aca="false">IF($A103="","",IF(AND(N(Actividades!$E52)&gt;0,AO$4&gt;=Actividades!$E52,MOD(AO$4-Actividades!$E52,IFERROR(VLOOKUP(Actividades!$D52,Listas!$A$2:$B$8,2,0),52))=0),"P",""))</f>
        <v/>
      </c>
      <c r="AP103" s="25" t="str">
        <f aca="false">IF($A103="","",IF(AND(N(Actividades!$E52)&gt;0,AP$4&gt;=Actividades!$E52,MOD(AP$4-Actividades!$E52,IFERROR(VLOOKUP(Actividades!$D52,Listas!$A$2:$B$8,2,0),52))=0),"P",""))</f>
        <v/>
      </c>
      <c r="AQ103" s="25" t="str">
        <f aca="false">IF($A103="","",IF(AND(N(Actividades!$E52)&gt;0,AQ$4&gt;=Actividades!$E52,MOD(AQ$4-Actividades!$E52,IFERROR(VLOOKUP(Actividades!$D52,Listas!$A$2:$B$8,2,0),52))=0),"P",""))</f>
        <v/>
      </c>
      <c r="AR103" s="25" t="str">
        <f aca="false">IF($A103="","",IF(AND(N(Actividades!$E52)&gt;0,AR$4&gt;=Actividades!$E52,MOD(AR$4-Actividades!$E52,IFERROR(VLOOKUP(Actividades!$D52,Listas!$A$2:$B$8,2,0),52))=0),"P",""))</f>
        <v/>
      </c>
      <c r="AS103" s="25" t="str">
        <f aca="false">IF($A103="","",IF(AND(N(Actividades!$E52)&gt;0,AS$4&gt;=Actividades!$E52,MOD(AS$4-Actividades!$E52,IFERROR(VLOOKUP(Actividades!$D52,Listas!$A$2:$B$8,2,0),52))=0),"P",""))</f>
        <v/>
      </c>
      <c r="AT103" s="25" t="str">
        <f aca="false">IF($A103="","",IF(AND(N(Actividades!$E52)&gt;0,AT$4&gt;=Actividades!$E52,MOD(AT$4-Actividades!$E52,IFERROR(VLOOKUP(Actividades!$D52,Listas!$A$2:$B$8,2,0),52))=0),"P",""))</f>
        <v/>
      </c>
      <c r="AU103" s="25" t="str">
        <f aca="false">IF($A103="","",IF(AND(N(Actividades!$E52)&gt;0,AU$4&gt;=Actividades!$E52,MOD(AU$4-Actividades!$E52,IFERROR(VLOOKUP(Actividades!$D52,Listas!$A$2:$B$8,2,0),52))=0),"P",""))</f>
        <v/>
      </c>
      <c r="AV103" s="25" t="str">
        <f aca="false">IF($A103="","",IF(AND(N(Actividades!$E52)&gt;0,AV$4&gt;=Actividades!$E52,MOD(AV$4-Actividades!$E52,IFERROR(VLOOKUP(Actividades!$D52,Listas!$A$2:$B$8,2,0),52))=0),"P",""))</f>
        <v/>
      </c>
      <c r="AW103" s="25" t="str">
        <f aca="false">IF($A103="","",IF(AND(N(Actividades!$E52)&gt;0,AW$4&gt;=Actividades!$E52,MOD(AW$4-Actividades!$E52,IFERROR(VLOOKUP(Actividades!$D52,Listas!$A$2:$B$8,2,0),52))=0),"P",""))</f>
        <v/>
      </c>
      <c r="AX103" s="25" t="str">
        <f aca="false">IF($A103="","",IF(AND(N(Actividades!$E52)&gt;0,AX$4&gt;=Actividades!$E52,MOD(AX$4-Actividades!$E52,IFERROR(VLOOKUP(Actividades!$D52,Listas!$A$2:$B$8,2,0),52))=0),"P",""))</f>
        <v/>
      </c>
      <c r="AY103" s="25" t="str">
        <f aca="false">IF($A103="","",IF(AND(N(Actividades!$E52)&gt;0,AY$4&gt;=Actividades!$E52,MOD(AY$4-Actividades!$E52,IFERROR(VLOOKUP(Actividades!$D52,Listas!$A$2:$B$8,2,0),52))=0),"P",""))</f>
        <v/>
      </c>
      <c r="AZ103" s="25" t="str">
        <f aca="false">IF($A103="","",IF(AND(N(Actividades!$E52)&gt;0,AZ$4&gt;=Actividades!$E52,MOD(AZ$4-Actividades!$E52,IFERROR(VLOOKUP(Actividades!$D52,Listas!$A$2:$B$8,2,0),52))=0),"P",""))</f>
        <v/>
      </c>
      <c r="BA103" s="25" t="str">
        <f aca="false">IF($A103="","",IF(AND(N(Actividades!$E52)&gt;0,BA$4&gt;=Actividades!$E52,MOD(BA$4-Actividades!$E52,IFERROR(VLOOKUP(Actividades!$D52,Listas!$A$2:$B$8,2,0),52))=0),"P",""))</f>
        <v/>
      </c>
      <c r="BB103" s="25" t="str">
        <f aca="false">IF($A103="","",IF(AND(N(Actividades!$E52)&gt;0,BB$4&gt;=Actividades!$E52,MOD(BB$4-Actividades!$E52,IFERROR(VLOOKUP(Actividades!$D52,Listas!$A$2:$B$8,2,0),52))=0),"P",""))</f>
        <v/>
      </c>
      <c r="BC103" s="25" t="str">
        <f aca="false">IF($A103="","",IF(AND(N(Actividades!$E52)&gt;0,BC$4&gt;=Actividades!$E52,MOD(BC$4-Actividades!$E52,IFERROR(VLOOKUP(Actividades!$D52,Listas!$A$2:$B$8,2,0),52))=0),"P",""))</f>
        <v/>
      </c>
      <c r="BD103" s="26" t="str">
        <f aca="false">IF($A103="","",COUNTIF(D103:BC103,"P"))</f>
        <v/>
      </c>
      <c r="BE103" s="26" t="str">
        <f aca="false">IF($A103="","",SUMPRODUCT((D103:BC103="P")*(D104:BC104="✓")))</f>
        <v/>
      </c>
      <c r="BF103" s="27" t="str">
        <f aca="false">IF($A103="","",IF(BD103=0,"",BE103/BD103))</f>
        <v/>
      </c>
    </row>
    <row r="104" customFormat="false" ht="15" hidden="false" customHeight="false" outlineLevel="0" collapsed="false">
      <c r="A104" s="28"/>
      <c r="B104" s="28"/>
      <c r="C104" s="28" t="str">
        <f aca="false">IF($A103="","","Real")</f>
        <v/>
      </c>
      <c r="D104" s="29" t="str">
        <f aca="false">IF($A103="","",IF(COUNTIFS(Historial!$B$3:$B$502,$A103,Historial!$C$3:$C$502,$B103,Historial!$G$3:$G$502,D$4,Historial!$H$3:$H$502,$B$2)&gt;0,"✓",""))</f>
        <v/>
      </c>
      <c r="E104" s="29" t="str">
        <f aca="false">IF($A103="","",IF(COUNTIFS(Historial!$B$3:$B$502,$A103,Historial!$C$3:$C$502,$B103,Historial!$G$3:$G$502,E$4,Historial!$H$3:$H$502,$B$2)&gt;0,"✓",""))</f>
        <v/>
      </c>
      <c r="F104" s="29" t="str">
        <f aca="false">IF($A103="","",IF(COUNTIFS(Historial!$B$3:$B$502,$A103,Historial!$C$3:$C$502,$B103,Historial!$G$3:$G$502,F$4,Historial!$H$3:$H$502,$B$2)&gt;0,"✓",""))</f>
        <v/>
      </c>
      <c r="G104" s="29" t="str">
        <f aca="false">IF($A103="","",IF(COUNTIFS(Historial!$B$3:$B$502,$A103,Historial!$C$3:$C$502,$B103,Historial!$G$3:$G$502,G$4,Historial!$H$3:$H$502,$B$2)&gt;0,"✓",""))</f>
        <v/>
      </c>
      <c r="H104" s="29" t="str">
        <f aca="false">IF($A103="","",IF(COUNTIFS(Historial!$B$3:$B$502,$A103,Historial!$C$3:$C$502,$B103,Historial!$G$3:$G$502,H$4,Historial!$H$3:$H$502,$B$2)&gt;0,"✓",""))</f>
        <v/>
      </c>
      <c r="I104" s="29" t="str">
        <f aca="false">IF($A103="","",IF(COUNTIFS(Historial!$B$3:$B$502,$A103,Historial!$C$3:$C$502,$B103,Historial!$G$3:$G$502,I$4,Historial!$H$3:$H$502,$B$2)&gt;0,"✓",""))</f>
        <v/>
      </c>
      <c r="J104" s="29" t="str">
        <f aca="false">IF($A103="","",IF(COUNTIFS(Historial!$B$3:$B$502,$A103,Historial!$C$3:$C$502,$B103,Historial!$G$3:$G$502,J$4,Historial!$H$3:$H$502,$B$2)&gt;0,"✓",""))</f>
        <v/>
      </c>
      <c r="K104" s="29" t="str">
        <f aca="false">IF($A103="","",IF(COUNTIFS(Historial!$B$3:$B$502,$A103,Historial!$C$3:$C$502,$B103,Historial!$G$3:$G$502,K$4,Historial!$H$3:$H$502,$B$2)&gt;0,"✓",""))</f>
        <v/>
      </c>
      <c r="L104" s="29" t="str">
        <f aca="false">IF($A103="","",IF(COUNTIFS(Historial!$B$3:$B$502,$A103,Historial!$C$3:$C$502,$B103,Historial!$G$3:$G$502,L$4,Historial!$H$3:$H$502,$B$2)&gt;0,"✓",""))</f>
        <v/>
      </c>
      <c r="M104" s="29" t="str">
        <f aca="false">IF($A103="","",IF(COUNTIFS(Historial!$B$3:$B$502,$A103,Historial!$C$3:$C$502,$B103,Historial!$G$3:$G$502,M$4,Historial!$H$3:$H$502,$B$2)&gt;0,"✓",""))</f>
        <v/>
      </c>
      <c r="N104" s="29" t="str">
        <f aca="false">IF($A103="","",IF(COUNTIFS(Historial!$B$3:$B$502,$A103,Historial!$C$3:$C$502,$B103,Historial!$G$3:$G$502,N$4,Historial!$H$3:$H$502,$B$2)&gt;0,"✓",""))</f>
        <v/>
      </c>
      <c r="O104" s="29" t="str">
        <f aca="false">IF($A103="","",IF(COUNTIFS(Historial!$B$3:$B$502,$A103,Historial!$C$3:$C$502,$B103,Historial!$G$3:$G$502,O$4,Historial!$H$3:$H$502,$B$2)&gt;0,"✓",""))</f>
        <v/>
      </c>
      <c r="P104" s="29" t="str">
        <f aca="false">IF($A103="","",IF(COUNTIFS(Historial!$B$3:$B$502,$A103,Historial!$C$3:$C$502,$B103,Historial!$G$3:$G$502,P$4,Historial!$H$3:$H$502,$B$2)&gt;0,"✓",""))</f>
        <v/>
      </c>
      <c r="Q104" s="29" t="str">
        <f aca="false">IF($A103="","",IF(COUNTIFS(Historial!$B$3:$B$502,$A103,Historial!$C$3:$C$502,$B103,Historial!$G$3:$G$502,Q$4,Historial!$H$3:$H$502,$B$2)&gt;0,"✓",""))</f>
        <v/>
      </c>
      <c r="R104" s="29" t="str">
        <f aca="false">IF($A103="","",IF(COUNTIFS(Historial!$B$3:$B$502,$A103,Historial!$C$3:$C$502,$B103,Historial!$G$3:$G$502,R$4,Historial!$H$3:$H$502,$B$2)&gt;0,"✓",""))</f>
        <v/>
      </c>
      <c r="S104" s="29" t="str">
        <f aca="false">IF($A103="","",IF(COUNTIFS(Historial!$B$3:$B$502,$A103,Historial!$C$3:$C$502,$B103,Historial!$G$3:$G$502,S$4,Historial!$H$3:$H$502,$B$2)&gt;0,"✓",""))</f>
        <v/>
      </c>
      <c r="T104" s="29" t="str">
        <f aca="false">IF($A103="","",IF(COUNTIFS(Historial!$B$3:$B$502,$A103,Historial!$C$3:$C$502,$B103,Historial!$G$3:$G$502,T$4,Historial!$H$3:$H$502,$B$2)&gt;0,"✓",""))</f>
        <v/>
      </c>
      <c r="U104" s="29" t="str">
        <f aca="false">IF($A103="","",IF(COUNTIFS(Historial!$B$3:$B$502,$A103,Historial!$C$3:$C$502,$B103,Historial!$G$3:$G$502,U$4,Historial!$H$3:$H$502,$B$2)&gt;0,"✓",""))</f>
        <v/>
      </c>
      <c r="V104" s="29" t="str">
        <f aca="false">IF($A103="","",IF(COUNTIFS(Historial!$B$3:$B$502,$A103,Historial!$C$3:$C$502,$B103,Historial!$G$3:$G$502,V$4,Historial!$H$3:$H$502,$B$2)&gt;0,"✓",""))</f>
        <v/>
      </c>
      <c r="W104" s="29" t="str">
        <f aca="false">IF($A103="","",IF(COUNTIFS(Historial!$B$3:$B$502,$A103,Historial!$C$3:$C$502,$B103,Historial!$G$3:$G$502,W$4,Historial!$H$3:$H$502,$B$2)&gt;0,"✓",""))</f>
        <v/>
      </c>
      <c r="X104" s="29" t="str">
        <f aca="false">IF($A103="","",IF(COUNTIFS(Historial!$B$3:$B$502,$A103,Historial!$C$3:$C$502,$B103,Historial!$G$3:$G$502,X$4,Historial!$H$3:$H$502,$B$2)&gt;0,"✓",""))</f>
        <v/>
      </c>
      <c r="Y104" s="29" t="str">
        <f aca="false">IF($A103="","",IF(COUNTIFS(Historial!$B$3:$B$502,$A103,Historial!$C$3:$C$502,$B103,Historial!$G$3:$G$502,Y$4,Historial!$H$3:$H$502,$B$2)&gt;0,"✓",""))</f>
        <v/>
      </c>
      <c r="Z104" s="29" t="str">
        <f aca="false">IF($A103="","",IF(COUNTIFS(Historial!$B$3:$B$502,$A103,Historial!$C$3:$C$502,$B103,Historial!$G$3:$G$502,Z$4,Historial!$H$3:$H$502,$B$2)&gt;0,"✓",""))</f>
        <v/>
      </c>
      <c r="AA104" s="29" t="str">
        <f aca="false">IF($A103="","",IF(COUNTIFS(Historial!$B$3:$B$502,$A103,Historial!$C$3:$C$502,$B103,Historial!$G$3:$G$502,AA$4,Historial!$H$3:$H$502,$B$2)&gt;0,"✓",""))</f>
        <v/>
      </c>
      <c r="AB104" s="29" t="str">
        <f aca="false">IF($A103="","",IF(COUNTIFS(Historial!$B$3:$B$502,$A103,Historial!$C$3:$C$502,$B103,Historial!$G$3:$G$502,AB$4,Historial!$H$3:$H$502,$B$2)&gt;0,"✓",""))</f>
        <v/>
      </c>
      <c r="AC104" s="29" t="str">
        <f aca="false">IF($A103="","",IF(COUNTIFS(Historial!$B$3:$B$502,$A103,Historial!$C$3:$C$502,$B103,Historial!$G$3:$G$502,AC$4,Historial!$H$3:$H$502,$B$2)&gt;0,"✓",""))</f>
        <v/>
      </c>
      <c r="AD104" s="29" t="str">
        <f aca="false">IF($A103="","",IF(COUNTIFS(Historial!$B$3:$B$502,$A103,Historial!$C$3:$C$502,$B103,Historial!$G$3:$G$502,AD$4,Historial!$H$3:$H$502,$B$2)&gt;0,"✓",""))</f>
        <v/>
      </c>
      <c r="AE104" s="29" t="str">
        <f aca="false">IF($A103="","",IF(COUNTIFS(Historial!$B$3:$B$502,$A103,Historial!$C$3:$C$502,$B103,Historial!$G$3:$G$502,AE$4,Historial!$H$3:$H$502,$B$2)&gt;0,"✓",""))</f>
        <v/>
      </c>
      <c r="AF104" s="29" t="str">
        <f aca="false">IF($A103="","",IF(COUNTIFS(Historial!$B$3:$B$502,$A103,Historial!$C$3:$C$502,$B103,Historial!$G$3:$G$502,AF$4,Historial!$H$3:$H$502,$B$2)&gt;0,"✓",""))</f>
        <v/>
      </c>
      <c r="AG104" s="29" t="str">
        <f aca="false">IF($A103="","",IF(COUNTIFS(Historial!$B$3:$B$502,$A103,Historial!$C$3:$C$502,$B103,Historial!$G$3:$G$502,AG$4,Historial!$H$3:$H$502,$B$2)&gt;0,"✓",""))</f>
        <v/>
      </c>
      <c r="AH104" s="29" t="str">
        <f aca="false">IF($A103="","",IF(COUNTIFS(Historial!$B$3:$B$502,$A103,Historial!$C$3:$C$502,$B103,Historial!$G$3:$G$502,AH$4,Historial!$H$3:$H$502,$B$2)&gt;0,"✓",""))</f>
        <v/>
      </c>
      <c r="AI104" s="29" t="str">
        <f aca="false">IF($A103="","",IF(COUNTIFS(Historial!$B$3:$B$502,$A103,Historial!$C$3:$C$502,$B103,Historial!$G$3:$G$502,AI$4,Historial!$H$3:$H$502,$B$2)&gt;0,"✓",""))</f>
        <v/>
      </c>
      <c r="AJ104" s="29" t="str">
        <f aca="false">IF($A103="","",IF(COUNTIFS(Historial!$B$3:$B$502,$A103,Historial!$C$3:$C$502,$B103,Historial!$G$3:$G$502,AJ$4,Historial!$H$3:$H$502,$B$2)&gt;0,"✓",""))</f>
        <v/>
      </c>
      <c r="AK104" s="29" t="str">
        <f aca="false">IF($A103="","",IF(COUNTIFS(Historial!$B$3:$B$502,$A103,Historial!$C$3:$C$502,$B103,Historial!$G$3:$G$502,AK$4,Historial!$H$3:$H$502,$B$2)&gt;0,"✓",""))</f>
        <v/>
      </c>
      <c r="AL104" s="29" t="str">
        <f aca="false">IF($A103="","",IF(COUNTIFS(Historial!$B$3:$B$502,$A103,Historial!$C$3:$C$502,$B103,Historial!$G$3:$G$502,AL$4,Historial!$H$3:$H$502,$B$2)&gt;0,"✓",""))</f>
        <v/>
      </c>
      <c r="AM104" s="29" t="str">
        <f aca="false">IF($A103="","",IF(COUNTIFS(Historial!$B$3:$B$502,$A103,Historial!$C$3:$C$502,$B103,Historial!$G$3:$G$502,AM$4,Historial!$H$3:$H$502,$B$2)&gt;0,"✓",""))</f>
        <v/>
      </c>
      <c r="AN104" s="29" t="str">
        <f aca="false">IF($A103="","",IF(COUNTIFS(Historial!$B$3:$B$502,$A103,Historial!$C$3:$C$502,$B103,Historial!$G$3:$G$502,AN$4,Historial!$H$3:$H$502,$B$2)&gt;0,"✓",""))</f>
        <v/>
      </c>
      <c r="AO104" s="29" t="str">
        <f aca="false">IF($A103="","",IF(COUNTIFS(Historial!$B$3:$B$502,$A103,Historial!$C$3:$C$502,$B103,Historial!$G$3:$G$502,AO$4,Historial!$H$3:$H$502,$B$2)&gt;0,"✓",""))</f>
        <v/>
      </c>
      <c r="AP104" s="29" t="str">
        <f aca="false">IF($A103="","",IF(COUNTIFS(Historial!$B$3:$B$502,$A103,Historial!$C$3:$C$502,$B103,Historial!$G$3:$G$502,AP$4,Historial!$H$3:$H$502,$B$2)&gt;0,"✓",""))</f>
        <v/>
      </c>
      <c r="AQ104" s="29" t="str">
        <f aca="false">IF($A103="","",IF(COUNTIFS(Historial!$B$3:$B$502,$A103,Historial!$C$3:$C$502,$B103,Historial!$G$3:$G$502,AQ$4,Historial!$H$3:$H$502,$B$2)&gt;0,"✓",""))</f>
        <v/>
      </c>
      <c r="AR104" s="29" t="str">
        <f aca="false">IF($A103="","",IF(COUNTIFS(Historial!$B$3:$B$502,$A103,Historial!$C$3:$C$502,$B103,Historial!$G$3:$G$502,AR$4,Historial!$H$3:$H$502,$B$2)&gt;0,"✓",""))</f>
        <v/>
      </c>
      <c r="AS104" s="29" t="str">
        <f aca="false">IF($A103="","",IF(COUNTIFS(Historial!$B$3:$B$502,$A103,Historial!$C$3:$C$502,$B103,Historial!$G$3:$G$502,AS$4,Historial!$H$3:$H$502,$B$2)&gt;0,"✓",""))</f>
        <v/>
      </c>
      <c r="AT104" s="29" t="str">
        <f aca="false">IF($A103="","",IF(COUNTIFS(Historial!$B$3:$B$502,$A103,Historial!$C$3:$C$502,$B103,Historial!$G$3:$G$502,AT$4,Historial!$H$3:$H$502,$B$2)&gt;0,"✓",""))</f>
        <v/>
      </c>
      <c r="AU104" s="29" t="str">
        <f aca="false">IF($A103="","",IF(COUNTIFS(Historial!$B$3:$B$502,$A103,Historial!$C$3:$C$502,$B103,Historial!$G$3:$G$502,AU$4,Historial!$H$3:$H$502,$B$2)&gt;0,"✓",""))</f>
        <v/>
      </c>
      <c r="AV104" s="29" t="str">
        <f aca="false">IF($A103="","",IF(COUNTIFS(Historial!$B$3:$B$502,$A103,Historial!$C$3:$C$502,$B103,Historial!$G$3:$G$502,AV$4,Historial!$H$3:$H$502,$B$2)&gt;0,"✓",""))</f>
        <v/>
      </c>
      <c r="AW104" s="29" t="str">
        <f aca="false">IF($A103="","",IF(COUNTIFS(Historial!$B$3:$B$502,$A103,Historial!$C$3:$C$502,$B103,Historial!$G$3:$G$502,AW$4,Historial!$H$3:$H$502,$B$2)&gt;0,"✓",""))</f>
        <v/>
      </c>
      <c r="AX104" s="29" t="str">
        <f aca="false">IF($A103="","",IF(COUNTIFS(Historial!$B$3:$B$502,$A103,Historial!$C$3:$C$502,$B103,Historial!$G$3:$G$502,AX$4,Historial!$H$3:$H$502,$B$2)&gt;0,"✓",""))</f>
        <v/>
      </c>
      <c r="AY104" s="29" t="str">
        <f aca="false">IF($A103="","",IF(COUNTIFS(Historial!$B$3:$B$502,$A103,Historial!$C$3:$C$502,$B103,Historial!$G$3:$G$502,AY$4,Historial!$H$3:$H$502,$B$2)&gt;0,"✓",""))</f>
        <v/>
      </c>
      <c r="AZ104" s="29" t="str">
        <f aca="false">IF($A103="","",IF(COUNTIFS(Historial!$B$3:$B$502,$A103,Historial!$C$3:$C$502,$B103,Historial!$G$3:$G$502,AZ$4,Historial!$H$3:$H$502,$B$2)&gt;0,"✓",""))</f>
        <v/>
      </c>
      <c r="BA104" s="29" t="str">
        <f aca="false">IF($A103="","",IF(COUNTIFS(Historial!$B$3:$B$502,$A103,Historial!$C$3:$C$502,$B103,Historial!$G$3:$G$502,BA$4,Historial!$H$3:$H$502,$B$2)&gt;0,"✓",""))</f>
        <v/>
      </c>
      <c r="BB104" s="29" t="str">
        <f aca="false">IF($A103="","",IF(COUNTIFS(Historial!$B$3:$B$502,$A103,Historial!$C$3:$C$502,$B103,Historial!$G$3:$G$502,BB$4,Historial!$H$3:$H$502,$B$2)&gt;0,"✓",""))</f>
        <v/>
      </c>
      <c r="BC104" s="29" t="str">
        <f aca="false">IF($A103="","",IF(COUNTIFS(Historial!$B$3:$B$502,$A103,Historial!$C$3:$C$502,$B103,Historial!$G$3:$G$502,BC$4,Historial!$H$3:$H$502,$B$2)&gt;0,"✓",""))</f>
        <v/>
      </c>
      <c r="BD104" s="29"/>
      <c r="BE104" s="29"/>
      <c r="BF104" s="29"/>
    </row>
    <row r="105" customFormat="false" ht="15" hidden="false" customHeight="false" outlineLevel="0" collapsed="false">
      <c r="A105" s="24" t="str">
        <f aca="false">IF(Actividades!$B53="","",Actividades!$B53)</f>
        <v/>
      </c>
      <c r="B105" s="24" t="str">
        <f aca="false">IF(Actividades!$C53="","",Actividades!$C53)</f>
        <v/>
      </c>
      <c r="C105" s="24" t="str">
        <f aca="false">IF($A105="","","Plan")</f>
        <v/>
      </c>
      <c r="D105" s="25" t="str">
        <f aca="false">IF($A105="","",IF(AND(N(Actividades!$E53)&gt;0,D$4&gt;=Actividades!$E53,MOD(D$4-Actividades!$E53,IFERROR(VLOOKUP(Actividades!$D53,Listas!$A$2:$B$8,2,0),52))=0),"P",""))</f>
        <v/>
      </c>
      <c r="E105" s="25" t="str">
        <f aca="false">IF($A105="","",IF(AND(N(Actividades!$E53)&gt;0,E$4&gt;=Actividades!$E53,MOD(E$4-Actividades!$E53,IFERROR(VLOOKUP(Actividades!$D53,Listas!$A$2:$B$8,2,0),52))=0),"P",""))</f>
        <v/>
      </c>
      <c r="F105" s="25" t="str">
        <f aca="false">IF($A105="","",IF(AND(N(Actividades!$E53)&gt;0,F$4&gt;=Actividades!$E53,MOD(F$4-Actividades!$E53,IFERROR(VLOOKUP(Actividades!$D53,Listas!$A$2:$B$8,2,0),52))=0),"P",""))</f>
        <v/>
      </c>
      <c r="G105" s="25" t="str">
        <f aca="false">IF($A105="","",IF(AND(N(Actividades!$E53)&gt;0,G$4&gt;=Actividades!$E53,MOD(G$4-Actividades!$E53,IFERROR(VLOOKUP(Actividades!$D53,Listas!$A$2:$B$8,2,0),52))=0),"P",""))</f>
        <v/>
      </c>
      <c r="H105" s="25" t="str">
        <f aca="false">IF($A105="","",IF(AND(N(Actividades!$E53)&gt;0,H$4&gt;=Actividades!$E53,MOD(H$4-Actividades!$E53,IFERROR(VLOOKUP(Actividades!$D53,Listas!$A$2:$B$8,2,0),52))=0),"P",""))</f>
        <v/>
      </c>
      <c r="I105" s="25" t="str">
        <f aca="false">IF($A105="","",IF(AND(N(Actividades!$E53)&gt;0,I$4&gt;=Actividades!$E53,MOD(I$4-Actividades!$E53,IFERROR(VLOOKUP(Actividades!$D53,Listas!$A$2:$B$8,2,0),52))=0),"P",""))</f>
        <v/>
      </c>
      <c r="J105" s="25" t="str">
        <f aca="false">IF($A105="","",IF(AND(N(Actividades!$E53)&gt;0,J$4&gt;=Actividades!$E53,MOD(J$4-Actividades!$E53,IFERROR(VLOOKUP(Actividades!$D53,Listas!$A$2:$B$8,2,0),52))=0),"P",""))</f>
        <v/>
      </c>
      <c r="K105" s="25" t="str">
        <f aca="false">IF($A105="","",IF(AND(N(Actividades!$E53)&gt;0,K$4&gt;=Actividades!$E53,MOD(K$4-Actividades!$E53,IFERROR(VLOOKUP(Actividades!$D53,Listas!$A$2:$B$8,2,0),52))=0),"P",""))</f>
        <v/>
      </c>
      <c r="L105" s="25" t="str">
        <f aca="false">IF($A105="","",IF(AND(N(Actividades!$E53)&gt;0,L$4&gt;=Actividades!$E53,MOD(L$4-Actividades!$E53,IFERROR(VLOOKUP(Actividades!$D53,Listas!$A$2:$B$8,2,0),52))=0),"P",""))</f>
        <v/>
      </c>
      <c r="M105" s="25" t="str">
        <f aca="false">IF($A105="","",IF(AND(N(Actividades!$E53)&gt;0,M$4&gt;=Actividades!$E53,MOD(M$4-Actividades!$E53,IFERROR(VLOOKUP(Actividades!$D53,Listas!$A$2:$B$8,2,0),52))=0),"P",""))</f>
        <v/>
      </c>
      <c r="N105" s="25" t="str">
        <f aca="false">IF($A105="","",IF(AND(N(Actividades!$E53)&gt;0,N$4&gt;=Actividades!$E53,MOD(N$4-Actividades!$E53,IFERROR(VLOOKUP(Actividades!$D53,Listas!$A$2:$B$8,2,0),52))=0),"P",""))</f>
        <v/>
      </c>
      <c r="O105" s="25" t="str">
        <f aca="false">IF($A105="","",IF(AND(N(Actividades!$E53)&gt;0,O$4&gt;=Actividades!$E53,MOD(O$4-Actividades!$E53,IFERROR(VLOOKUP(Actividades!$D53,Listas!$A$2:$B$8,2,0),52))=0),"P",""))</f>
        <v/>
      </c>
      <c r="P105" s="25" t="str">
        <f aca="false">IF($A105="","",IF(AND(N(Actividades!$E53)&gt;0,P$4&gt;=Actividades!$E53,MOD(P$4-Actividades!$E53,IFERROR(VLOOKUP(Actividades!$D53,Listas!$A$2:$B$8,2,0),52))=0),"P",""))</f>
        <v/>
      </c>
      <c r="Q105" s="25" t="str">
        <f aca="false">IF($A105="","",IF(AND(N(Actividades!$E53)&gt;0,Q$4&gt;=Actividades!$E53,MOD(Q$4-Actividades!$E53,IFERROR(VLOOKUP(Actividades!$D53,Listas!$A$2:$B$8,2,0),52))=0),"P",""))</f>
        <v/>
      </c>
      <c r="R105" s="25" t="str">
        <f aca="false">IF($A105="","",IF(AND(N(Actividades!$E53)&gt;0,R$4&gt;=Actividades!$E53,MOD(R$4-Actividades!$E53,IFERROR(VLOOKUP(Actividades!$D53,Listas!$A$2:$B$8,2,0),52))=0),"P",""))</f>
        <v/>
      </c>
      <c r="S105" s="25" t="str">
        <f aca="false">IF($A105="","",IF(AND(N(Actividades!$E53)&gt;0,S$4&gt;=Actividades!$E53,MOD(S$4-Actividades!$E53,IFERROR(VLOOKUP(Actividades!$D53,Listas!$A$2:$B$8,2,0),52))=0),"P",""))</f>
        <v/>
      </c>
      <c r="T105" s="25" t="str">
        <f aca="false">IF($A105="","",IF(AND(N(Actividades!$E53)&gt;0,T$4&gt;=Actividades!$E53,MOD(T$4-Actividades!$E53,IFERROR(VLOOKUP(Actividades!$D53,Listas!$A$2:$B$8,2,0),52))=0),"P",""))</f>
        <v/>
      </c>
      <c r="U105" s="25" t="str">
        <f aca="false">IF($A105="","",IF(AND(N(Actividades!$E53)&gt;0,U$4&gt;=Actividades!$E53,MOD(U$4-Actividades!$E53,IFERROR(VLOOKUP(Actividades!$D53,Listas!$A$2:$B$8,2,0),52))=0),"P",""))</f>
        <v/>
      </c>
      <c r="V105" s="25" t="str">
        <f aca="false">IF($A105="","",IF(AND(N(Actividades!$E53)&gt;0,V$4&gt;=Actividades!$E53,MOD(V$4-Actividades!$E53,IFERROR(VLOOKUP(Actividades!$D53,Listas!$A$2:$B$8,2,0),52))=0),"P",""))</f>
        <v/>
      </c>
      <c r="W105" s="25" t="str">
        <f aca="false">IF($A105="","",IF(AND(N(Actividades!$E53)&gt;0,W$4&gt;=Actividades!$E53,MOD(W$4-Actividades!$E53,IFERROR(VLOOKUP(Actividades!$D53,Listas!$A$2:$B$8,2,0),52))=0),"P",""))</f>
        <v/>
      </c>
      <c r="X105" s="25" t="str">
        <f aca="false">IF($A105="","",IF(AND(N(Actividades!$E53)&gt;0,X$4&gt;=Actividades!$E53,MOD(X$4-Actividades!$E53,IFERROR(VLOOKUP(Actividades!$D53,Listas!$A$2:$B$8,2,0),52))=0),"P",""))</f>
        <v/>
      </c>
      <c r="Y105" s="25" t="str">
        <f aca="false">IF($A105="","",IF(AND(N(Actividades!$E53)&gt;0,Y$4&gt;=Actividades!$E53,MOD(Y$4-Actividades!$E53,IFERROR(VLOOKUP(Actividades!$D53,Listas!$A$2:$B$8,2,0),52))=0),"P",""))</f>
        <v/>
      </c>
      <c r="Z105" s="25" t="str">
        <f aca="false">IF($A105="","",IF(AND(N(Actividades!$E53)&gt;0,Z$4&gt;=Actividades!$E53,MOD(Z$4-Actividades!$E53,IFERROR(VLOOKUP(Actividades!$D53,Listas!$A$2:$B$8,2,0),52))=0),"P",""))</f>
        <v/>
      </c>
      <c r="AA105" s="25" t="str">
        <f aca="false">IF($A105="","",IF(AND(N(Actividades!$E53)&gt;0,AA$4&gt;=Actividades!$E53,MOD(AA$4-Actividades!$E53,IFERROR(VLOOKUP(Actividades!$D53,Listas!$A$2:$B$8,2,0),52))=0),"P",""))</f>
        <v/>
      </c>
      <c r="AB105" s="25" t="str">
        <f aca="false">IF($A105="","",IF(AND(N(Actividades!$E53)&gt;0,AB$4&gt;=Actividades!$E53,MOD(AB$4-Actividades!$E53,IFERROR(VLOOKUP(Actividades!$D53,Listas!$A$2:$B$8,2,0),52))=0),"P",""))</f>
        <v/>
      </c>
      <c r="AC105" s="25" t="str">
        <f aca="false">IF($A105="","",IF(AND(N(Actividades!$E53)&gt;0,AC$4&gt;=Actividades!$E53,MOD(AC$4-Actividades!$E53,IFERROR(VLOOKUP(Actividades!$D53,Listas!$A$2:$B$8,2,0),52))=0),"P",""))</f>
        <v/>
      </c>
      <c r="AD105" s="25" t="str">
        <f aca="false">IF($A105="","",IF(AND(N(Actividades!$E53)&gt;0,AD$4&gt;=Actividades!$E53,MOD(AD$4-Actividades!$E53,IFERROR(VLOOKUP(Actividades!$D53,Listas!$A$2:$B$8,2,0),52))=0),"P",""))</f>
        <v/>
      </c>
      <c r="AE105" s="25" t="str">
        <f aca="false">IF($A105="","",IF(AND(N(Actividades!$E53)&gt;0,AE$4&gt;=Actividades!$E53,MOD(AE$4-Actividades!$E53,IFERROR(VLOOKUP(Actividades!$D53,Listas!$A$2:$B$8,2,0),52))=0),"P",""))</f>
        <v/>
      </c>
      <c r="AF105" s="25" t="str">
        <f aca="false">IF($A105="","",IF(AND(N(Actividades!$E53)&gt;0,AF$4&gt;=Actividades!$E53,MOD(AF$4-Actividades!$E53,IFERROR(VLOOKUP(Actividades!$D53,Listas!$A$2:$B$8,2,0),52))=0),"P",""))</f>
        <v/>
      </c>
      <c r="AG105" s="25" t="str">
        <f aca="false">IF($A105="","",IF(AND(N(Actividades!$E53)&gt;0,AG$4&gt;=Actividades!$E53,MOD(AG$4-Actividades!$E53,IFERROR(VLOOKUP(Actividades!$D53,Listas!$A$2:$B$8,2,0),52))=0),"P",""))</f>
        <v/>
      </c>
      <c r="AH105" s="25" t="str">
        <f aca="false">IF($A105="","",IF(AND(N(Actividades!$E53)&gt;0,AH$4&gt;=Actividades!$E53,MOD(AH$4-Actividades!$E53,IFERROR(VLOOKUP(Actividades!$D53,Listas!$A$2:$B$8,2,0),52))=0),"P",""))</f>
        <v/>
      </c>
      <c r="AI105" s="25" t="str">
        <f aca="false">IF($A105="","",IF(AND(N(Actividades!$E53)&gt;0,AI$4&gt;=Actividades!$E53,MOD(AI$4-Actividades!$E53,IFERROR(VLOOKUP(Actividades!$D53,Listas!$A$2:$B$8,2,0),52))=0),"P",""))</f>
        <v/>
      </c>
      <c r="AJ105" s="25" t="str">
        <f aca="false">IF($A105="","",IF(AND(N(Actividades!$E53)&gt;0,AJ$4&gt;=Actividades!$E53,MOD(AJ$4-Actividades!$E53,IFERROR(VLOOKUP(Actividades!$D53,Listas!$A$2:$B$8,2,0),52))=0),"P",""))</f>
        <v/>
      </c>
      <c r="AK105" s="25" t="str">
        <f aca="false">IF($A105="","",IF(AND(N(Actividades!$E53)&gt;0,AK$4&gt;=Actividades!$E53,MOD(AK$4-Actividades!$E53,IFERROR(VLOOKUP(Actividades!$D53,Listas!$A$2:$B$8,2,0),52))=0),"P",""))</f>
        <v/>
      </c>
      <c r="AL105" s="25" t="str">
        <f aca="false">IF($A105="","",IF(AND(N(Actividades!$E53)&gt;0,AL$4&gt;=Actividades!$E53,MOD(AL$4-Actividades!$E53,IFERROR(VLOOKUP(Actividades!$D53,Listas!$A$2:$B$8,2,0),52))=0),"P",""))</f>
        <v/>
      </c>
      <c r="AM105" s="25" t="str">
        <f aca="false">IF($A105="","",IF(AND(N(Actividades!$E53)&gt;0,AM$4&gt;=Actividades!$E53,MOD(AM$4-Actividades!$E53,IFERROR(VLOOKUP(Actividades!$D53,Listas!$A$2:$B$8,2,0),52))=0),"P",""))</f>
        <v/>
      </c>
      <c r="AN105" s="25" t="str">
        <f aca="false">IF($A105="","",IF(AND(N(Actividades!$E53)&gt;0,AN$4&gt;=Actividades!$E53,MOD(AN$4-Actividades!$E53,IFERROR(VLOOKUP(Actividades!$D53,Listas!$A$2:$B$8,2,0),52))=0),"P",""))</f>
        <v/>
      </c>
      <c r="AO105" s="25" t="str">
        <f aca="false">IF($A105="","",IF(AND(N(Actividades!$E53)&gt;0,AO$4&gt;=Actividades!$E53,MOD(AO$4-Actividades!$E53,IFERROR(VLOOKUP(Actividades!$D53,Listas!$A$2:$B$8,2,0),52))=0),"P",""))</f>
        <v/>
      </c>
      <c r="AP105" s="25" t="str">
        <f aca="false">IF($A105="","",IF(AND(N(Actividades!$E53)&gt;0,AP$4&gt;=Actividades!$E53,MOD(AP$4-Actividades!$E53,IFERROR(VLOOKUP(Actividades!$D53,Listas!$A$2:$B$8,2,0),52))=0),"P",""))</f>
        <v/>
      </c>
      <c r="AQ105" s="25" t="str">
        <f aca="false">IF($A105="","",IF(AND(N(Actividades!$E53)&gt;0,AQ$4&gt;=Actividades!$E53,MOD(AQ$4-Actividades!$E53,IFERROR(VLOOKUP(Actividades!$D53,Listas!$A$2:$B$8,2,0),52))=0),"P",""))</f>
        <v/>
      </c>
      <c r="AR105" s="25" t="str">
        <f aca="false">IF($A105="","",IF(AND(N(Actividades!$E53)&gt;0,AR$4&gt;=Actividades!$E53,MOD(AR$4-Actividades!$E53,IFERROR(VLOOKUP(Actividades!$D53,Listas!$A$2:$B$8,2,0),52))=0),"P",""))</f>
        <v/>
      </c>
      <c r="AS105" s="25" t="str">
        <f aca="false">IF($A105="","",IF(AND(N(Actividades!$E53)&gt;0,AS$4&gt;=Actividades!$E53,MOD(AS$4-Actividades!$E53,IFERROR(VLOOKUP(Actividades!$D53,Listas!$A$2:$B$8,2,0),52))=0),"P",""))</f>
        <v/>
      </c>
      <c r="AT105" s="25" t="str">
        <f aca="false">IF($A105="","",IF(AND(N(Actividades!$E53)&gt;0,AT$4&gt;=Actividades!$E53,MOD(AT$4-Actividades!$E53,IFERROR(VLOOKUP(Actividades!$D53,Listas!$A$2:$B$8,2,0),52))=0),"P",""))</f>
        <v/>
      </c>
      <c r="AU105" s="25" t="str">
        <f aca="false">IF($A105="","",IF(AND(N(Actividades!$E53)&gt;0,AU$4&gt;=Actividades!$E53,MOD(AU$4-Actividades!$E53,IFERROR(VLOOKUP(Actividades!$D53,Listas!$A$2:$B$8,2,0),52))=0),"P",""))</f>
        <v/>
      </c>
      <c r="AV105" s="25" t="str">
        <f aca="false">IF($A105="","",IF(AND(N(Actividades!$E53)&gt;0,AV$4&gt;=Actividades!$E53,MOD(AV$4-Actividades!$E53,IFERROR(VLOOKUP(Actividades!$D53,Listas!$A$2:$B$8,2,0),52))=0),"P",""))</f>
        <v/>
      </c>
      <c r="AW105" s="25" t="str">
        <f aca="false">IF($A105="","",IF(AND(N(Actividades!$E53)&gt;0,AW$4&gt;=Actividades!$E53,MOD(AW$4-Actividades!$E53,IFERROR(VLOOKUP(Actividades!$D53,Listas!$A$2:$B$8,2,0),52))=0),"P",""))</f>
        <v/>
      </c>
      <c r="AX105" s="25" t="str">
        <f aca="false">IF($A105="","",IF(AND(N(Actividades!$E53)&gt;0,AX$4&gt;=Actividades!$E53,MOD(AX$4-Actividades!$E53,IFERROR(VLOOKUP(Actividades!$D53,Listas!$A$2:$B$8,2,0),52))=0),"P",""))</f>
        <v/>
      </c>
      <c r="AY105" s="25" t="str">
        <f aca="false">IF($A105="","",IF(AND(N(Actividades!$E53)&gt;0,AY$4&gt;=Actividades!$E53,MOD(AY$4-Actividades!$E53,IFERROR(VLOOKUP(Actividades!$D53,Listas!$A$2:$B$8,2,0),52))=0),"P",""))</f>
        <v/>
      </c>
      <c r="AZ105" s="25" t="str">
        <f aca="false">IF($A105="","",IF(AND(N(Actividades!$E53)&gt;0,AZ$4&gt;=Actividades!$E53,MOD(AZ$4-Actividades!$E53,IFERROR(VLOOKUP(Actividades!$D53,Listas!$A$2:$B$8,2,0),52))=0),"P",""))</f>
        <v/>
      </c>
      <c r="BA105" s="25" t="str">
        <f aca="false">IF($A105="","",IF(AND(N(Actividades!$E53)&gt;0,BA$4&gt;=Actividades!$E53,MOD(BA$4-Actividades!$E53,IFERROR(VLOOKUP(Actividades!$D53,Listas!$A$2:$B$8,2,0),52))=0),"P",""))</f>
        <v/>
      </c>
      <c r="BB105" s="25" t="str">
        <f aca="false">IF($A105="","",IF(AND(N(Actividades!$E53)&gt;0,BB$4&gt;=Actividades!$E53,MOD(BB$4-Actividades!$E53,IFERROR(VLOOKUP(Actividades!$D53,Listas!$A$2:$B$8,2,0),52))=0),"P",""))</f>
        <v/>
      </c>
      <c r="BC105" s="25" t="str">
        <f aca="false">IF($A105="","",IF(AND(N(Actividades!$E53)&gt;0,BC$4&gt;=Actividades!$E53,MOD(BC$4-Actividades!$E53,IFERROR(VLOOKUP(Actividades!$D53,Listas!$A$2:$B$8,2,0),52))=0),"P",""))</f>
        <v/>
      </c>
      <c r="BD105" s="26" t="str">
        <f aca="false">IF($A105="","",COUNTIF(D105:BC105,"P"))</f>
        <v/>
      </c>
      <c r="BE105" s="26" t="str">
        <f aca="false">IF($A105="","",SUMPRODUCT((D105:BC105="P")*(D106:BC106="✓")))</f>
        <v/>
      </c>
      <c r="BF105" s="27" t="str">
        <f aca="false">IF($A105="","",IF(BD105=0,"",BE105/BD105))</f>
        <v/>
      </c>
    </row>
    <row r="106" customFormat="false" ht="15" hidden="false" customHeight="false" outlineLevel="0" collapsed="false">
      <c r="A106" s="28"/>
      <c r="B106" s="28"/>
      <c r="C106" s="28" t="str">
        <f aca="false">IF($A105="","","Real")</f>
        <v/>
      </c>
      <c r="D106" s="29" t="str">
        <f aca="false">IF($A105="","",IF(COUNTIFS(Historial!$B$3:$B$502,$A105,Historial!$C$3:$C$502,$B105,Historial!$G$3:$G$502,D$4,Historial!$H$3:$H$502,$B$2)&gt;0,"✓",""))</f>
        <v/>
      </c>
      <c r="E106" s="29" t="str">
        <f aca="false">IF($A105="","",IF(COUNTIFS(Historial!$B$3:$B$502,$A105,Historial!$C$3:$C$502,$B105,Historial!$G$3:$G$502,E$4,Historial!$H$3:$H$502,$B$2)&gt;0,"✓",""))</f>
        <v/>
      </c>
      <c r="F106" s="29" t="str">
        <f aca="false">IF($A105="","",IF(COUNTIFS(Historial!$B$3:$B$502,$A105,Historial!$C$3:$C$502,$B105,Historial!$G$3:$G$502,F$4,Historial!$H$3:$H$502,$B$2)&gt;0,"✓",""))</f>
        <v/>
      </c>
      <c r="G106" s="29" t="str">
        <f aca="false">IF($A105="","",IF(COUNTIFS(Historial!$B$3:$B$502,$A105,Historial!$C$3:$C$502,$B105,Historial!$G$3:$G$502,G$4,Historial!$H$3:$H$502,$B$2)&gt;0,"✓",""))</f>
        <v/>
      </c>
      <c r="H106" s="29" t="str">
        <f aca="false">IF($A105="","",IF(COUNTIFS(Historial!$B$3:$B$502,$A105,Historial!$C$3:$C$502,$B105,Historial!$G$3:$G$502,H$4,Historial!$H$3:$H$502,$B$2)&gt;0,"✓",""))</f>
        <v/>
      </c>
      <c r="I106" s="29" t="str">
        <f aca="false">IF($A105="","",IF(COUNTIFS(Historial!$B$3:$B$502,$A105,Historial!$C$3:$C$502,$B105,Historial!$G$3:$G$502,I$4,Historial!$H$3:$H$502,$B$2)&gt;0,"✓",""))</f>
        <v/>
      </c>
      <c r="J106" s="29" t="str">
        <f aca="false">IF($A105="","",IF(COUNTIFS(Historial!$B$3:$B$502,$A105,Historial!$C$3:$C$502,$B105,Historial!$G$3:$G$502,J$4,Historial!$H$3:$H$502,$B$2)&gt;0,"✓",""))</f>
        <v/>
      </c>
      <c r="K106" s="29" t="str">
        <f aca="false">IF($A105="","",IF(COUNTIFS(Historial!$B$3:$B$502,$A105,Historial!$C$3:$C$502,$B105,Historial!$G$3:$G$502,K$4,Historial!$H$3:$H$502,$B$2)&gt;0,"✓",""))</f>
        <v/>
      </c>
      <c r="L106" s="29" t="str">
        <f aca="false">IF($A105="","",IF(COUNTIFS(Historial!$B$3:$B$502,$A105,Historial!$C$3:$C$502,$B105,Historial!$G$3:$G$502,L$4,Historial!$H$3:$H$502,$B$2)&gt;0,"✓",""))</f>
        <v/>
      </c>
      <c r="M106" s="29" t="str">
        <f aca="false">IF($A105="","",IF(COUNTIFS(Historial!$B$3:$B$502,$A105,Historial!$C$3:$C$502,$B105,Historial!$G$3:$G$502,M$4,Historial!$H$3:$H$502,$B$2)&gt;0,"✓",""))</f>
        <v/>
      </c>
      <c r="N106" s="29" t="str">
        <f aca="false">IF($A105="","",IF(COUNTIFS(Historial!$B$3:$B$502,$A105,Historial!$C$3:$C$502,$B105,Historial!$G$3:$G$502,N$4,Historial!$H$3:$H$502,$B$2)&gt;0,"✓",""))</f>
        <v/>
      </c>
      <c r="O106" s="29" t="str">
        <f aca="false">IF($A105="","",IF(COUNTIFS(Historial!$B$3:$B$502,$A105,Historial!$C$3:$C$502,$B105,Historial!$G$3:$G$502,O$4,Historial!$H$3:$H$502,$B$2)&gt;0,"✓",""))</f>
        <v/>
      </c>
      <c r="P106" s="29" t="str">
        <f aca="false">IF($A105="","",IF(COUNTIFS(Historial!$B$3:$B$502,$A105,Historial!$C$3:$C$502,$B105,Historial!$G$3:$G$502,P$4,Historial!$H$3:$H$502,$B$2)&gt;0,"✓",""))</f>
        <v/>
      </c>
      <c r="Q106" s="29" t="str">
        <f aca="false">IF($A105="","",IF(COUNTIFS(Historial!$B$3:$B$502,$A105,Historial!$C$3:$C$502,$B105,Historial!$G$3:$G$502,Q$4,Historial!$H$3:$H$502,$B$2)&gt;0,"✓",""))</f>
        <v/>
      </c>
      <c r="R106" s="29" t="str">
        <f aca="false">IF($A105="","",IF(COUNTIFS(Historial!$B$3:$B$502,$A105,Historial!$C$3:$C$502,$B105,Historial!$G$3:$G$502,R$4,Historial!$H$3:$H$502,$B$2)&gt;0,"✓",""))</f>
        <v/>
      </c>
      <c r="S106" s="29" t="str">
        <f aca="false">IF($A105="","",IF(COUNTIFS(Historial!$B$3:$B$502,$A105,Historial!$C$3:$C$502,$B105,Historial!$G$3:$G$502,S$4,Historial!$H$3:$H$502,$B$2)&gt;0,"✓",""))</f>
        <v/>
      </c>
      <c r="T106" s="29" t="str">
        <f aca="false">IF($A105="","",IF(COUNTIFS(Historial!$B$3:$B$502,$A105,Historial!$C$3:$C$502,$B105,Historial!$G$3:$G$502,T$4,Historial!$H$3:$H$502,$B$2)&gt;0,"✓",""))</f>
        <v/>
      </c>
      <c r="U106" s="29" t="str">
        <f aca="false">IF($A105="","",IF(COUNTIFS(Historial!$B$3:$B$502,$A105,Historial!$C$3:$C$502,$B105,Historial!$G$3:$G$502,U$4,Historial!$H$3:$H$502,$B$2)&gt;0,"✓",""))</f>
        <v/>
      </c>
      <c r="V106" s="29" t="str">
        <f aca="false">IF($A105="","",IF(COUNTIFS(Historial!$B$3:$B$502,$A105,Historial!$C$3:$C$502,$B105,Historial!$G$3:$G$502,V$4,Historial!$H$3:$H$502,$B$2)&gt;0,"✓",""))</f>
        <v/>
      </c>
      <c r="W106" s="29" t="str">
        <f aca="false">IF($A105="","",IF(COUNTIFS(Historial!$B$3:$B$502,$A105,Historial!$C$3:$C$502,$B105,Historial!$G$3:$G$502,W$4,Historial!$H$3:$H$502,$B$2)&gt;0,"✓",""))</f>
        <v/>
      </c>
      <c r="X106" s="29" t="str">
        <f aca="false">IF($A105="","",IF(COUNTIFS(Historial!$B$3:$B$502,$A105,Historial!$C$3:$C$502,$B105,Historial!$G$3:$G$502,X$4,Historial!$H$3:$H$502,$B$2)&gt;0,"✓",""))</f>
        <v/>
      </c>
      <c r="Y106" s="29" t="str">
        <f aca="false">IF($A105="","",IF(COUNTIFS(Historial!$B$3:$B$502,$A105,Historial!$C$3:$C$502,$B105,Historial!$G$3:$G$502,Y$4,Historial!$H$3:$H$502,$B$2)&gt;0,"✓",""))</f>
        <v/>
      </c>
      <c r="Z106" s="29" t="str">
        <f aca="false">IF($A105="","",IF(COUNTIFS(Historial!$B$3:$B$502,$A105,Historial!$C$3:$C$502,$B105,Historial!$G$3:$G$502,Z$4,Historial!$H$3:$H$502,$B$2)&gt;0,"✓",""))</f>
        <v/>
      </c>
      <c r="AA106" s="29" t="str">
        <f aca="false">IF($A105="","",IF(COUNTIFS(Historial!$B$3:$B$502,$A105,Historial!$C$3:$C$502,$B105,Historial!$G$3:$G$502,AA$4,Historial!$H$3:$H$502,$B$2)&gt;0,"✓",""))</f>
        <v/>
      </c>
      <c r="AB106" s="29" t="str">
        <f aca="false">IF($A105="","",IF(COUNTIFS(Historial!$B$3:$B$502,$A105,Historial!$C$3:$C$502,$B105,Historial!$G$3:$G$502,AB$4,Historial!$H$3:$H$502,$B$2)&gt;0,"✓",""))</f>
        <v/>
      </c>
      <c r="AC106" s="29" t="str">
        <f aca="false">IF($A105="","",IF(COUNTIFS(Historial!$B$3:$B$502,$A105,Historial!$C$3:$C$502,$B105,Historial!$G$3:$G$502,AC$4,Historial!$H$3:$H$502,$B$2)&gt;0,"✓",""))</f>
        <v/>
      </c>
      <c r="AD106" s="29" t="str">
        <f aca="false">IF($A105="","",IF(COUNTIFS(Historial!$B$3:$B$502,$A105,Historial!$C$3:$C$502,$B105,Historial!$G$3:$G$502,AD$4,Historial!$H$3:$H$502,$B$2)&gt;0,"✓",""))</f>
        <v/>
      </c>
      <c r="AE106" s="29" t="str">
        <f aca="false">IF($A105="","",IF(COUNTIFS(Historial!$B$3:$B$502,$A105,Historial!$C$3:$C$502,$B105,Historial!$G$3:$G$502,AE$4,Historial!$H$3:$H$502,$B$2)&gt;0,"✓",""))</f>
        <v/>
      </c>
      <c r="AF106" s="29" t="str">
        <f aca="false">IF($A105="","",IF(COUNTIFS(Historial!$B$3:$B$502,$A105,Historial!$C$3:$C$502,$B105,Historial!$G$3:$G$502,AF$4,Historial!$H$3:$H$502,$B$2)&gt;0,"✓",""))</f>
        <v/>
      </c>
      <c r="AG106" s="29" t="str">
        <f aca="false">IF($A105="","",IF(COUNTIFS(Historial!$B$3:$B$502,$A105,Historial!$C$3:$C$502,$B105,Historial!$G$3:$G$502,AG$4,Historial!$H$3:$H$502,$B$2)&gt;0,"✓",""))</f>
        <v/>
      </c>
      <c r="AH106" s="29" t="str">
        <f aca="false">IF($A105="","",IF(COUNTIFS(Historial!$B$3:$B$502,$A105,Historial!$C$3:$C$502,$B105,Historial!$G$3:$G$502,AH$4,Historial!$H$3:$H$502,$B$2)&gt;0,"✓",""))</f>
        <v/>
      </c>
      <c r="AI106" s="29" t="str">
        <f aca="false">IF($A105="","",IF(COUNTIFS(Historial!$B$3:$B$502,$A105,Historial!$C$3:$C$502,$B105,Historial!$G$3:$G$502,AI$4,Historial!$H$3:$H$502,$B$2)&gt;0,"✓",""))</f>
        <v/>
      </c>
      <c r="AJ106" s="29" t="str">
        <f aca="false">IF($A105="","",IF(COUNTIFS(Historial!$B$3:$B$502,$A105,Historial!$C$3:$C$502,$B105,Historial!$G$3:$G$502,AJ$4,Historial!$H$3:$H$502,$B$2)&gt;0,"✓",""))</f>
        <v/>
      </c>
      <c r="AK106" s="29" t="str">
        <f aca="false">IF($A105="","",IF(COUNTIFS(Historial!$B$3:$B$502,$A105,Historial!$C$3:$C$502,$B105,Historial!$G$3:$G$502,AK$4,Historial!$H$3:$H$502,$B$2)&gt;0,"✓",""))</f>
        <v/>
      </c>
      <c r="AL106" s="29" t="str">
        <f aca="false">IF($A105="","",IF(COUNTIFS(Historial!$B$3:$B$502,$A105,Historial!$C$3:$C$502,$B105,Historial!$G$3:$G$502,AL$4,Historial!$H$3:$H$502,$B$2)&gt;0,"✓",""))</f>
        <v/>
      </c>
      <c r="AM106" s="29" t="str">
        <f aca="false">IF($A105="","",IF(COUNTIFS(Historial!$B$3:$B$502,$A105,Historial!$C$3:$C$502,$B105,Historial!$G$3:$G$502,AM$4,Historial!$H$3:$H$502,$B$2)&gt;0,"✓",""))</f>
        <v/>
      </c>
      <c r="AN106" s="29" t="str">
        <f aca="false">IF($A105="","",IF(COUNTIFS(Historial!$B$3:$B$502,$A105,Historial!$C$3:$C$502,$B105,Historial!$G$3:$G$502,AN$4,Historial!$H$3:$H$502,$B$2)&gt;0,"✓",""))</f>
        <v/>
      </c>
      <c r="AO106" s="29" t="str">
        <f aca="false">IF($A105="","",IF(COUNTIFS(Historial!$B$3:$B$502,$A105,Historial!$C$3:$C$502,$B105,Historial!$G$3:$G$502,AO$4,Historial!$H$3:$H$502,$B$2)&gt;0,"✓",""))</f>
        <v/>
      </c>
      <c r="AP106" s="29" t="str">
        <f aca="false">IF($A105="","",IF(COUNTIFS(Historial!$B$3:$B$502,$A105,Historial!$C$3:$C$502,$B105,Historial!$G$3:$G$502,AP$4,Historial!$H$3:$H$502,$B$2)&gt;0,"✓",""))</f>
        <v/>
      </c>
      <c r="AQ106" s="29" t="str">
        <f aca="false">IF($A105="","",IF(COUNTIFS(Historial!$B$3:$B$502,$A105,Historial!$C$3:$C$502,$B105,Historial!$G$3:$G$502,AQ$4,Historial!$H$3:$H$502,$B$2)&gt;0,"✓",""))</f>
        <v/>
      </c>
      <c r="AR106" s="29" t="str">
        <f aca="false">IF($A105="","",IF(COUNTIFS(Historial!$B$3:$B$502,$A105,Historial!$C$3:$C$502,$B105,Historial!$G$3:$G$502,AR$4,Historial!$H$3:$H$502,$B$2)&gt;0,"✓",""))</f>
        <v/>
      </c>
      <c r="AS106" s="29" t="str">
        <f aca="false">IF($A105="","",IF(COUNTIFS(Historial!$B$3:$B$502,$A105,Historial!$C$3:$C$502,$B105,Historial!$G$3:$G$502,AS$4,Historial!$H$3:$H$502,$B$2)&gt;0,"✓",""))</f>
        <v/>
      </c>
      <c r="AT106" s="29" t="str">
        <f aca="false">IF($A105="","",IF(COUNTIFS(Historial!$B$3:$B$502,$A105,Historial!$C$3:$C$502,$B105,Historial!$G$3:$G$502,AT$4,Historial!$H$3:$H$502,$B$2)&gt;0,"✓",""))</f>
        <v/>
      </c>
      <c r="AU106" s="29" t="str">
        <f aca="false">IF($A105="","",IF(COUNTIFS(Historial!$B$3:$B$502,$A105,Historial!$C$3:$C$502,$B105,Historial!$G$3:$G$502,AU$4,Historial!$H$3:$H$502,$B$2)&gt;0,"✓",""))</f>
        <v/>
      </c>
      <c r="AV106" s="29" t="str">
        <f aca="false">IF($A105="","",IF(COUNTIFS(Historial!$B$3:$B$502,$A105,Historial!$C$3:$C$502,$B105,Historial!$G$3:$G$502,AV$4,Historial!$H$3:$H$502,$B$2)&gt;0,"✓",""))</f>
        <v/>
      </c>
      <c r="AW106" s="29" t="str">
        <f aca="false">IF($A105="","",IF(COUNTIFS(Historial!$B$3:$B$502,$A105,Historial!$C$3:$C$502,$B105,Historial!$G$3:$G$502,AW$4,Historial!$H$3:$H$502,$B$2)&gt;0,"✓",""))</f>
        <v/>
      </c>
      <c r="AX106" s="29" t="str">
        <f aca="false">IF($A105="","",IF(COUNTIFS(Historial!$B$3:$B$502,$A105,Historial!$C$3:$C$502,$B105,Historial!$G$3:$G$502,AX$4,Historial!$H$3:$H$502,$B$2)&gt;0,"✓",""))</f>
        <v/>
      </c>
      <c r="AY106" s="29" t="str">
        <f aca="false">IF($A105="","",IF(COUNTIFS(Historial!$B$3:$B$502,$A105,Historial!$C$3:$C$502,$B105,Historial!$G$3:$G$502,AY$4,Historial!$H$3:$H$502,$B$2)&gt;0,"✓",""))</f>
        <v/>
      </c>
      <c r="AZ106" s="29" t="str">
        <f aca="false">IF($A105="","",IF(COUNTIFS(Historial!$B$3:$B$502,$A105,Historial!$C$3:$C$502,$B105,Historial!$G$3:$G$502,AZ$4,Historial!$H$3:$H$502,$B$2)&gt;0,"✓",""))</f>
        <v/>
      </c>
      <c r="BA106" s="29" t="str">
        <f aca="false">IF($A105="","",IF(COUNTIFS(Historial!$B$3:$B$502,$A105,Historial!$C$3:$C$502,$B105,Historial!$G$3:$G$502,BA$4,Historial!$H$3:$H$502,$B$2)&gt;0,"✓",""))</f>
        <v/>
      </c>
      <c r="BB106" s="29" t="str">
        <f aca="false">IF($A105="","",IF(COUNTIFS(Historial!$B$3:$B$502,$A105,Historial!$C$3:$C$502,$B105,Historial!$G$3:$G$502,BB$4,Historial!$H$3:$H$502,$B$2)&gt;0,"✓",""))</f>
        <v/>
      </c>
      <c r="BC106" s="29" t="str">
        <f aca="false">IF($A105="","",IF(COUNTIFS(Historial!$B$3:$B$502,$A105,Historial!$C$3:$C$502,$B105,Historial!$G$3:$G$502,BC$4,Historial!$H$3:$H$502,$B$2)&gt;0,"✓",""))</f>
        <v/>
      </c>
      <c r="BD106" s="29"/>
      <c r="BE106" s="29"/>
      <c r="BF106" s="29"/>
    </row>
    <row r="107" customFormat="false" ht="15" hidden="false" customHeight="false" outlineLevel="0" collapsed="false">
      <c r="A107" s="24" t="str">
        <f aca="false">IF(Actividades!$B54="","",Actividades!$B54)</f>
        <v/>
      </c>
      <c r="B107" s="24" t="str">
        <f aca="false">IF(Actividades!$C54="","",Actividades!$C54)</f>
        <v/>
      </c>
      <c r="C107" s="24" t="str">
        <f aca="false">IF($A107="","","Plan")</f>
        <v/>
      </c>
      <c r="D107" s="25" t="str">
        <f aca="false">IF($A107="","",IF(AND(N(Actividades!$E54)&gt;0,D$4&gt;=Actividades!$E54,MOD(D$4-Actividades!$E54,IFERROR(VLOOKUP(Actividades!$D54,Listas!$A$2:$B$8,2,0),52))=0),"P",""))</f>
        <v/>
      </c>
      <c r="E107" s="25" t="str">
        <f aca="false">IF($A107="","",IF(AND(N(Actividades!$E54)&gt;0,E$4&gt;=Actividades!$E54,MOD(E$4-Actividades!$E54,IFERROR(VLOOKUP(Actividades!$D54,Listas!$A$2:$B$8,2,0),52))=0),"P",""))</f>
        <v/>
      </c>
      <c r="F107" s="25" t="str">
        <f aca="false">IF($A107="","",IF(AND(N(Actividades!$E54)&gt;0,F$4&gt;=Actividades!$E54,MOD(F$4-Actividades!$E54,IFERROR(VLOOKUP(Actividades!$D54,Listas!$A$2:$B$8,2,0),52))=0),"P",""))</f>
        <v/>
      </c>
      <c r="G107" s="25" t="str">
        <f aca="false">IF($A107="","",IF(AND(N(Actividades!$E54)&gt;0,G$4&gt;=Actividades!$E54,MOD(G$4-Actividades!$E54,IFERROR(VLOOKUP(Actividades!$D54,Listas!$A$2:$B$8,2,0),52))=0),"P",""))</f>
        <v/>
      </c>
      <c r="H107" s="25" t="str">
        <f aca="false">IF($A107="","",IF(AND(N(Actividades!$E54)&gt;0,H$4&gt;=Actividades!$E54,MOD(H$4-Actividades!$E54,IFERROR(VLOOKUP(Actividades!$D54,Listas!$A$2:$B$8,2,0),52))=0),"P",""))</f>
        <v/>
      </c>
      <c r="I107" s="25" t="str">
        <f aca="false">IF($A107="","",IF(AND(N(Actividades!$E54)&gt;0,I$4&gt;=Actividades!$E54,MOD(I$4-Actividades!$E54,IFERROR(VLOOKUP(Actividades!$D54,Listas!$A$2:$B$8,2,0),52))=0),"P",""))</f>
        <v/>
      </c>
      <c r="J107" s="25" t="str">
        <f aca="false">IF($A107="","",IF(AND(N(Actividades!$E54)&gt;0,J$4&gt;=Actividades!$E54,MOD(J$4-Actividades!$E54,IFERROR(VLOOKUP(Actividades!$D54,Listas!$A$2:$B$8,2,0),52))=0),"P",""))</f>
        <v/>
      </c>
      <c r="K107" s="25" t="str">
        <f aca="false">IF($A107="","",IF(AND(N(Actividades!$E54)&gt;0,K$4&gt;=Actividades!$E54,MOD(K$4-Actividades!$E54,IFERROR(VLOOKUP(Actividades!$D54,Listas!$A$2:$B$8,2,0),52))=0),"P",""))</f>
        <v/>
      </c>
      <c r="L107" s="25" t="str">
        <f aca="false">IF($A107="","",IF(AND(N(Actividades!$E54)&gt;0,L$4&gt;=Actividades!$E54,MOD(L$4-Actividades!$E54,IFERROR(VLOOKUP(Actividades!$D54,Listas!$A$2:$B$8,2,0),52))=0),"P",""))</f>
        <v/>
      </c>
      <c r="M107" s="25" t="str">
        <f aca="false">IF($A107="","",IF(AND(N(Actividades!$E54)&gt;0,M$4&gt;=Actividades!$E54,MOD(M$4-Actividades!$E54,IFERROR(VLOOKUP(Actividades!$D54,Listas!$A$2:$B$8,2,0),52))=0),"P",""))</f>
        <v/>
      </c>
      <c r="N107" s="25" t="str">
        <f aca="false">IF($A107="","",IF(AND(N(Actividades!$E54)&gt;0,N$4&gt;=Actividades!$E54,MOD(N$4-Actividades!$E54,IFERROR(VLOOKUP(Actividades!$D54,Listas!$A$2:$B$8,2,0),52))=0),"P",""))</f>
        <v/>
      </c>
      <c r="O107" s="25" t="str">
        <f aca="false">IF($A107="","",IF(AND(N(Actividades!$E54)&gt;0,O$4&gt;=Actividades!$E54,MOD(O$4-Actividades!$E54,IFERROR(VLOOKUP(Actividades!$D54,Listas!$A$2:$B$8,2,0),52))=0),"P",""))</f>
        <v/>
      </c>
      <c r="P107" s="25" t="str">
        <f aca="false">IF($A107="","",IF(AND(N(Actividades!$E54)&gt;0,P$4&gt;=Actividades!$E54,MOD(P$4-Actividades!$E54,IFERROR(VLOOKUP(Actividades!$D54,Listas!$A$2:$B$8,2,0),52))=0),"P",""))</f>
        <v/>
      </c>
      <c r="Q107" s="25" t="str">
        <f aca="false">IF($A107="","",IF(AND(N(Actividades!$E54)&gt;0,Q$4&gt;=Actividades!$E54,MOD(Q$4-Actividades!$E54,IFERROR(VLOOKUP(Actividades!$D54,Listas!$A$2:$B$8,2,0),52))=0),"P",""))</f>
        <v/>
      </c>
      <c r="R107" s="25" t="str">
        <f aca="false">IF($A107="","",IF(AND(N(Actividades!$E54)&gt;0,R$4&gt;=Actividades!$E54,MOD(R$4-Actividades!$E54,IFERROR(VLOOKUP(Actividades!$D54,Listas!$A$2:$B$8,2,0),52))=0),"P",""))</f>
        <v/>
      </c>
      <c r="S107" s="25" t="str">
        <f aca="false">IF($A107="","",IF(AND(N(Actividades!$E54)&gt;0,S$4&gt;=Actividades!$E54,MOD(S$4-Actividades!$E54,IFERROR(VLOOKUP(Actividades!$D54,Listas!$A$2:$B$8,2,0),52))=0),"P",""))</f>
        <v/>
      </c>
      <c r="T107" s="25" t="str">
        <f aca="false">IF($A107="","",IF(AND(N(Actividades!$E54)&gt;0,T$4&gt;=Actividades!$E54,MOD(T$4-Actividades!$E54,IFERROR(VLOOKUP(Actividades!$D54,Listas!$A$2:$B$8,2,0),52))=0),"P",""))</f>
        <v/>
      </c>
      <c r="U107" s="25" t="str">
        <f aca="false">IF($A107="","",IF(AND(N(Actividades!$E54)&gt;0,U$4&gt;=Actividades!$E54,MOD(U$4-Actividades!$E54,IFERROR(VLOOKUP(Actividades!$D54,Listas!$A$2:$B$8,2,0),52))=0),"P",""))</f>
        <v/>
      </c>
      <c r="V107" s="25" t="str">
        <f aca="false">IF($A107="","",IF(AND(N(Actividades!$E54)&gt;0,V$4&gt;=Actividades!$E54,MOD(V$4-Actividades!$E54,IFERROR(VLOOKUP(Actividades!$D54,Listas!$A$2:$B$8,2,0),52))=0),"P",""))</f>
        <v/>
      </c>
      <c r="W107" s="25" t="str">
        <f aca="false">IF($A107="","",IF(AND(N(Actividades!$E54)&gt;0,W$4&gt;=Actividades!$E54,MOD(W$4-Actividades!$E54,IFERROR(VLOOKUP(Actividades!$D54,Listas!$A$2:$B$8,2,0),52))=0),"P",""))</f>
        <v/>
      </c>
      <c r="X107" s="25" t="str">
        <f aca="false">IF($A107="","",IF(AND(N(Actividades!$E54)&gt;0,X$4&gt;=Actividades!$E54,MOD(X$4-Actividades!$E54,IFERROR(VLOOKUP(Actividades!$D54,Listas!$A$2:$B$8,2,0),52))=0),"P",""))</f>
        <v/>
      </c>
      <c r="Y107" s="25" t="str">
        <f aca="false">IF($A107="","",IF(AND(N(Actividades!$E54)&gt;0,Y$4&gt;=Actividades!$E54,MOD(Y$4-Actividades!$E54,IFERROR(VLOOKUP(Actividades!$D54,Listas!$A$2:$B$8,2,0),52))=0),"P",""))</f>
        <v/>
      </c>
      <c r="Z107" s="25" t="str">
        <f aca="false">IF($A107="","",IF(AND(N(Actividades!$E54)&gt;0,Z$4&gt;=Actividades!$E54,MOD(Z$4-Actividades!$E54,IFERROR(VLOOKUP(Actividades!$D54,Listas!$A$2:$B$8,2,0),52))=0),"P",""))</f>
        <v/>
      </c>
      <c r="AA107" s="25" t="str">
        <f aca="false">IF($A107="","",IF(AND(N(Actividades!$E54)&gt;0,AA$4&gt;=Actividades!$E54,MOD(AA$4-Actividades!$E54,IFERROR(VLOOKUP(Actividades!$D54,Listas!$A$2:$B$8,2,0),52))=0),"P",""))</f>
        <v/>
      </c>
      <c r="AB107" s="25" t="str">
        <f aca="false">IF($A107="","",IF(AND(N(Actividades!$E54)&gt;0,AB$4&gt;=Actividades!$E54,MOD(AB$4-Actividades!$E54,IFERROR(VLOOKUP(Actividades!$D54,Listas!$A$2:$B$8,2,0),52))=0),"P",""))</f>
        <v/>
      </c>
      <c r="AC107" s="25" t="str">
        <f aca="false">IF($A107="","",IF(AND(N(Actividades!$E54)&gt;0,AC$4&gt;=Actividades!$E54,MOD(AC$4-Actividades!$E54,IFERROR(VLOOKUP(Actividades!$D54,Listas!$A$2:$B$8,2,0),52))=0),"P",""))</f>
        <v/>
      </c>
      <c r="AD107" s="25" t="str">
        <f aca="false">IF($A107="","",IF(AND(N(Actividades!$E54)&gt;0,AD$4&gt;=Actividades!$E54,MOD(AD$4-Actividades!$E54,IFERROR(VLOOKUP(Actividades!$D54,Listas!$A$2:$B$8,2,0),52))=0),"P",""))</f>
        <v/>
      </c>
      <c r="AE107" s="25" t="str">
        <f aca="false">IF($A107="","",IF(AND(N(Actividades!$E54)&gt;0,AE$4&gt;=Actividades!$E54,MOD(AE$4-Actividades!$E54,IFERROR(VLOOKUP(Actividades!$D54,Listas!$A$2:$B$8,2,0),52))=0),"P",""))</f>
        <v/>
      </c>
      <c r="AF107" s="25" t="str">
        <f aca="false">IF($A107="","",IF(AND(N(Actividades!$E54)&gt;0,AF$4&gt;=Actividades!$E54,MOD(AF$4-Actividades!$E54,IFERROR(VLOOKUP(Actividades!$D54,Listas!$A$2:$B$8,2,0),52))=0),"P",""))</f>
        <v/>
      </c>
      <c r="AG107" s="25" t="str">
        <f aca="false">IF($A107="","",IF(AND(N(Actividades!$E54)&gt;0,AG$4&gt;=Actividades!$E54,MOD(AG$4-Actividades!$E54,IFERROR(VLOOKUP(Actividades!$D54,Listas!$A$2:$B$8,2,0),52))=0),"P",""))</f>
        <v/>
      </c>
      <c r="AH107" s="25" t="str">
        <f aca="false">IF($A107="","",IF(AND(N(Actividades!$E54)&gt;0,AH$4&gt;=Actividades!$E54,MOD(AH$4-Actividades!$E54,IFERROR(VLOOKUP(Actividades!$D54,Listas!$A$2:$B$8,2,0),52))=0),"P",""))</f>
        <v/>
      </c>
      <c r="AI107" s="25" t="str">
        <f aca="false">IF($A107="","",IF(AND(N(Actividades!$E54)&gt;0,AI$4&gt;=Actividades!$E54,MOD(AI$4-Actividades!$E54,IFERROR(VLOOKUP(Actividades!$D54,Listas!$A$2:$B$8,2,0),52))=0),"P",""))</f>
        <v/>
      </c>
      <c r="AJ107" s="25" t="str">
        <f aca="false">IF($A107="","",IF(AND(N(Actividades!$E54)&gt;0,AJ$4&gt;=Actividades!$E54,MOD(AJ$4-Actividades!$E54,IFERROR(VLOOKUP(Actividades!$D54,Listas!$A$2:$B$8,2,0),52))=0),"P",""))</f>
        <v/>
      </c>
      <c r="AK107" s="25" t="str">
        <f aca="false">IF($A107="","",IF(AND(N(Actividades!$E54)&gt;0,AK$4&gt;=Actividades!$E54,MOD(AK$4-Actividades!$E54,IFERROR(VLOOKUP(Actividades!$D54,Listas!$A$2:$B$8,2,0),52))=0),"P",""))</f>
        <v/>
      </c>
      <c r="AL107" s="25" t="str">
        <f aca="false">IF($A107="","",IF(AND(N(Actividades!$E54)&gt;0,AL$4&gt;=Actividades!$E54,MOD(AL$4-Actividades!$E54,IFERROR(VLOOKUP(Actividades!$D54,Listas!$A$2:$B$8,2,0),52))=0),"P",""))</f>
        <v/>
      </c>
      <c r="AM107" s="25" t="str">
        <f aca="false">IF($A107="","",IF(AND(N(Actividades!$E54)&gt;0,AM$4&gt;=Actividades!$E54,MOD(AM$4-Actividades!$E54,IFERROR(VLOOKUP(Actividades!$D54,Listas!$A$2:$B$8,2,0),52))=0),"P",""))</f>
        <v/>
      </c>
      <c r="AN107" s="25" t="str">
        <f aca="false">IF($A107="","",IF(AND(N(Actividades!$E54)&gt;0,AN$4&gt;=Actividades!$E54,MOD(AN$4-Actividades!$E54,IFERROR(VLOOKUP(Actividades!$D54,Listas!$A$2:$B$8,2,0),52))=0),"P",""))</f>
        <v/>
      </c>
      <c r="AO107" s="25" t="str">
        <f aca="false">IF($A107="","",IF(AND(N(Actividades!$E54)&gt;0,AO$4&gt;=Actividades!$E54,MOD(AO$4-Actividades!$E54,IFERROR(VLOOKUP(Actividades!$D54,Listas!$A$2:$B$8,2,0),52))=0),"P",""))</f>
        <v/>
      </c>
      <c r="AP107" s="25" t="str">
        <f aca="false">IF($A107="","",IF(AND(N(Actividades!$E54)&gt;0,AP$4&gt;=Actividades!$E54,MOD(AP$4-Actividades!$E54,IFERROR(VLOOKUP(Actividades!$D54,Listas!$A$2:$B$8,2,0),52))=0),"P",""))</f>
        <v/>
      </c>
      <c r="AQ107" s="25" t="str">
        <f aca="false">IF($A107="","",IF(AND(N(Actividades!$E54)&gt;0,AQ$4&gt;=Actividades!$E54,MOD(AQ$4-Actividades!$E54,IFERROR(VLOOKUP(Actividades!$D54,Listas!$A$2:$B$8,2,0),52))=0),"P",""))</f>
        <v/>
      </c>
      <c r="AR107" s="25" t="str">
        <f aca="false">IF($A107="","",IF(AND(N(Actividades!$E54)&gt;0,AR$4&gt;=Actividades!$E54,MOD(AR$4-Actividades!$E54,IFERROR(VLOOKUP(Actividades!$D54,Listas!$A$2:$B$8,2,0),52))=0),"P",""))</f>
        <v/>
      </c>
      <c r="AS107" s="25" t="str">
        <f aca="false">IF($A107="","",IF(AND(N(Actividades!$E54)&gt;0,AS$4&gt;=Actividades!$E54,MOD(AS$4-Actividades!$E54,IFERROR(VLOOKUP(Actividades!$D54,Listas!$A$2:$B$8,2,0),52))=0),"P",""))</f>
        <v/>
      </c>
      <c r="AT107" s="25" t="str">
        <f aca="false">IF($A107="","",IF(AND(N(Actividades!$E54)&gt;0,AT$4&gt;=Actividades!$E54,MOD(AT$4-Actividades!$E54,IFERROR(VLOOKUP(Actividades!$D54,Listas!$A$2:$B$8,2,0),52))=0),"P",""))</f>
        <v/>
      </c>
      <c r="AU107" s="25" t="str">
        <f aca="false">IF($A107="","",IF(AND(N(Actividades!$E54)&gt;0,AU$4&gt;=Actividades!$E54,MOD(AU$4-Actividades!$E54,IFERROR(VLOOKUP(Actividades!$D54,Listas!$A$2:$B$8,2,0),52))=0),"P",""))</f>
        <v/>
      </c>
      <c r="AV107" s="25" t="str">
        <f aca="false">IF($A107="","",IF(AND(N(Actividades!$E54)&gt;0,AV$4&gt;=Actividades!$E54,MOD(AV$4-Actividades!$E54,IFERROR(VLOOKUP(Actividades!$D54,Listas!$A$2:$B$8,2,0),52))=0),"P",""))</f>
        <v/>
      </c>
      <c r="AW107" s="25" t="str">
        <f aca="false">IF($A107="","",IF(AND(N(Actividades!$E54)&gt;0,AW$4&gt;=Actividades!$E54,MOD(AW$4-Actividades!$E54,IFERROR(VLOOKUP(Actividades!$D54,Listas!$A$2:$B$8,2,0),52))=0),"P",""))</f>
        <v/>
      </c>
      <c r="AX107" s="25" t="str">
        <f aca="false">IF($A107="","",IF(AND(N(Actividades!$E54)&gt;0,AX$4&gt;=Actividades!$E54,MOD(AX$4-Actividades!$E54,IFERROR(VLOOKUP(Actividades!$D54,Listas!$A$2:$B$8,2,0),52))=0),"P",""))</f>
        <v/>
      </c>
      <c r="AY107" s="25" t="str">
        <f aca="false">IF($A107="","",IF(AND(N(Actividades!$E54)&gt;0,AY$4&gt;=Actividades!$E54,MOD(AY$4-Actividades!$E54,IFERROR(VLOOKUP(Actividades!$D54,Listas!$A$2:$B$8,2,0),52))=0),"P",""))</f>
        <v/>
      </c>
      <c r="AZ107" s="25" t="str">
        <f aca="false">IF($A107="","",IF(AND(N(Actividades!$E54)&gt;0,AZ$4&gt;=Actividades!$E54,MOD(AZ$4-Actividades!$E54,IFERROR(VLOOKUP(Actividades!$D54,Listas!$A$2:$B$8,2,0),52))=0),"P",""))</f>
        <v/>
      </c>
      <c r="BA107" s="25" t="str">
        <f aca="false">IF($A107="","",IF(AND(N(Actividades!$E54)&gt;0,BA$4&gt;=Actividades!$E54,MOD(BA$4-Actividades!$E54,IFERROR(VLOOKUP(Actividades!$D54,Listas!$A$2:$B$8,2,0),52))=0),"P",""))</f>
        <v/>
      </c>
      <c r="BB107" s="25" t="str">
        <f aca="false">IF($A107="","",IF(AND(N(Actividades!$E54)&gt;0,BB$4&gt;=Actividades!$E54,MOD(BB$4-Actividades!$E54,IFERROR(VLOOKUP(Actividades!$D54,Listas!$A$2:$B$8,2,0),52))=0),"P",""))</f>
        <v/>
      </c>
      <c r="BC107" s="25" t="str">
        <f aca="false">IF($A107="","",IF(AND(N(Actividades!$E54)&gt;0,BC$4&gt;=Actividades!$E54,MOD(BC$4-Actividades!$E54,IFERROR(VLOOKUP(Actividades!$D54,Listas!$A$2:$B$8,2,0),52))=0),"P",""))</f>
        <v/>
      </c>
      <c r="BD107" s="26" t="str">
        <f aca="false">IF($A107="","",COUNTIF(D107:BC107,"P"))</f>
        <v/>
      </c>
      <c r="BE107" s="26" t="str">
        <f aca="false">IF($A107="","",SUMPRODUCT((D107:BC107="P")*(D108:BC108="✓")))</f>
        <v/>
      </c>
      <c r="BF107" s="27" t="str">
        <f aca="false">IF($A107="","",IF(BD107=0,"",BE107/BD107))</f>
        <v/>
      </c>
    </row>
    <row r="108" customFormat="false" ht="15" hidden="false" customHeight="false" outlineLevel="0" collapsed="false">
      <c r="A108" s="28"/>
      <c r="B108" s="28"/>
      <c r="C108" s="28" t="str">
        <f aca="false">IF($A107="","","Real")</f>
        <v/>
      </c>
      <c r="D108" s="29" t="str">
        <f aca="false">IF($A107="","",IF(COUNTIFS(Historial!$B$3:$B$502,$A107,Historial!$C$3:$C$502,$B107,Historial!$G$3:$G$502,D$4,Historial!$H$3:$H$502,$B$2)&gt;0,"✓",""))</f>
        <v/>
      </c>
      <c r="E108" s="29" t="str">
        <f aca="false">IF($A107="","",IF(COUNTIFS(Historial!$B$3:$B$502,$A107,Historial!$C$3:$C$502,$B107,Historial!$G$3:$G$502,E$4,Historial!$H$3:$H$502,$B$2)&gt;0,"✓",""))</f>
        <v/>
      </c>
      <c r="F108" s="29" t="str">
        <f aca="false">IF($A107="","",IF(COUNTIFS(Historial!$B$3:$B$502,$A107,Historial!$C$3:$C$502,$B107,Historial!$G$3:$G$502,F$4,Historial!$H$3:$H$502,$B$2)&gt;0,"✓",""))</f>
        <v/>
      </c>
      <c r="G108" s="29" t="str">
        <f aca="false">IF($A107="","",IF(COUNTIFS(Historial!$B$3:$B$502,$A107,Historial!$C$3:$C$502,$B107,Historial!$G$3:$G$502,G$4,Historial!$H$3:$H$502,$B$2)&gt;0,"✓",""))</f>
        <v/>
      </c>
      <c r="H108" s="29" t="str">
        <f aca="false">IF($A107="","",IF(COUNTIFS(Historial!$B$3:$B$502,$A107,Historial!$C$3:$C$502,$B107,Historial!$G$3:$G$502,H$4,Historial!$H$3:$H$502,$B$2)&gt;0,"✓",""))</f>
        <v/>
      </c>
      <c r="I108" s="29" t="str">
        <f aca="false">IF($A107="","",IF(COUNTIFS(Historial!$B$3:$B$502,$A107,Historial!$C$3:$C$502,$B107,Historial!$G$3:$G$502,I$4,Historial!$H$3:$H$502,$B$2)&gt;0,"✓",""))</f>
        <v/>
      </c>
      <c r="J108" s="29" t="str">
        <f aca="false">IF($A107="","",IF(COUNTIFS(Historial!$B$3:$B$502,$A107,Historial!$C$3:$C$502,$B107,Historial!$G$3:$G$502,J$4,Historial!$H$3:$H$502,$B$2)&gt;0,"✓",""))</f>
        <v/>
      </c>
      <c r="K108" s="29" t="str">
        <f aca="false">IF($A107="","",IF(COUNTIFS(Historial!$B$3:$B$502,$A107,Historial!$C$3:$C$502,$B107,Historial!$G$3:$G$502,K$4,Historial!$H$3:$H$502,$B$2)&gt;0,"✓",""))</f>
        <v/>
      </c>
      <c r="L108" s="29" t="str">
        <f aca="false">IF($A107="","",IF(COUNTIFS(Historial!$B$3:$B$502,$A107,Historial!$C$3:$C$502,$B107,Historial!$G$3:$G$502,L$4,Historial!$H$3:$H$502,$B$2)&gt;0,"✓",""))</f>
        <v/>
      </c>
      <c r="M108" s="29" t="str">
        <f aca="false">IF($A107="","",IF(COUNTIFS(Historial!$B$3:$B$502,$A107,Historial!$C$3:$C$502,$B107,Historial!$G$3:$G$502,M$4,Historial!$H$3:$H$502,$B$2)&gt;0,"✓",""))</f>
        <v/>
      </c>
      <c r="N108" s="29" t="str">
        <f aca="false">IF($A107="","",IF(COUNTIFS(Historial!$B$3:$B$502,$A107,Historial!$C$3:$C$502,$B107,Historial!$G$3:$G$502,N$4,Historial!$H$3:$H$502,$B$2)&gt;0,"✓",""))</f>
        <v/>
      </c>
      <c r="O108" s="29" t="str">
        <f aca="false">IF($A107="","",IF(COUNTIFS(Historial!$B$3:$B$502,$A107,Historial!$C$3:$C$502,$B107,Historial!$G$3:$G$502,O$4,Historial!$H$3:$H$502,$B$2)&gt;0,"✓",""))</f>
        <v/>
      </c>
      <c r="P108" s="29" t="str">
        <f aca="false">IF($A107="","",IF(COUNTIFS(Historial!$B$3:$B$502,$A107,Historial!$C$3:$C$502,$B107,Historial!$G$3:$G$502,P$4,Historial!$H$3:$H$502,$B$2)&gt;0,"✓",""))</f>
        <v/>
      </c>
      <c r="Q108" s="29" t="str">
        <f aca="false">IF($A107="","",IF(COUNTIFS(Historial!$B$3:$B$502,$A107,Historial!$C$3:$C$502,$B107,Historial!$G$3:$G$502,Q$4,Historial!$H$3:$H$502,$B$2)&gt;0,"✓",""))</f>
        <v/>
      </c>
      <c r="R108" s="29" t="str">
        <f aca="false">IF($A107="","",IF(COUNTIFS(Historial!$B$3:$B$502,$A107,Historial!$C$3:$C$502,$B107,Historial!$G$3:$G$502,R$4,Historial!$H$3:$H$502,$B$2)&gt;0,"✓",""))</f>
        <v/>
      </c>
      <c r="S108" s="29" t="str">
        <f aca="false">IF($A107="","",IF(COUNTIFS(Historial!$B$3:$B$502,$A107,Historial!$C$3:$C$502,$B107,Historial!$G$3:$G$502,S$4,Historial!$H$3:$H$502,$B$2)&gt;0,"✓",""))</f>
        <v/>
      </c>
      <c r="T108" s="29" t="str">
        <f aca="false">IF($A107="","",IF(COUNTIFS(Historial!$B$3:$B$502,$A107,Historial!$C$3:$C$502,$B107,Historial!$G$3:$G$502,T$4,Historial!$H$3:$H$502,$B$2)&gt;0,"✓",""))</f>
        <v/>
      </c>
      <c r="U108" s="29" t="str">
        <f aca="false">IF($A107="","",IF(COUNTIFS(Historial!$B$3:$B$502,$A107,Historial!$C$3:$C$502,$B107,Historial!$G$3:$G$502,U$4,Historial!$H$3:$H$502,$B$2)&gt;0,"✓",""))</f>
        <v/>
      </c>
      <c r="V108" s="29" t="str">
        <f aca="false">IF($A107="","",IF(COUNTIFS(Historial!$B$3:$B$502,$A107,Historial!$C$3:$C$502,$B107,Historial!$G$3:$G$502,V$4,Historial!$H$3:$H$502,$B$2)&gt;0,"✓",""))</f>
        <v/>
      </c>
      <c r="W108" s="29" t="str">
        <f aca="false">IF($A107="","",IF(COUNTIFS(Historial!$B$3:$B$502,$A107,Historial!$C$3:$C$502,$B107,Historial!$G$3:$G$502,W$4,Historial!$H$3:$H$502,$B$2)&gt;0,"✓",""))</f>
        <v/>
      </c>
      <c r="X108" s="29" t="str">
        <f aca="false">IF($A107="","",IF(COUNTIFS(Historial!$B$3:$B$502,$A107,Historial!$C$3:$C$502,$B107,Historial!$G$3:$G$502,X$4,Historial!$H$3:$H$502,$B$2)&gt;0,"✓",""))</f>
        <v/>
      </c>
      <c r="Y108" s="29" t="str">
        <f aca="false">IF($A107="","",IF(COUNTIFS(Historial!$B$3:$B$502,$A107,Historial!$C$3:$C$502,$B107,Historial!$G$3:$G$502,Y$4,Historial!$H$3:$H$502,$B$2)&gt;0,"✓",""))</f>
        <v/>
      </c>
      <c r="Z108" s="29" t="str">
        <f aca="false">IF($A107="","",IF(COUNTIFS(Historial!$B$3:$B$502,$A107,Historial!$C$3:$C$502,$B107,Historial!$G$3:$G$502,Z$4,Historial!$H$3:$H$502,$B$2)&gt;0,"✓",""))</f>
        <v/>
      </c>
      <c r="AA108" s="29" t="str">
        <f aca="false">IF($A107="","",IF(COUNTIFS(Historial!$B$3:$B$502,$A107,Historial!$C$3:$C$502,$B107,Historial!$G$3:$G$502,AA$4,Historial!$H$3:$H$502,$B$2)&gt;0,"✓",""))</f>
        <v/>
      </c>
      <c r="AB108" s="29" t="str">
        <f aca="false">IF($A107="","",IF(COUNTIFS(Historial!$B$3:$B$502,$A107,Historial!$C$3:$C$502,$B107,Historial!$G$3:$G$502,AB$4,Historial!$H$3:$H$502,$B$2)&gt;0,"✓",""))</f>
        <v/>
      </c>
      <c r="AC108" s="29" t="str">
        <f aca="false">IF($A107="","",IF(COUNTIFS(Historial!$B$3:$B$502,$A107,Historial!$C$3:$C$502,$B107,Historial!$G$3:$G$502,AC$4,Historial!$H$3:$H$502,$B$2)&gt;0,"✓",""))</f>
        <v/>
      </c>
      <c r="AD108" s="29" t="str">
        <f aca="false">IF($A107="","",IF(COUNTIFS(Historial!$B$3:$B$502,$A107,Historial!$C$3:$C$502,$B107,Historial!$G$3:$G$502,AD$4,Historial!$H$3:$H$502,$B$2)&gt;0,"✓",""))</f>
        <v/>
      </c>
      <c r="AE108" s="29" t="str">
        <f aca="false">IF($A107="","",IF(COUNTIFS(Historial!$B$3:$B$502,$A107,Historial!$C$3:$C$502,$B107,Historial!$G$3:$G$502,AE$4,Historial!$H$3:$H$502,$B$2)&gt;0,"✓",""))</f>
        <v/>
      </c>
      <c r="AF108" s="29" t="str">
        <f aca="false">IF($A107="","",IF(COUNTIFS(Historial!$B$3:$B$502,$A107,Historial!$C$3:$C$502,$B107,Historial!$G$3:$G$502,AF$4,Historial!$H$3:$H$502,$B$2)&gt;0,"✓",""))</f>
        <v/>
      </c>
      <c r="AG108" s="29" t="str">
        <f aca="false">IF($A107="","",IF(COUNTIFS(Historial!$B$3:$B$502,$A107,Historial!$C$3:$C$502,$B107,Historial!$G$3:$G$502,AG$4,Historial!$H$3:$H$502,$B$2)&gt;0,"✓",""))</f>
        <v/>
      </c>
      <c r="AH108" s="29" t="str">
        <f aca="false">IF($A107="","",IF(COUNTIFS(Historial!$B$3:$B$502,$A107,Historial!$C$3:$C$502,$B107,Historial!$G$3:$G$502,AH$4,Historial!$H$3:$H$502,$B$2)&gt;0,"✓",""))</f>
        <v/>
      </c>
      <c r="AI108" s="29" t="str">
        <f aca="false">IF($A107="","",IF(COUNTIFS(Historial!$B$3:$B$502,$A107,Historial!$C$3:$C$502,$B107,Historial!$G$3:$G$502,AI$4,Historial!$H$3:$H$502,$B$2)&gt;0,"✓",""))</f>
        <v/>
      </c>
      <c r="AJ108" s="29" t="str">
        <f aca="false">IF($A107="","",IF(COUNTIFS(Historial!$B$3:$B$502,$A107,Historial!$C$3:$C$502,$B107,Historial!$G$3:$G$502,AJ$4,Historial!$H$3:$H$502,$B$2)&gt;0,"✓",""))</f>
        <v/>
      </c>
      <c r="AK108" s="29" t="str">
        <f aca="false">IF($A107="","",IF(COUNTIFS(Historial!$B$3:$B$502,$A107,Historial!$C$3:$C$502,$B107,Historial!$G$3:$G$502,AK$4,Historial!$H$3:$H$502,$B$2)&gt;0,"✓",""))</f>
        <v/>
      </c>
      <c r="AL108" s="29" t="str">
        <f aca="false">IF($A107="","",IF(COUNTIFS(Historial!$B$3:$B$502,$A107,Historial!$C$3:$C$502,$B107,Historial!$G$3:$G$502,AL$4,Historial!$H$3:$H$502,$B$2)&gt;0,"✓",""))</f>
        <v/>
      </c>
      <c r="AM108" s="29" t="str">
        <f aca="false">IF($A107="","",IF(COUNTIFS(Historial!$B$3:$B$502,$A107,Historial!$C$3:$C$502,$B107,Historial!$G$3:$G$502,AM$4,Historial!$H$3:$H$502,$B$2)&gt;0,"✓",""))</f>
        <v/>
      </c>
      <c r="AN108" s="29" t="str">
        <f aca="false">IF($A107="","",IF(COUNTIFS(Historial!$B$3:$B$502,$A107,Historial!$C$3:$C$502,$B107,Historial!$G$3:$G$502,AN$4,Historial!$H$3:$H$502,$B$2)&gt;0,"✓",""))</f>
        <v/>
      </c>
      <c r="AO108" s="29" t="str">
        <f aca="false">IF($A107="","",IF(COUNTIFS(Historial!$B$3:$B$502,$A107,Historial!$C$3:$C$502,$B107,Historial!$G$3:$G$502,AO$4,Historial!$H$3:$H$502,$B$2)&gt;0,"✓",""))</f>
        <v/>
      </c>
      <c r="AP108" s="29" t="str">
        <f aca="false">IF($A107="","",IF(COUNTIFS(Historial!$B$3:$B$502,$A107,Historial!$C$3:$C$502,$B107,Historial!$G$3:$G$502,AP$4,Historial!$H$3:$H$502,$B$2)&gt;0,"✓",""))</f>
        <v/>
      </c>
      <c r="AQ108" s="29" t="str">
        <f aca="false">IF($A107="","",IF(COUNTIFS(Historial!$B$3:$B$502,$A107,Historial!$C$3:$C$502,$B107,Historial!$G$3:$G$502,AQ$4,Historial!$H$3:$H$502,$B$2)&gt;0,"✓",""))</f>
        <v/>
      </c>
      <c r="AR108" s="29" t="str">
        <f aca="false">IF($A107="","",IF(COUNTIFS(Historial!$B$3:$B$502,$A107,Historial!$C$3:$C$502,$B107,Historial!$G$3:$G$502,AR$4,Historial!$H$3:$H$502,$B$2)&gt;0,"✓",""))</f>
        <v/>
      </c>
      <c r="AS108" s="29" t="str">
        <f aca="false">IF($A107="","",IF(COUNTIFS(Historial!$B$3:$B$502,$A107,Historial!$C$3:$C$502,$B107,Historial!$G$3:$G$502,AS$4,Historial!$H$3:$H$502,$B$2)&gt;0,"✓",""))</f>
        <v/>
      </c>
      <c r="AT108" s="29" t="str">
        <f aca="false">IF($A107="","",IF(COUNTIFS(Historial!$B$3:$B$502,$A107,Historial!$C$3:$C$502,$B107,Historial!$G$3:$G$502,AT$4,Historial!$H$3:$H$502,$B$2)&gt;0,"✓",""))</f>
        <v/>
      </c>
      <c r="AU108" s="29" t="str">
        <f aca="false">IF($A107="","",IF(COUNTIFS(Historial!$B$3:$B$502,$A107,Historial!$C$3:$C$502,$B107,Historial!$G$3:$G$502,AU$4,Historial!$H$3:$H$502,$B$2)&gt;0,"✓",""))</f>
        <v/>
      </c>
      <c r="AV108" s="29" t="str">
        <f aca="false">IF($A107="","",IF(COUNTIFS(Historial!$B$3:$B$502,$A107,Historial!$C$3:$C$502,$B107,Historial!$G$3:$G$502,AV$4,Historial!$H$3:$H$502,$B$2)&gt;0,"✓",""))</f>
        <v/>
      </c>
      <c r="AW108" s="29" t="str">
        <f aca="false">IF($A107="","",IF(COUNTIFS(Historial!$B$3:$B$502,$A107,Historial!$C$3:$C$502,$B107,Historial!$G$3:$G$502,AW$4,Historial!$H$3:$H$502,$B$2)&gt;0,"✓",""))</f>
        <v/>
      </c>
      <c r="AX108" s="29" t="str">
        <f aca="false">IF($A107="","",IF(COUNTIFS(Historial!$B$3:$B$502,$A107,Historial!$C$3:$C$502,$B107,Historial!$G$3:$G$502,AX$4,Historial!$H$3:$H$502,$B$2)&gt;0,"✓",""))</f>
        <v/>
      </c>
      <c r="AY108" s="29" t="str">
        <f aca="false">IF($A107="","",IF(COUNTIFS(Historial!$B$3:$B$502,$A107,Historial!$C$3:$C$502,$B107,Historial!$G$3:$G$502,AY$4,Historial!$H$3:$H$502,$B$2)&gt;0,"✓",""))</f>
        <v/>
      </c>
      <c r="AZ108" s="29" t="str">
        <f aca="false">IF($A107="","",IF(COUNTIFS(Historial!$B$3:$B$502,$A107,Historial!$C$3:$C$502,$B107,Historial!$G$3:$G$502,AZ$4,Historial!$H$3:$H$502,$B$2)&gt;0,"✓",""))</f>
        <v/>
      </c>
      <c r="BA108" s="29" t="str">
        <f aca="false">IF($A107="","",IF(COUNTIFS(Historial!$B$3:$B$502,$A107,Historial!$C$3:$C$502,$B107,Historial!$G$3:$G$502,BA$4,Historial!$H$3:$H$502,$B$2)&gt;0,"✓",""))</f>
        <v/>
      </c>
      <c r="BB108" s="29" t="str">
        <f aca="false">IF($A107="","",IF(COUNTIFS(Historial!$B$3:$B$502,$A107,Historial!$C$3:$C$502,$B107,Historial!$G$3:$G$502,BB$4,Historial!$H$3:$H$502,$B$2)&gt;0,"✓",""))</f>
        <v/>
      </c>
      <c r="BC108" s="29" t="str">
        <f aca="false">IF($A107="","",IF(COUNTIFS(Historial!$B$3:$B$502,$A107,Historial!$C$3:$C$502,$B107,Historial!$G$3:$G$502,BC$4,Historial!$H$3:$H$502,$B$2)&gt;0,"✓",""))</f>
        <v/>
      </c>
      <c r="BD108" s="29"/>
      <c r="BE108" s="29"/>
      <c r="BF108" s="29"/>
    </row>
    <row r="109" customFormat="false" ht="15" hidden="false" customHeight="false" outlineLevel="0" collapsed="false">
      <c r="A109" s="24" t="str">
        <f aca="false">IF(Actividades!$B55="","",Actividades!$B55)</f>
        <v/>
      </c>
      <c r="B109" s="24" t="str">
        <f aca="false">IF(Actividades!$C55="","",Actividades!$C55)</f>
        <v/>
      </c>
      <c r="C109" s="24" t="str">
        <f aca="false">IF($A109="","","Plan")</f>
        <v/>
      </c>
      <c r="D109" s="25" t="str">
        <f aca="false">IF($A109="","",IF(AND(N(Actividades!$E55)&gt;0,D$4&gt;=Actividades!$E55,MOD(D$4-Actividades!$E55,IFERROR(VLOOKUP(Actividades!$D55,Listas!$A$2:$B$8,2,0),52))=0),"P",""))</f>
        <v/>
      </c>
      <c r="E109" s="25" t="str">
        <f aca="false">IF($A109="","",IF(AND(N(Actividades!$E55)&gt;0,E$4&gt;=Actividades!$E55,MOD(E$4-Actividades!$E55,IFERROR(VLOOKUP(Actividades!$D55,Listas!$A$2:$B$8,2,0),52))=0),"P",""))</f>
        <v/>
      </c>
      <c r="F109" s="25" t="str">
        <f aca="false">IF($A109="","",IF(AND(N(Actividades!$E55)&gt;0,F$4&gt;=Actividades!$E55,MOD(F$4-Actividades!$E55,IFERROR(VLOOKUP(Actividades!$D55,Listas!$A$2:$B$8,2,0),52))=0),"P",""))</f>
        <v/>
      </c>
      <c r="G109" s="25" t="str">
        <f aca="false">IF($A109="","",IF(AND(N(Actividades!$E55)&gt;0,G$4&gt;=Actividades!$E55,MOD(G$4-Actividades!$E55,IFERROR(VLOOKUP(Actividades!$D55,Listas!$A$2:$B$8,2,0),52))=0),"P",""))</f>
        <v/>
      </c>
      <c r="H109" s="25" t="str">
        <f aca="false">IF($A109="","",IF(AND(N(Actividades!$E55)&gt;0,H$4&gt;=Actividades!$E55,MOD(H$4-Actividades!$E55,IFERROR(VLOOKUP(Actividades!$D55,Listas!$A$2:$B$8,2,0),52))=0),"P",""))</f>
        <v/>
      </c>
      <c r="I109" s="25" t="str">
        <f aca="false">IF($A109="","",IF(AND(N(Actividades!$E55)&gt;0,I$4&gt;=Actividades!$E55,MOD(I$4-Actividades!$E55,IFERROR(VLOOKUP(Actividades!$D55,Listas!$A$2:$B$8,2,0),52))=0),"P",""))</f>
        <v/>
      </c>
      <c r="J109" s="25" t="str">
        <f aca="false">IF($A109="","",IF(AND(N(Actividades!$E55)&gt;0,J$4&gt;=Actividades!$E55,MOD(J$4-Actividades!$E55,IFERROR(VLOOKUP(Actividades!$D55,Listas!$A$2:$B$8,2,0),52))=0),"P",""))</f>
        <v/>
      </c>
      <c r="K109" s="25" t="str">
        <f aca="false">IF($A109="","",IF(AND(N(Actividades!$E55)&gt;0,K$4&gt;=Actividades!$E55,MOD(K$4-Actividades!$E55,IFERROR(VLOOKUP(Actividades!$D55,Listas!$A$2:$B$8,2,0),52))=0),"P",""))</f>
        <v/>
      </c>
      <c r="L109" s="25" t="str">
        <f aca="false">IF($A109="","",IF(AND(N(Actividades!$E55)&gt;0,L$4&gt;=Actividades!$E55,MOD(L$4-Actividades!$E55,IFERROR(VLOOKUP(Actividades!$D55,Listas!$A$2:$B$8,2,0),52))=0),"P",""))</f>
        <v/>
      </c>
      <c r="M109" s="25" t="str">
        <f aca="false">IF($A109="","",IF(AND(N(Actividades!$E55)&gt;0,M$4&gt;=Actividades!$E55,MOD(M$4-Actividades!$E55,IFERROR(VLOOKUP(Actividades!$D55,Listas!$A$2:$B$8,2,0),52))=0),"P",""))</f>
        <v/>
      </c>
      <c r="N109" s="25" t="str">
        <f aca="false">IF($A109="","",IF(AND(N(Actividades!$E55)&gt;0,N$4&gt;=Actividades!$E55,MOD(N$4-Actividades!$E55,IFERROR(VLOOKUP(Actividades!$D55,Listas!$A$2:$B$8,2,0),52))=0),"P",""))</f>
        <v/>
      </c>
      <c r="O109" s="25" t="str">
        <f aca="false">IF($A109="","",IF(AND(N(Actividades!$E55)&gt;0,O$4&gt;=Actividades!$E55,MOD(O$4-Actividades!$E55,IFERROR(VLOOKUP(Actividades!$D55,Listas!$A$2:$B$8,2,0),52))=0),"P",""))</f>
        <v/>
      </c>
      <c r="P109" s="25" t="str">
        <f aca="false">IF($A109="","",IF(AND(N(Actividades!$E55)&gt;0,P$4&gt;=Actividades!$E55,MOD(P$4-Actividades!$E55,IFERROR(VLOOKUP(Actividades!$D55,Listas!$A$2:$B$8,2,0),52))=0),"P",""))</f>
        <v/>
      </c>
      <c r="Q109" s="25" t="str">
        <f aca="false">IF($A109="","",IF(AND(N(Actividades!$E55)&gt;0,Q$4&gt;=Actividades!$E55,MOD(Q$4-Actividades!$E55,IFERROR(VLOOKUP(Actividades!$D55,Listas!$A$2:$B$8,2,0),52))=0),"P",""))</f>
        <v/>
      </c>
      <c r="R109" s="25" t="str">
        <f aca="false">IF($A109="","",IF(AND(N(Actividades!$E55)&gt;0,R$4&gt;=Actividades!$E55,MOD(R$4-Actividades!$E55,IFERROR(VLOOKUP(Actividades!$D55,Listas!$A$2:$B$8,2,0),52))=0),"P",""))</f>
        <v/>
      </c>
      <c r="S109" s="25" t="str">
        <f aca="false">IF($A109="","",IF(AND(N(Actividades!$E55)&gt;0,S$4&gt;=Actividades!$E55,MOD(S$4-Actividades!$E55,IFERROR(VLOOKUP(Actividades!$D55,Listas!$A$2:$B$8,2,0),52))=0),"P",""))</f>
        <v/>
      </c>
      <c r="T109" s="25" t="str">
        <f aca="false">IF($A109="","",IF(AND(N(Actividades!$E55)&gt;0,T$4&gt;=Actividades!$E55,MOD(T$4-Actividades!$E55,IFERROR(VLOOKUP(Actividades!$D55,Listas!$A$2:$B$8,2,0),52))=0),"P",""))</f>
        <v/>
      </c>
      <c r="U109" s="25" t="str">
        <f aca="false">IF($A109="","",IF(AND(N(Actividades!$E55)&gt;0,U$4&gt;=Actividades!$E55,MOD(U$4-Actividades!$E55,IFERROR(VLOOKUP(Actividades!$D55,Listas!$A$2:$B$8,2,0),52))=0),"P",""))</f>
        <v/>
      </c>
      <c r="V109" s="25" t="str">
        <f aca="false">IF($A109="","",IF(AND(N(Actividades!$E55)&gt;0,V$4&gt;=Actividades!$E55,MOD(V$4-Actividades!$E55,IFERROR(VLOOKUP(Actividades!$D55,Listas!$A$2:$B$8,2,0),52))=0),"P",""))</f>
        <v/>
      </c>
      <c r="W109" s="25" t="str">
        <f aca="false">IF($A109="","",IF(AND(N(Actividades!$E55)&gt;0,W$4&gt;=Actividades!$E55,MOD(W$4-Actividades!$E55,IFERROR(VLOOKUP(Actividades!$D55,Listas!$A$2:$B$8,2,0),52))=0),"P",""))</f>
        <v/>
      </c>
      <c r="X109" s="25" t="str">
        <f aca="false">IF($A109="","",IF(AND(N(Actividades!$E55)&gt;0,X$4&gt;=Actividades!$E55,MOD(X$4-Actividades!$E55,IFERROR(VLOOKUP(Actividades!$D55,Listas!$A$2:$B$8,2,0),52))=0),"P",""))</f>
        <v/>
      </c>
      <c r="Y109" s="25" t="str">
        <f aca="false">IF($A109="","",IF(AND(N(Actividades!$E55)&gt;0,Y$4&gt;=Actividades!$E55,MOD(Y$4-Actividades!$E55,IFERROR(VLOOKUP(Actividades!$D55,Listas!$A$2:$B$8,2,0),52))=0),"P",""))</f>
        <v/>
      </c>
      <c r="Z109" s="25" t="str">
        <f aca="false">IF($A109="","",IF(AND(N(Actividades!$E55)&gt;0,Z$4&gt;=Actividades!$E55,MOD(Z$4-Actividades!$E55,IFERROR(VLOOKUP(Actividades!$D55,Listas!$A$2:$B$8,2,0),52))=0),"P",""))</f>
        <v/>
      </c>
      <c r="AA109" s="25" t="str">
        <f aca="false">IF($A109="","",IF(AND(N(Actividades!$E55)&gt;0,AA$4&gt;=Actividades!$E55,MOD(AA$4-Actividades!$E55,IFERROR(VLOOKUP(Actividades!$D55,Listas!$A$2:$B$8,2,0),52))=0),"P",""))</f>
        <v/>
      </c>
      <c r="AB109" s="25" t="str">
        <f aca="false">IF($A109="","",IF(AND(N(Actividades!$E55)&gt;0,AB$4&gt;=Actividades!$E55,MOD(AB$4-Actividades!$E55,IFERROR(VLOOKUP(Actividades!$D55,Listas!$A$2:$B$8,2,0),52))=0),"P",""))</f>
        <v/>
      </c>
      <c r="AC109" s="25" t="str">
        <f aca="false">IF($A109="","",IF(AND(N(Actividades!$E55)&gt;0,AC$4&gt;=Actividades!$E55,MOD(AC$4-Actividades!$E55,IFERROR(VLOOKUP(Actividades!$D55,Listas!$A$2:$B$8,2,0),52))=0),"P",""))</f>
        <v/>
      </c>
      <c r="AD109" s="25" t="str">
        <f aca="false">IF($A109="","",IF(AND(N(Actividades!$E55)&gt;0,AD$4&gt;=Actividades!$E55,MOD(AD$4-Actividades!$E55,IFERROR(VLOOKUP(Actividades!$D55,Listas!$A$2:$B$8,2,0),52))=0),"P",""))</f>
        <v/>
      </c>
      <c r="AE109" s="25" t="str">
        <f aca="false">IF($A109="","",IF(AND(N(Actividades!$E55)&gt;0,AE$4&gt;=Actividades!$E55,MOD(AE$4-Actividades!$E55,IFERROR(VLOOKUP(Actividades!$D55,Listas!$A$2:$B$8,2,0),52))=0),"P",""))</f>
        <v/>
      </c>
      <c r="AF109" s="25" t="str">
        <f aca="false">IF($A109="","",IF(AND(N(Actividades!$E55)&gt;0,AF$4&gt;=Actividades!$E55,MOD(AF$4-Actividades!$E55,IFERROR(VLOOKUP(Actividades!$D55,Listas!$A$2:$B$8,2,0),52))=0),"P",""))</f>
        <v/>
      </c>
      <c r="AG109" s="25" t="str">
        <f aca="false">IF($A109="","",IF(AND(N(Actividades!$E55)&gt;0,AG$4&gt;=Actividades!$E55,MOD(AG$4-Actividades!$E55,IFERROR(VLOOKUP(Actividades!$D55,Listas!$A$2:$B$8,2,0),52))=0),"P",""))</f>
        <v/>
      </c>
      <c r="AH109" s="25" t="str">
        <f aca="false">IF($A109="","",IF(AND(N(Actividades!$E55)&gt;0,AH$4&gt;=Actividades!$E55,MOD(AH$4-Actividades!$E55,IFERROR(VLOOKUP(Actividades!$D55,Listas!$A$2:$B$8,2,0),52))=0),"P",""))</f>
        <v/>
      </c>
      <c r="AI109" s="25" t="str">
        <f aca="false">IF($A109="","",IF(AND(N(Actividades!$E55)&gt;0,AI$4&gt;=Actividades!$E55,MOD(AI$4-Actividades!$E55,IFERROR(VLOOKUP(Actividades!$D55,Listas!$A$2:$B$8,2,0),52))=0),"P",""))</f>
        <v/>
      </c>
      <c r="AJ109" s="25" t="str">
        <f aca="false">IF($A109="","",IF(AND(N(Actividades!$E55)&gt;0,AJ$4&gt;=Actividades!$E55,MOD(AJ$4-Actividades!$E55,IFERROR(VLOOKUP(Actividades!$D55,Listas!$A$2:$B$8,2,0),52))=0),"P",""))</f>
        <v/>
      </c>
      <c r="AK109" s="25" t="str">
        <f aca="false">IF($A109="","",IF(AND(N(Actividades!$E55)&gt;0,AK$4&gt;=Actividades!$E55,MOD(AK$4-Actividades!$E55,IFERROR(VLOOKUP(Actividades!$D55,Listas!$A$2:$B$8,2,0),52))=0),"P",""))</f>
        <v/>
      </c>
      <c r="AL109" s="25" t="str">
        <f aca="false">IF($A109="","",IF(AND(N(Actividades!$E55)&gt;0,AL$4&gt;=Actividades!$E55,MOD(AL$4-Actividades!$E55,IFERROR(VLOOKUP(Actividades!$D55,Listas!$A$2:$B$8,2,0),52))=0),"P",""))</f>
        <v/>
      </c>
      <c r="AM109" s="25" t="str">
        <f aca="false">IF($A109="","",IF(AND(N(Actividades!$E55)&gt;0,AM$4&gt;=Actividades!$E55,MOD(AM$4-Actividades!$E55,IFERROR(VLOOKUP(Actividades!$D55,Listas!$A$2:$B$8,2,0),52))=0),"P",""))</f>
        <v/>
      </c>
      <c r="AN109" s="25" t="str">
        <f aca="false">IF($A109="","",IF(AND(N(Actividades!$E55)&gt;0,AN$4&gt;=Actividades!$E55,MOD(AN$4-Actividades!$E55,IFERROR(VLOOKUP(Actividades!$D55,Listas!$A$2:$B$8,2,0),52))=0),"P",""))</f>
        <v/>
      </c>
      <c r="AO109" s="25" t="str">
        <f aca="false">IF($A109="","",IF(AND(N(Actividades!$E55)&gt;0,AO$4&gt;=Actividades!$E55,MOD(AO$4-Actividades!$E55,IFERROR(VLOOKUP(Actividades!$D55,Listas!$A$2:$B$8,2,0),52))=0),"P",""))</f>
        <v/>
      </c>
      <c r="AP109" s="25" t="str">
        <f aca="false">IF($A109="","",IF(AND(N(Actividades!$E55)&gt;0,AP$4&gt;=Actividades!$E55,MOD(AP$4-Actividades!$E55,IFERROR(VLOOKUP(Actividades!$D55,Listas!$A$2:$B$8,2,0),52))=0),"P",""))</f>
        <v/>
      </c>
      <c r="AQ109" s="25" t="str">
        <f aca="false">IF($A109="","",IF(AND(N(Actividades!$E55)&gt;0,AQ$4&gt;=Actividades!$E55,MOD(AQ$4-Actividades!$E55,IFERROR(VLOOKUP(Actividades!$D55,Listas!$A$2:$B$8,2,0),52))=0),"P",""))</f>
        <v/>
      </c>
      <c r="AR109" s="25" t="str">
        <f aca="false">IF($A109="","",IF(AND(N(Actividades!$E55)&gt;0,AR$4&gt;=Actividades!$E55,MOD(AR$4-Actividades!$E55,IFERROR(VLOOKUP(Actividades!$D55,Listas!$A$2:$B$8,2,0),52))=0),"P",""))</f>
        <v/>
      </c>
      <c r="AS109" s="25" t="str">
        <f aca="false">IF($A109="","",IF(AND(N(Actividades!$E55)&gt;0,AS$4&gt;=Actividades!$E55,MOD(AS$4-Actividades!$E55,IFERROR(VLOOKUP(Actividades!$D55,Listas!$A$2:$B$8,2,0),52))=0),"P",""))</f>
        <v/>
      </c>
      <c r="AT109" s="25" t="str">
        <f aca="false">IF($A109="","",IF(AND(N(Actividades!$E55)&gt;0,AT$4&gt;=Actividades!$E55,MOD(AT$4-Actividades!$E55,IFERROR(VLOOKUP(Actividades!$D55,Listas!$A$2:$B$8,2,0),52))=0),"P",""))</f>
        <v/>
      </c>
      <c r="AU109" s="25" t="str">
        <f aca="false">IF($A109="","",IF(AND(N(Actividades!$E55)&gt;0,AU$4&gt;=Actividades!$E55,MOD(AU$4-Actividades!$E55,IFERROR(VLOOKUP(Actividades!$D55,Listas!$A$2:$B$8,2,0),52))=0),"P",""))</f>
        <v/>
      </c>
      <c r="AV109" s="25" t="str">
        <f aca="false">IF($A109="","",IF(AND(N(Actividades!$E55)&gt;0,AV$4&gt;=Actividades!$E55,MOD(AV$4-Actividades!$E55,IFERROR(VLOOKUP(Actividades!$D55,Listas!$A$2:$B$8,2,0),52))=0),"P",""))</f>
        <v/>
      </c>
      <c r="AW109" s="25" t="str">
        <f aca="false">IF($A109="","",IF(AND(N(Actividades!$E55)&gt;0,AW$4&gt;=Actividades!$E55,MOD(AW$4-Actividades!$E55,IFERROR(VLOOKUP(Actividades!$D55,Listas!$A$2:$B$8,2,0),52))=0),"P",""))</f>
        <v/>
      </c>
      <c r="AX109" s="25" t="str">
        <f aca="false">IF($A109="","",IF(AND(N(Actividades!$E55)&gt;0,AX$4&gt;=Actividades!$E55,MOD(AX$4-Actividades!$E55,IFERROR(VLOOKUP(Actividades!$D55,Listas!$A$2:$B$8,2,0),52))=0),"P",""))</f>
        <v/>
      </c>
      <c r="AY109" s="25" t="str">
        <f aca="false">IF($A109="","",IF(AND(N(Actividades!$E55)&gt;0,AY$4&gt;=Actividades!$E55,MOD(AY$4-Actividades!$E55,IFERROR(VLOOKUP(Actividades!$D55,Listas!$A$2:$B$8,2,0),52))=0),"P",""))</f>
        <v/>
      </c>
      <c r="AZ109" s="25" t="str">
        <f aca="false">IF($A109="","",IF(AND(N(Actividades!$E55)&gt;0,AZ$4&gt;=Actividades!$E55,MOD(AZ$4-Actividades!$E55,IFERROR(VLOOKUP(Actividades!$D55,Listas!$A$2:$B$8,2,0),52))=0),"P",""))</f>
        <v/>
      </c>
      <c r="BA109" s="25" t="str">
        <f aca="false">IF($A109="","",IF(AND(N(Actividades!$E55)&gt;0,BA$4&gt;=Actividades!$E55,MOD(BA$4-Actividades!$E55,IFERROR(VLOOKUP(Actividades!$D55,Listas!$A$2:$B$8,2,0),52))=0),"P",""))</f>
        <v/>
      </c>
      <c r="BB109" s="25" t="str">
        <f aca="false">IF($A109="","",IF(AND(N(Actividades!$E55)&gt;0,BB$4&gt;=Actividades!$E55,MOD(BB$4-Actividades!$E55,IFERROR(VLOOKUP(Actividades!$D55,Listas!$A$2:$B$8,2,0),52))=0),"P",""))</f>
        <v/>
      </c>
      <c r="BC109" s="25" t="str">
        <f aca="false">IF($A109="","",IF(AND(N(Actividades!$E55)&gt;0,BC$4&gt;=Actividades!$E55,MOD(BC$4-Actividades!$E55,IFERROR(VLOOKUP(Actividades!$D55,Listas!$A$2:$B$8,2,0),52))=0),"P",""))</f>
        <v/>
      </c>
      <c r="BD109" s="26" t="str">
        <f aca="false">IF($A109="","",COUNTIF(D109:BC109,"P"))</f>
        <v/>
      </c>
      <c r="BE109" s="26" t="str">
        <f aca="false">IF($A109="","",SUMPRODUCT((D109:BC109="P")*(D110:BC110="✓")))</f>
        <v/>
      </c>
      <c r="BF109" s="27" t="str">
        <f aca="false">IF($A109="","",IF(BD109=0,"",BE109/BD109))</f>
        <v/>
      </c>
    </row>
    <row r="110" customFormat="false" ht="15" hidden="false" customHeight="false" outlineLevel="0" collapsed="false">
      <c r="A110" s="28"/>
      <c r="B110" s="28"/>
      <c r="C110" s="28" t="str">
        <f aca="false">IF($A109="","","Real")</f>
        <v/>
      </c>
      <c r="D110" s="29" t="str">
        <f aca="false">IF($A109="","",IF(COUNTIFS(Historial!$B$3:$B$502,$A109,Historial!$C$3:$C$502,$B109,Historial!$G$3:$G$502,D$4,Historial!$H$3:$H$502,$B$2)&gt;0,"✓",""))</f>
        <v/>
      </c>
      <c r="E110" s="29" t="str">
        <f aca="false">IF($A109="","",IF(COUNTIFS(Historial!$B$3:$B$502,$A109,Historial!$C$3:$C$502,$B109,Historial!$G$3:$G$502,E$4,Historial!$H$3:$H$502,$B$2)&gt;0,"✓",""))</f>
        <v/>
      </c>
      <c r="F110" s="29" t="str">
        <f aca="false">IF($A109="","",IF(COUNTIFS(Historial!$B$3:$B$502,$A109,Historial!$C$3:$C$502,$B109,Historial!$G$3:$G$502,F$4,Historial!$H$3:$H$502,$B$2)&gt;0,"✓",""))</f>
        <v/>
      </c>
      <c r="G110" s="29" t="str">
        <f aca="false">IF($A109="","",IF(COUNTIFS(Historial!$B$3:$B$502,$A109,Historial!$C$3:$C$502,$B109,Historial!$G$3:$G$502,G$4,Historial!$H$3:$H$502,$B$2)&gt;0,"✓",""))</f>
        <v/>
      </c>
      <c r="H110" s="29" t="str">
        <f aca="false">IF($A109="","",IF(COUNTIFS(Historial!$B$3:$B$502,$A109,Historial!$C$3:$C$502,$B109,Historial!$G$3:$G$502,H$4,Historial!$H$3:$H$502,$B$2)&gt;0,"✓",""))</f>
        <v/>
      </c>
      <c r="I110" s="29" t="str">
        <f aca="false">IF($A109="","",IF(COUNTIFS(Historial!$B$3:$B$502,$A109,Historial!$C$3:$C$502,$B109,Historial!$G$3:$G$502,I$4,Historial!$H$3:$H$502,$B$2)&gt;0,"✓",""))</f>
        <v/>
      </c>
      <c r="J110" s="29" t="str">
        <f aca="false">IF($A109="","",IF(COUNTIFS(Historial!$B$3:$B$502,$A109,Historial!$C$3:$C$502,$B109,Historial!$G$3:$G$502,J$4,Historial!$H$3:$H$502,$B$2)&gt;0,"✓",""))</f>
        <v/>
      </c>
      <c r="K110" s="29" t="str">
        <f aca="false">IF($A109="","",IF(COUNTIFS(Historial!$B$3:$B$502,$A109,Historial!$C$3:$C$502,$B109,Historial!$G$3:$G$502,K$4,Historial!$H$3:$H$502,$B$2)&gt;0,"✓",""))</f>
        <v/>
      </c>
      <c r="L110" s="29" t="str">
        <f aca="false">IF($A109="","",IF(COUNTIFS(Historial!$B$3:$B$502,$A109,Historial!$C$3:$C$502,$B109,Historial!$G$3:$G$502,L$4,Historial!$H$3:$H$502,$B$2)&gt;0,"✓",""))</f>
        <v/>
      </c>
      <c r="M110" s="29" t="str">
        <f aca="false">IF($A109="","",IF(COUNTIFS(Historial!$B$3:$B$502,$A109,Historial!$C$3:$C$502,$B109,Historial!$G$3:$G$502,M$4,Historial!$H$3:$H$502,$B$2)&gt;0,"✓",""))</f>
        <v/>
      </c>
      <c r="N110" s="29" t="str">
        <f aca="false">IF($A109="","",IF(COUNTIFS(Historial!$B$3:$B$502,$A109,Historial!$C$3:$C$502,$B109,Historial!$G$3:$G$502,N$4,Historial!$H$3:$H$502,$B$2)&gt;0,"✓",""))</f>
        <v/>
      </c>
      <c r="O110" s="29" t="str">
        <f aca="false">IF($A109="","",IF(COUNTIFS(Historial!$B$3:$B$502,$A109,Historial!$C$3:$C$502,$B109,Historial!$G$3:$G$502,O$4,Historial!$H$3:$H$502,$B$2)&gt;0,"✓",""))</f>
        <v/>
      </c>
      <c r="P110" s="29" t="str">
        <f aca="false">IF($A109="","",IF(COUNTIFS(Historial!$B$3:$B$502,$A109,Historial!$C$3:$C$502,$B109,Historial!$G$3:$G$502,P$4,Historial!$H$3:$H$502,$B$2)&gt;0,"✓",""))</f>
        <v/>
      </c>
      <c r="Q110" s="29" t="str">
        <f aca="false">IF($A109="","",IF(COUNTIFS(Historial!$B$3:$B$502,$A109,Historial!$C$3:$C$502,$B109,Historial!$G$3:$G$502,Q$4,Historial!$H$3:$H$502,$B$2)&gt;0,"✓",""))</f>
        <v/>
      </c>
      <c r="R110" s="29" t="str">
        <f aca="false">IF($A109="","",IF(COUNTIFS(Historial!$B$3:$B$502,$A109,Historial!$C$3:$C$502,$B109,Historial!$G$3:$G$502,R$4,Historial!$H$3:$H$502,$B$2)&gt;0,"✓",""))</f>
        <v/>
      </c>
      <c r="S110" s="29" t="str">
        <f aca="false">IF($A109="","",IF(COUNTIFS(Historial!$B$3:$B$502,$A109,Historial!$C$3:$C$502,$B109,Historial!$G$3:$G$502,S$4,Historial!$H$3:$H$502,$B$2)&gt;0,"✓",""))</f>
        <v/>
      </c>
      <c r="T110" s="29" t="str">
        <f aca="false">IF($A109="","",IF(COUNTIFS(Historial!$B$3:$B$502,$A109,Historial!$C$3:$C$502,$B109,Historial!$G$3:$G$502,T$4,Historial!$H$3:$H$502,$B$2)&gt;0,"✓",""))</f>
        <v/>
      </c>
      <c r="U110" s="29" t="str">
        <f aca="false">IF($A109="","",IF(COUNTIFS(Historial!$B$3:$B$502,$A109,Historial!$C$3:$C$502,$B109,Historial!$G$3:$G$502,U$4,Historial!$H$3:$H$502,$B$2)&gt;0,"✓",""))</f>
        <v/>
      </c>
      <c r="V110" s="29" t="str">
        <f aca="false">IF($A109="","",IF(COUNTIFS(Historial!$B$3:$B$502,$A109,Historial!$C$3:$C$502,$B109,Historial!$G$3:$G$502,V$4,Historial!$H$3:$H$502,$B$2)&gt;0,"✓",""))</f>
        <v/>
      </c>
      <c r="W110" s="29" t="str">
        <f aca="false">IF($A109="","",IF(COUNTIFS(Historial!$B$3:$B$502,$A109,Historial!$C$3:$C$502,$B109,Historial!$G$3:$G$502,W$4,Historial!$H$3:$H$502,$B$2)&gt;0,"✓",""))</f>
        <v/>
      </c>
      <c r="X110" s="29" t="str">
        <f aca="false">IF($A109="","",IF(COUNTIFS(Historial!$B$3:$B$502,$A109,Historial!$C$3:$C$502,$B109,Historial!$G$3:$G$502,X$4,Historial!$H$3:$H$502,$B$2)&gt;0,"✓",""))</f>
        <v/>
      </c>
      <c r="Y110" s="29" t="str">
        <f aca="false">IF($A109="","",IF(COUNTIFS(Historial!$B$3:$B$502,$A109,Historial!$C$3:$C$502,$B109,Historial!$G$3:$G$502,Y$4,Historial!$H$3:$H$502,$B$2)&gt;0,"✓",""))</f>
        <v/>
      </c>
      <c r="Z110" s="29" t="str">
        <f aca="false">IF($A109="","",IF(COUNTIFS(Historial!$B$3:$B$502,$A109,Historial!$C$3:$C$502,$B109,Historial!$G$3:$G$502,Z$4,Historial!$H$3:$H$502,$B$2)&gt;0,"✓",""))</f>
        <v/>
      </c>
      <c r="AA110" s="29" t="str">
        <f aca="false">IF($A109="","",IF(COUNTIFS(Historial!$B$3:$B$502,$A109,Historial!$C$3:$C$502,$B109,Historial!$G$3:$G$502,AA$4,Historial!$H$3:$H$502,$B$2)&gt;0,"✓",""))</f>
        <v/>
      </c>
      <c r="AB110" s="29" t="str">
        <f aca="false">IF($A109="","",IF(COUNTIFS(Historial!$B$3:$B$502,$A109,Historial!$C$3:$C$502,$B109,Historial!$G$3:$G$502,AB$4,Historial!$H$3:$H$502,$B$2)&gt;0,"✓",""))</f>
        <v/>
      </c>
      <c r="AC110" s="29" t="str">
        <f aca="false">IF($A109="","",IF(COUNTIFS(Historial!$B$3:$B$502,$A109,Historial!$C$3:$C$502,$B109,Historial!$G$3:$G$502,AC$4,Historial!$H$3:$H$502,$B$2)&gt;0,"✓",""))</f>
        <v/>
      </c>
      <c r="AD110" s="29" t="str">
        <f aca="false">IF($A109="","",IF(COUNTIFS(Historial!$B$3:$B$502,$A109,Historial!$C$3:$C$502,$B109,Historial!$G$3:$G$502,AD$4,Historial!$H$3:$H$502,$B$2)&gt;0,"✓",""))</f>
        <v/>
      </c>
      <c r="AE110" s="29" t="str">
        <f aca="false">IF($A109="","",IF(COUNTIFS(Historial!$B$3:$B$502,$A109,Historial!$C$3:$C$502,$B109,Historial!$G$3:$G$502,AE$4,Historial!$H$3:$H$502,$B$2)&gt;0,"✓",""))</f>
        <v/>
      </c>
      <c r="AF110" s="29" t="str">
        <f aca="false">IF($A109="","",IF(COUNTIFS(Historial!$B$3:$B$502,$A109,Historial!$C$3:$C$502,$B109,Historial!$G$3:$G$502,AF$4,Historial!$H$3:$H$502,$B$2)&gt;0,"✓",""))</f>
        <v/>
      </c>
      <c r="AG110" s="29" t="str">
        <f aca="false">IF($A109="","",IF(COUNTIFS(Historial!$B$3:$B$502,$A109,Historial!$C$3:$C$502,$B109,Historial!$G$3:$G$502,AG$4,Historial!$H$3:$H$502,$B$2)&gt;0,"✓",""))</f>
        <v/>
      </c>
      <c r="AH110" s="29" t="str">
        <f aca="false">IF($A109="","",IF(COUNTIFS(Historial!$B$3:$B$502,$A109,Historial!$C$3:$C$502,$B109,Historial!$G$3:$G$502,AH$4,Historial!$H$3:$H$502,$B$2)&gt;0,"✓",""))</f>
        <v/>
      </c>
      <c r="AI110" s="29" t="str">
        <f aca="false">IF($A109="","",IF(COUNTIFS(Historial!$B$3:$B$502,$A109,Historial!$C$3:$C$502,$B109,Historial!$G$3:$G$502,AI$4,Historial!$H$3:$H$502,$B$2)&gt;0,"✓",""))</f>
        <v/>
      </c>
      <c r="AJ110" s="29" t="str">
        <f aca="false">IF($A109="","",IF(COUNTIFS(Historial!$B$3:$B$502,$A109,Historial!$C$3:$C$502,$B109,Historial!$G$3:$G$502,AJ$4,Historial!$H$3:$H$502,$B$2)&gt;0,"✓",""))</f>
        <v/>
      </c>
      <c r="AK110" s="29" t="str">
        <f aca="false">IF($A109="","",IF(COUNTIFS(Historial!$B$3:$B$502,$A109,Historial!$C$3:$C$502,$B109,Historial!$G$3:$G$502,AK$4,Historial!$H$3:$H$502,$B$2)&gt;0,"✓",""))</f>
        <v/>
      </c>
      <c r="AL110" s="29" t="str">
        <f aca="false">IF($A109="","",IF(COUNTIFS(Historial!$B$3:$B$502,$A109,Historial!$C$3:$C$502,$B109,Historial!$G$3:$G$502,AL$4,Historial!$H$3:$H$502,$B$2)&gt;0,"✓",""))</f>
        <v/>
      </c>
      <c r="AM110" s="29" t="str">
        <f aca="false">IF($A109="","",IF(COUNTIFS(Historial!$B$3:$B$502,$A109,Historial!$C$3:$C$502,$B109,Historial!$G$3:$G$502,AM$4,Historial!$H$3:$H$502,$B$2)&gt;0,"✓",""))</f>
        <v/>
      </c>
      <c r="AN110" s="29" t="str">
        <f aca="false">IF($A109="","",IF(COUNTIFS(Historial!$B$3:$B$502,$A109,Historial!$C$3:$C$502,$B109,Historial!$G$3:$G$502,AN$4,Historial!$H$3:$H$502,$B$2)&gt;0,"✓",""))</f>
        <v/>
      </c>
      <c r="AO110" s="29" t="str">
        <f aca="false">IF($A109="","",IF(COUNTIFS(Historial!$B$3:$B$502,$A109,Historial!$C$3:$C$502,$B109,Historial!$G$3:$G$502,AO$4,Historial!$H$3:$H$502,$B$2)&gt;0,"✓",""))</f>
        <v/>
      </c>
      <c r="AP110" s="29" t="str">
        <f aca="false">IF($A109="","",IF(COUNTIFS(Historial!$B$3:$B$502,$A109,Historial!$C$3:$C$502,$B109,Historial!$G$3:$G$502,AP$4,Historial!$H$3:$H$502,$B$2)&gt;0,"✓",""))</f>
        <v/>
      </c>
      <c r="AQ110" s="29" t="str">
        <f aca="false">IF($A109="","",IF(COUNTIFS(Historial!$B$3:$B$502,$A109,Historial!$C$3:$C$502,$B109,Historial!$G$3:$G$502,AQ$4,Historial!$H$3:$H$502,$B$2)&gt;0,"✓",""))</f>
        <v/>
      </c>
      <c r="AR110" s="29" t="str">
        <f aca="false">IF($A109="","",IF(COUNTIFS(Historial!$B$3:$B$502,$A109,Historial!$C$3:$C$502,$B109,Historial!$G$3:$G$502,AR$4,Historial!$H$3:$H$502,$B$2)&gt;0,"✓",""))</f>
        <v/>
      </c>
      <c r="AS110" s="29" t="str">
        <f aca="false">IF($A109="","",IF(COUNTIFS(Historial!$B$3:$B$502,$A109,Historial!$C$3:$C$502,$B109,Historial!$G$3:$G$502,AS$4,Historial!$H$3:$H$502,$B$2)&gt;0,"✓",""))</f>
        <v/>
      </c>
      <c r="AT110" s="29" t="str">
        <f aca="false">IF($A109="","",IF(COUNTIFS(Historial!$B$3:$B$502,$A109,Historial!$C$3:$C$502,$B109,Historial!$G$3:$G$502,AT$4,Historial!$H$3:$H$502,$B$2)&gt;0,"✓",""))</f>
        <v/>
      </c>
      <c r="AU110" s="29" t="str">
        <f aca="false">IF($A109="","",IF(COUNTIFS(Historial!$B$3:$B$502,$A109,Historial!$C$3:$C$502,$B109,Historial!$G$3:$G$502,AU$4,Historial!$H$3:$H$502,$B$2)&gt;0,"✓",""))</f>
        <v/>
      </c>
      <c r="AV110" s="29" t="str">
        <f aca="false">IF($A109="","",IF(COUNTIFS(Historial!$B$3:$B$502,$A109,Historial!$C$3:$C$502,$B109,Historial!$G$3:$G$502,AV$4,Historial!$H$3:$H$502,$B$2)&gt;0,"✓",""))</f>
        <v/>
      </c>
      <c r="AW110" s="29" t="str">
        <f aca="false">IF($A109="","",IF(COUNTIFS(Historial!$B$3:$B$502,$A109,Historial!$C$3:$C$502,$B109,Historial!$G$3:$G$502,AW$4,Historial!$H$3:$H$502,$B$2)&gt;0,"✓",""))</f>
        <v/>
      </c>
      <c r="AX110" s="29" t="str">
        <f aca="false">IF($A109="","",IF(COUNTIFS(Historial!$B$3:$B$502,$A109,Historial!$C$3:$C$502,$B109,Historial!$G$3:$G$502,AX$4,Historial!$H$3:$H$502,$B$2)&gt;0,"✓",""))</f>
        <v/>
      </c>
      <c r="AY110" s="29" t="str">
        <f aca="false">IF($A109="","",IF(COUNTIFS(Historial!$B$3:$B$502,$A109,Historial!$C$3:$C$502,$B109,Historial!$G$3:$G$502,AY$4,Historial!$H$3:$H$502,$B$2)&gt;0,"✓",""))</f>
        <v/>
      </c>
      <c r="AZ110" s="29" t="str">
        <f aca="false">IF($A109="","",IF(COUNTIFS(Historial!$B$3:$B$502,$A109,Historial!$C$3:$C$502,$B109,Historial!$G$3:$G$502,AZ$4,Historial!$H$3:$H$502,$B$2)&gt;0,"✓",""))</f>
        <v/>
      </c>
      <c r="BA110" s="29" t="str">
        <f aca="false">IF($A109="","",IF(COUNTIFS(Historial!$B$3:$B$502,$A109,Historial!$C$3:$C$502,$B109,Historial!$G$3:$G$502,BA$4,Historial!$H$3:$H$502,$B$2)&gt;0,"✓",""))</f>
        <v/>
      </c>
      <c r="BB110" s="29" t="str">
        <f aca="false">IF($A109="","",IF(COUNTIFS(Historial!$B$3:$B$502,$A109,Historial!$C$3:$C$502,$B109,Historial!$G$3:$G$502,BB$4,Historial!$H$3:$H$502,$B$2)&gt;0,"✓",""))</f>
        <v/>
      </c>
      <c r="BC110" s="29" t="str">
        <f aca="false">IF($A109="","",IF(COUNTIFS(Historial!$B$3:$B$502,$A109,Historial!$C$3:$C$502,$B109,Historial!$G$3:$G$502,BC$4,Historial!$H$3:$H$502,$B$2)&gt;0,"✓",""))</f>
        <v/>
      </c>
      <c r="BD110" s="29"/>
      <c r="BE110" s="29"/>
      <c r="BF110" s="29"/>
    </row>
    <row r="111" customFormat="false" ht="15" hidden="false" customHeight="false" outlineLevel="0" collapsed="false">
      <c r="A111" s="24" t="str">
        <f aca="false">IF(Actividades!$B56="","",Actividades!$B56)</f>
        <v/>
      </c>
      <c r="B111" s="24" t="str">
        <f aca="false">IF(Actividades!$C56="","",Actividades!$C56)</f>
        <v/>
      </c>
      <c r="C111" s="24" t="str">
        <f aca="false">IF($A111="","","Plan")</f>
        <v/>
      </c>
      <c r="D111" s="25" t="str">
        <f aca="false">IF($A111="","",IF(AND(N(Actividades!$E56)&gt;0,D$4&gt;=Actividades!$E56,MOD(D$4-Actividades!$E56,IFERROR(VLOOKUP(Actividades!$D56,Listas!$A$2:$B$8,2,0),52))=0),"P",""))</f>
        <v/>
      </c>
      <c r="E111" s="25" t="str">
        <f aca="false">IF($A111="","",IF(AND(N(Actividades!$E56)&gt;0,E$4&gt;=Actividades!$E56,MOD(E$4-Actividades!$E56,IFERROR(VLOOKUP(Actividades!$D56,Listas!$A$2:$B$8,2,0),52))=0),"P",""))</f>
        <v/>
      </c>
      <c r="F111" s="25" t="str">
        <f aca="false">IF($A111="","",IF(AND(N(Actividades!$E56)&gt;0,F$4&gt;=Actividades!$E56,MOD(F$4-Actividades!$E56,IFERROR(VLOOKUP(Actividades!$D56,Listas!$A$2:$B$8,2,0),52))=0),"P",""))</f>
        <v/>
      </c>
      <c r="G111" s="25" t="str">
        <f aca="false">IF($A111="","",IF(AND(N(Actividades!$E56)&gt;0,G$4&gt;=Actividades!$E56,MOD(G$4-Actividades!$E56,IFERROR(VLOOKUP(Actividades!$D56,Listas!$A$2:$B$8,2,0),52))=0),"P",""))</f>
        <v/>
      </c>
      <c r="H111" s="25" t="str">
        <f aca="false">IF($A111="","",IF(AND(N(Actividades!$E56)&gt;0,H$4&gt;=Actividades!$E56,MOD(H$4-Actividades!$E56,IFERROR(VLOOKUP(Actividades!$D56,Listas!$A$2:$B$8,2,0),52))=0),"P",""))</f>
        <v/>
      </c>
      <c r="I111" s="25" t="str">
        <f aca="false">IF($A111="","",IF(AND(N(Actividades!$E56)&gt;0,I$4&gt;=Actividades!$E56,MOD(I$4-Actividades!$E56,IFERROR(VLOOKUP(Actividades!$D56,Listas!$A$2:$B$8,2,0),52))=0),"P",""))</f>
        <v/>
      </c>
      <c r="J111" s="25" t="str">
        <f aca="false">IF($A111="","",IF(AND(N(Actividades!$E56)&gt;0,J$4&gt;=Actividades!$E56,MOD(J$4-Actividades!$E56,IFERROR(VLOOKUP(Actividades!$D56,Listas!$A$2:$B$8,2,0),52))=0),"P",""))</f>
        <v/>
      </c>
      <c r="K111" s="25" t="str">
        <f aca="false">IF($A111="","",IF(AND(N(Actividades!$E56)&gt;0,K$4&gt;=Actividades!$E56,MOD(K$4-Actividades!$E56,IFERROR(VLOOKUP(Actividades!$D56,Listas!$A$2:$B$8,2,0),52))=0),"P",""))</f>
        <v/>
      </c>
      <c r="L111" s="25" t="str">
        <f aca="false">IF($A111="","",IF(AND(N(Actividades!$E56)&gt;0,L$4&gt;=Actividades!$E56,MOD(L$4-Actividades!$E56,IFERROR(VLOOKUP(Actividades!$D56,Listas!$A$2:$B$8,2,0),52))=0),"P",""))</f>
        <v/>
      </c>
      <c r="M111" s="25" t="str">
        <f aca="false">IF($A111="","",IF(AND(N(Actividades!$E56)&gt;0,M$4&gt;=Actividades!$E56,MOD(M$4-Actividades!$E56,IFERROR(VLOOKUP(Actividades!$D56,Listas!$A$2:$B$8,2,0),52))=0),"P",""))</f>
        <v/>
      </c>
      <c r="N111" s="25" t="str">
        <f aca="false">IF($A111="","",IF(AND(N(Actividades!$E56)&gt;0,N$4&gt;=Actividades!$E56,MOD(N$4-Actividades!$E56,IFERROR(VLOOKUP(Actividades!$D56,Listas!$A$2:$B$8,2,0),52))=0),"P",""))</f>
        <v/>
      </c>
      <c r="O111" s="25" t="str">
        <f aca="false">IF($A111="","",IF(AND(N(Actividades!$E56)&gt;0,O$4&gt;=Actividades!$E56,MOD(O$4-Actividades!$E56,IFERROR(VLOOKUP(Actividades!$D56,Listas!$A$2:$B$8,2,0),52))=0),"P",""))</f>
        <v/>
      </c>
      <c r="P111" s="25" t="str">
        <f aca="false">IF($A111="","",IF(AND(N(Actividades!$E56)&gt;0,P$4&gt;=Actividades!$E56,MOD(P$4-Actividades!$E56,IFERROR(VLOOKUP(Actividades!$D56,Listas!$A$2:$B$8,2,0),52))=0),"P",""))</f>
        <v/>
      </c>
      <c r="Q111" s="25" t="str">
        <f aca="false">IF($A111="","",IF(AND(N(Actividades!$E56)&gt;0,Q$4&gt;=Actividades!$E56,MOD(Q$4-Actividades!$E56,IFERROR(VLOOKUP(Actividades!$D56,Listas!$A$2:$B$8,2,0),52))=0),"P",""))</f>
        <v/>
      </c>
      <c r="R111" s="25" t="str">
        <f aca="false">IF($A111="","",IF(AND(N(Actividades!$E56)&gt;0,R$4&gt;=Actividades!$E56,MOD(R$4-Actividades!$E56,IFERROR(VLOOKUP(Actividades!$D56,Listas!$A$2:$B$8,2,0),52))=0),"P",""))</f>
        <v/>
      </c>
      <c r="S111" s="25" t="str">
        <f aca="false">IF($A111="","",IF(AND(N(Actividades!$E56)&gt;0,S$4&gt;=Actividades!$E56,MOD(S$4-Actividades!$E56,IFERROR(VLOOKUP(Actividades!$D56,Listas!$A$2:$B$8,2,0),52))=0),"P",""))</f>
        <v/>
      </c>
      <c r="T111" s="25" t="str">
        <f aca="false">IF($A111="","",IF(AND(N(Actividades!$E56)&gt;0,T$4&gt;=Actividades!$E56,MOD(T$4-Actividades!$E56,IFERROR(VLOOKUP(Actividades!$D56,Listas!$A$2:$B$8,2,0),52))=0),"P",""))</f>
        <v/>
      </c>
      <c r="U111" s="25" t="str">
        <f aca="false">IF($A111="","",IF(AND(N(Actividades!$E56)&gt;0,U$4&gt;=Actividades!$E56,MOD(U$4-Actividades!$E56,IFERROR(VLOOKUP(Actividades!$D56,Listas!$A$2:$B$8,2,0),52))=0),"P",""))</f>
        <v/>
      </c>
      <c r="V111" s="25" t="str">
        <f aca="false">IF($A111="","",IF(AND(N(Actividades!$E56)&gt;0,V$4&gt;=Actividades!$E56,MOD(V$4-Actividades!$E56,IFERROR(VLOOKUP(Actividades!$D56,Listas!$A$2:$B$8,2,0),52))=0),"P",""))</f>
        <v/>
      </c>
      <c r="W111" s="25" t="str">
        <f aca="false">IF($A111="","",IF(AND(N(Actividades!$E56)&gt;0,W$4&gt;=Actividades!$E56,MOD(W$4-Actividades!$E56,IFERROR(VLOOKUP(Actividades!$D56,Listas!$A$2:$B$8,2,0),52))=0),"P",""))</f>
        <v/>
      </c>
      <c r="X111" s="25" t="str">
        <f aca="false">IF($A111="","",IF(AND(N(Actividades!$E56)&gt;0,X$4&gt;=Actividades!$E56,MOD(X$4-Actividades!$E56,IFERROR(VLOOKUP(Actividades!$D56,Listas!$A$2:$B$8,2,0),52))=0),"P",""))</f>
        <v/>
      </c>
      <c r="Y111" s="25" t="str">
        <f aca="false">IF($A111="","",IF(AND(N(Actividades!$E56)&gt;0,Y$4&gt;=Actividades!$E56,MOD(Y$4-Actividades!$E56,IFERROR(VLOOKUP(Actividades!$D56,Listas!$A$2:$B$8,2,0),52))=0),"P",""))</f>
        <v/>
      </c>
      <c r="Z111" s="25" t="str">
        <f aca="false">IF($A111="","",IF(AND(N(Actividades!$E56)&gt;0,Z$4&gt;=Actividades!$E56,MOD(Z$4-Actividades!$E56,IFERROR(VLOOKUP(Actividades!$D56,Listas!$A$2:$B$8,2,0),52))=0),"P",""))</f>
        <v/>
      </c>
      <c r="AA111" s="25" t="str">
        <f aca="false">IF($A111="","",IF(AND(N(Actividades!$E56)&gt;0,AA$4&gt;=Actividades!$E56,MOD(AA$4-Actividades!$E56,IFERROR(VLOOKUP(Actividades!$D56,Listas!$A$2:$B$8,2,0),52))=0),"P",""))</f>
        <v/>
      </c>
      <c r="AB111" s="25" t="str">
        <f aca="false">IF($A111="","",IF(AND(N(Actividades!$E56)&gt;0,AB$4&gt;=Actividades!$E56,MOD(AB$4-Actividades!$E56,IFERROR(VLOOKUP(Actividades!$D56,Listas!$A$2:$B$8,2,0),52))=0),"P",""))</f>
        <v/>
      </c>
      <c r="AC111" s="25" t="str">
        <f aca="false">IF($A111="","",IF(AND(N(Actividades!$E56)&gt;0,AC$4&gt;=Actividades!$E56,MOD(AC$4-Actividades!$E56,IFERROR(VLOOKUP(Actividades!$D56,Listas!$A$2:$B$8,2,0),52))=0),"P",""))</f>
        <v/>
      </c>
      <c r="AD111" s="25" t="str">
        <f aca="false">IF($A111="","",IF(AND(N(Actividades!$E56)&gt;0,AD$4&gt;=Actividades!$E56,MOD(AD$4-Actividades!$E56,IFERROR(VLOOKUP(Actividades!$D56,Listas!$A$2:$B$8,2,0),52))=0),"P",""))</f>
        <v/>
      </c>
      <c r="AE111" s="25" t="str">
        <f aca="false">IF($A111="","",IF(AND(N(Actividades!$E56)&gt;0,AE$4&gt;=Actividades!$E56,MOD(AE$4-Actividades!$E56,IFERROR(VLOOKUP(Actividades!$D56,Listas!$A$2:$B$8,2,0),52))=0),"P",""))</f>
        <v/>
      </c>
      <c r="AF111" s="25" t="str">
        <f aca="false">IF($A111="","",IF(AND(N(Actividades!$E56)&gt;0,AF$4&gt;=Actividades!$E56,MOD(AF$4-Actividades!$E56,IFERROR(VLOOKUP(Actividades!$D56,Listas!$A$2:$B$8,2,0),52))=0),"P",""))</f>
        <v/>
      </c>
      <c r="AG111" s="25" t="str">
        <f aca="false">IF($A111="","",IF(AND(N(Actividades!$E56)&gt;0,AG$4&gt;=Actividades!$E56,MOD(AG$4-Actividades!$E56,IFERROR(VLOOKUP(Actividades!$D56,Listas!$A$2:$B$8,2,0),52))=0),"P",""))</f>
        <v/>
      </c>
      <c r="AH111" s="25" t="str">
        <f aca="false">IF($A111="","",IF(AND(N(Actividades!$E56)&gt;0,AH$4&gt;=Actividades!$E56,MOD(AH$4-Actividades!$E56,IFERROR(VLOOKUP(Actividades!$D56,Listas!$A$2:$B$8,2,0),52))=0),"P",""))</f>
        <v/>
      </c>
      <c r="AI111" s="25" t="str">
        <f aca="false">IF($A111="","",IF(AND(N(Actividades!$E56)&gt;0,AI$4&gt;=Actividades!$E56,MOD(AI$4-Actividades!$E56,IFERROR(VLOOKUP(Actividades!$D56,Listas!$A$2:$B$8,2,0),52))=0),"P",""))</f>
        <v/>
      </c>
      <c r="AJ111" s="25" t="str">
        <f aca="false">IF($A111="","",IF(AND(N(Actividades!$E56)&gt;0,AJ$4&gt;=Actividades!$E56,MOD(AJ$4-Actividades!$E56,IFERROR(VLOOKUP(Actividades!$D56,Listas!$A$2:$B$8,2,0),52))=0),"P",""))</f>
        <v/>
      </c>
      <c r="AK111" s="25" t="str">
        <f aca="false">IF($A111="","",IF(AND(N(Actividades!$E56)&gt;0,AK$4&gt;=Actividades!$E56,MOD(AK$4-Actividades!$E56,IFERROR(VLOOKUP(Actividades!$D56,Listas!$A$2:$B$8,2,0),52))=0),"P",""))</f>
        <v/>
      </c>
      <c r="AL111" s="25" t="str">
        <f aca="false">IF($A111="","",IF(AND(N(Actividades!$E56)&gt;0,AL$4&gt;=Actividades!$E56,MOD(AL$4-Actividades!$E56,IFERROR(VLOOKUP(Actividades!$D56,Listas!$A$2:$B$8,2,0),52))=0),"P",""))</f>
        <v/>
      </c>
      <c r="AM111" s="25" t="str">
        <f aca="false">IF($A111="","",IF(AND(N(Actividades!$E56)&gt;0,AM$4&gt;=Actividades!$E56,MOD(AM$4-Actividades!$E56,IFERROR(VLOOKUP(Actividades!$D56,Listas!$A$2:$B$8,2,0),52))=0),"P",""))</f>
        <v/>
      </c>
      <c r="AN111" s="25" t="str">
        <f aca="false">IF($A111="","",IF(AND(N(Actividades!$E56)&gt;0,AN$4&gt;=Actividades!$E56,MOD(AN$4-Actividades!$E56,IFERROR(VLOOKUP(Actividades!$D56,Listas!$A$2:$B$8,2,0),52))=0),"P",""))</f>
        <v/>
      </c>
      <c r="AO111" s="25" t="str">
        <f aca="false">IF($A111="","",IF(AND(N(Actividades!$E56)&gt;0,AO$4&gt;=Actividades!$E56,MOD(AO$4-Actividades!$E56,IFERROR(VLOOKUP(Actividades!$D56,Listas!$A$2:$B$8,2,0),52))=0),"P",""))</f>
        <v/>
      </c>
      <c r="AP111" s="25" t="str">
        <f aca="false">IF($A111="","",IF(AND(N(Actividades!$E56)&gt;0,AP$4&gt;=Actividades!$E56,MOD(AP$4-Actividades!$E56,IFERROR(VLOOKUP(Actividades!$D56,Listas!$A$2:$B$8,2,0),52))=0),"P",""))</f>
        <v/>
      </c>
      <c r="AQ111" s="25" t="str">
        <f aca="false">IF($A111="","",IF(AND(N(Actividades!$E56)&gt;0,AQ$4&gt;=Actividades!$E56,MOD(AQ$4-Actividades!$E56,IFERROR(VLOOKUP(Actividades!$D56,Listas!$A$2:$B$8,2,0),52))=0),"P",""))</f>
        <v/>
      </c>
      <c r="AR111" s="25" t="str">
        <f aca="false">IF($A111="","",IF(AND(N(Actividades!$E56)&gt;0,AR$4&gt;=Actividades!$E56,MOD(AR$4-Actividades!$E56,IFERROR(VLOOKUP(Actividades!$D56,Listas!$A$2:$B$8,2,0),52))=0),"P",""))</f>
        <v/>
      </c>
      <c r="AS111" s="25" t="str">
        <f aca="false">IF($A111="","",IF(AND(N(Actividades!$E56)&gt;0,AS$4&gt;=Actividades!$E56,MOD(AS$4-Actividades!$E56,IFERROR(VLOOKUP(Actividades!$D56,Listas!$A$2:$B$8,2,0),52))=0),"P",""))</f>
        <v/>
      </c>
      <c r="AT111" s="25" t="str">
        <f aca="false">IF($A111="","",IF(AND(N(Actividades!$E56)&gt;0,AT$4&gt;=Actividades!$E56,MOD(AT$4-Actividades!$E56,IFERROR(VLOOKUP(Actividades!$D56,Listas!$A$2:$B$8,2,0),52))=0),"P",""))</f>
        <v/>
      </c>
      <c r="AU111" s="25" t="str">
        <f aca="false">IF($A111="","",IF(AND(N(Actividades!$E56)&gt;0,AU$4&gt;=Actividades!$E56,MOD(AU$4-Actividades!$E56,IFERROR(VLOOKUP(Actividades!$D56,Listas!$A$2:$B$8,2,0),52))=0),"P",""))</f>
        <v/>
      </c>
      <c r="AV111" s="25" t="str">
        <f aca="false">IF($A111="","",IF(AND(N(Actividades!$E56)&gt;0,AV$4&gt;=Actividades!$E56,MOD(AV$4-Actividades!$E56,IFERROR(VLOOKUP(Actividades!$D56,Listas!$A$2:$B$8,2,0),52))=0),"P",""))</f>
        <v/>
      </c>
      <c r="AW111" s="25" t="str">
        <f aca="false">IF($A111="","",IF(AND(N(Actividades!$E56)&gt;0,AW$4&gt;=Actividades!$E56,MOD(AW$4-Actividades!$E56,IFERROR(VLOOKUP(Actividades!$D56,Listas!$A$2:$B$8,2,0),52))=0),"P",""))</f>
        <v/>
      </c>
      <c r="AX111" s="25" t="str">
        <f aca="false">IF($A111="","",IF(AND(N(Actividades!$E56)&gt;0,AX$4&gt;=Actividades!$E56,MOD(AX$4-Actividades!$E56,IFERROR(VLOOKUP(Actividades!$D56,Listas!$A$2:$B$8,2,0),52))=0),"P",""))</f>
        <v/>
      </c>
      <c r="AY111" s="25" t="str">
        <f aca="false">IF($A111="","",IF(AND(N(Actividades!$E56)&gt;0,AY$4&gt;=Actividades!$E56,MOD(AY$4-Actividades!$E56,IFERROR(VLOOKUP(Actividades!$D56,Listas!$A$2:$B$8,2,0),52))=0),"P",""))</f>
        <v/>
      </c>
      <c r="AZ111" s="25" t="str">
        <f aca="false">IF($A111="","",IF(AND(N(Actividades!$E56)&gt;0,AZ$4&gt;=Actividades!$E56,MOD(AZ$4-Actividades!$E56,IFERROR(VLOOKUP(Actividades!$D56,Listas!$A$2:$B$8,2,0),52))=0),"P",""))</f>
        <v/>
      </c>
      <c r="BA111" s="25" t="str">
        <f aca="false">IF($A111="","",IF(AND(N(Actividades!$E56)&gt;0,BA$4&gt;=Actividades!$E56,MOD(BA$4-Actividades!$E56,IFERROR(VLOOKUP(Actividades!$D56,Listas!$A$2:$B$8,2,0),52))=0),"P",""))</f>
        <v/>
      </c>
      <c r="BB111" s="25" t="str">
        <f aca="false">IF($A111="","",IF(AND(N(Actividades!$E56)&gt;0,BB$4&gt;=Actividades!$E56,MOD(BB$4-Actividades!$E56,IFERROR(VLOOKUP(Actividades!$D56,Listas!$A$2:$B$8,2,0),52))=0),"P",""))</f>
        <v/>
      </c>
      <c r="BC111" s="25" t="str">
        <f aca="false">IF($A111="","",IF(AND(N(Actividades!$E56)&gt;0,BC$4&gt;=Actividades!$E56,MOD(BC$4-Actividades!$E56,IFERROR(VLOOKUP(Actividades!$D56,Listas!$A$2:$B$8,2,0),52))=0),"P",""))</f>
        <v/>
      </c>
      <c r="BD111" s="26" t="str">
        <f aca="false">IF($A111="","",COUNTIF(D111:BC111,"P"))</f>
        <v/>
      </c>
      <c r="BE111" s="26" t="str">
        <f aca="false">IF($A111="","",SUMPRODUCT((D111:BC111="P")*(D112:BC112="✓")))</f>
        <v/>
      </c>
      <c r="BF111" s="27" t="str">
        <f aca="false">IF($A111="","",IF(BD111=0,"",BE111/BD111))</f>
        <v/>
      </c>
    </row>
    <row r="112" customFormat="false" ht="15" hidden="false" customHeight="false" outlineLevel="0" collapsed="false">
      <c r="A112" s="28"/>
      <c r="B112" s="28"/>
      <c r="C112" s="28" t="str">
        <f aca="false">IF($A111="","","Real")</f>
        <v/>
      </c>
      <c r="D112" s="29" t="str">
        <f aca="false">IF($A111="","",IF(COUNTIFS(Historial!$B$3:$B$502,$A111,Historial!$C$3:$C$502,$B111,Historial!$G$3:$G$502,D$4,Historial!$H$3:$H$502,$B$2)&gt;0,"✓",""))</f>
        <v/>
      </c>
      <c r="E112" s="29" t="str">
        <f aca="false">IF($A111="","",IF(COUNTIFS(Historial!$B$3:$B$502,$A111,Historial!$C$3:$C$502,$B111,Historial!$G$3:$G$502,E$4,Historial!$H$3:$H$502,$B$2)&gt;0,"✓",""))</f>
        <v/>
      </c>
      <c r="F112" s="29" t="str">
        <f aca="false">IF($A111="","",IF(COUNTIFS(Historial!$B$3:$B$502,$A111,Historial!$C$3:$C$502,$B111,Historial!$G$3:$G$502,F$4,Historial!$H$3:$H$502,$B$2)&gt;0,"✓",""))</f>
        <v/>
      </c>
      <c r="G112" s="29" t="str">
        <f aca="false">IF($A111="","",IF(COUNTIFS(Historial!$B$3:$B$502,$A111,Historial!$C$3:$C$502,$B111,Historial!$G$3:$G$502,G$4,Historial!$H$3:$H$502,$B$2)&gt;0,"✓",""))</f>
        <v/>
      </c>
      <c r="H112" s="29" t="str">
        <f aca="false">IF($A111="","",IF(COUNTIFS(Historial!$B$3:$B$502,$A111,Historial!$C$3:$C$502,$B111,Historial!$G$3:$G$502,H$4,Historial!$H$3:$H$502,$B$2)&gt;0,"✓",""))</f>
        <v/>
      </c>
      <c r="I112" s="29" t="str">
        <f aca="false">IF($A111="","",IF(COUNTIFS(Historial!$B$3:$B$502,$A111,Historial!$C$3:$C$502,$B111,Historial!$G$3:$G$502,I$4,Historial!$H$3:$H$502,$B$2)&gt;0,"✓",""))</f>
        <v/>
      </c>
      <c r="J112" s="29" t="str">
        <f aca="false">IF($A111="","",IF(COUNTIFS(Historial!$B$3:$B$502,$A111,Historial!$C$3:$C$502,$B111,Historial!$G$3:$G$502,J$4,Historial!$H$3:$H$502,$B$2)&gt;0,"✓",""))</f>
        <v/>
      </c>
      <c r="K112" s="29" t="str">
        <f aca="false">IF($A111="","",IF(COUNTIFS(Historial!$B$3:$B$502,$A111,Historial!$C$3:$C$502,$B111,Historial!$G$3:$G$502,K$4,Historial!$H$3:$H$502,$B$2)&gt;0,"✓",""))</f>
        <v/>
      </c>
      <c r="L112" s="29" t="str">
        <f aca="false">IF($A111="","",IF(COUNTIFS(Historial!$B$3:$B$502,$A111,Historial!$C$3:$C$502,$B111,Historial!$G$3:$G$502,L$4,Historial!$H$3:$H$502,$B$2)&gt;0,"✓",""))</f>
        <v/>
      </c>
      <c r="M112" s="29" t="str">
        <f aca="false">IF($A111="","",IF(COUNTIFS(Historial!$B$3:$B$502,$A111,Historial!$C$3:$C$502,$B111,Historial!$G$3:$G$502,M$4,Historial!$H$3:$H$502,$B$2)&gt;0,"✓",""))</f>
        <v/>
      </c>
      <c r="N112" s="29" t="str">
        <f aca="false">IF($A111="","",IF(COUNTIFS(Historial!$B$3:$B$502,$A111,Historial!$C$3:$C$502,$B111,Historial!$G$3:$G$502,N$4,Historial!$H$3:$H$502,$B$2)&gt;0,"✓",""))</f>
        <v/>
      </c>
      <c r="O112" s="29" t="str">
        <f aca="false">IF($A111="","",IF(COUNTIFS(Historial!$B$3:$B$502,$A111,Historial!$C$3:$C$502,$B111,Historial!$G$3:$G$502,O$4,Historial!$H$3:$H$502,$B$2)&gt;0,"✓",""))</f>
        <v/>
      </c>
      <c r="P112" s="29" t="str">
        <f aca="false">IF($A111="","",IF(COUNTIFS(Historial!$B$3:$B$502,$A111,Historial!$C$3:$C$502,$B111,Historial!$G$3:$G$502,P$4,Historial!$H$3:$H$502,$B$2)&gt;0,"✓",""))</f>
        <v/>
      </c>
      <c r="Q112" s="29" t="str">
        <f aca="false">IF($A111="","",IF(COUNTIFS(Historial!$B$3:$B$502,$A111,Historial!$C$3:$C$502,$B111,Historial!$G$3:$G$502,Q$4,Historial!$H$3:$H$502,$B$2)&gt;0,"✓",""))</f>
        <v/>
      </c>
      <c r="R112" s="29" t="str">
        <f aca="false">IF($A111="","",IF(COUNTIFS(Historial!$B$3:$B$502,$A111,Historial!$C$3:$C$502,$B111,Historial!$G$3:$G$502,R$4,Historial!$H$3:$H$502,$B$2)&gt;0,"✓",""))</f>
        <v/>
      </c>
      <c r="S112" s="29" t="str">
        <f aca="false">IF($A111="","",IF(COUNTIFS(Historial!$B$3:$B$502,$A111,Historial!$C$3:$C$502,$B111,Historial!$G$3:$G$502,S$4,Historial!$H$3:$H$502,$B$2)&gt;0,"✓",""))</f>
        <v/>
      </c>
      <c r="T112" s="29" t="str">
        <f aca="false">IF($A111="","",IF(COUNTIFS(Historial!$B$3:$B$502,$A111,Historial!$C$3:$C$502,$B111,Historial!$G$3:$G$502,T$4,Historial!$H$3:$H$502,$B$2)&gt;0,"✓",""))</f>
        <v/>
      </c>
      <c r="U112" s="29" t="str">
        <f aca="false">IF($A111="","",IF(COUNTIFS(Historial!$B$3:$B$502,$A111,Historial!$C$3:$C$502,$B111,Historial!$G$3:$G$502,U$4,Historial!$H$3:$H$502,$B$2)&gt;0,"✓",""))</f>
        <v/>
      </c>
      <c r="V112" s="29" t="str">
        <f aca="false">IF($A111="","",IF(COUNTIFS(Historial!$B$3:$B$502,$A111,Historial!$C$3:$C$502,$B111,Historial!$G$3:$G$502,V$4,Historial!$H$3:$H$502,$B$2)&gt;0,"✓",""))</f>
        <v/>
      </c>
      <c r="W112" s="29" t="str">
        <f aca="false">IF($A111="","",IF(COUNTIFS(Historial!$B$3:$B$502,$A111,Historial!$C$3:$C$502,$B111,Historial!$G$3:$G$502,W$4,Historial!$H$3:$H$502,$B$2)&gt;0,"✓",""))</f>
        <v/>
      </c>
      <c r="X112" s="29" t="str">
        <f aca="false">IF($A111="","",IF(COUNTIFS(Historial!$B$3:$B$502,$A111,Historial!$C$3:$C$502,$B111,Historial!$G$3:$G$502,X$4,Historial!$H$3:$H$502,$B$2)&gt;0,"✓",""))</f>
        <v/>
      </c>
      <c r="Y112" s="29" t="str">
        <f aca="false">IF($A111="","",IF(COUNTIFS(Historial!$B$3:$B$502,$A111,Historial!$C$3:$C$502,$B111,Historial!$G$3:$G$502,Y$4,Historial!$H$3:$H$502,$B$2)&gt;0,"✓",""))</f>
        <v/>
      </c>
      <c r="Z112" s="29" t="str">
        <f aca="false">IF($A111="","",IF(COUNTIFS(Historial!$B$3:$B$502,$A111,Historial!$C$3:$C$502,$B111,Historial!$G$3:$G$502,Z$4,Historial!$H$3:$H$502,$B$2)&gt;0,"✓",""))</f>
        <v/>
      </c>
      <c r="AA112" s="29" t="str">
        <f aca="false">IF($A111="","",IF(COUNTIFS(Historial!$B$3:$B$502,$A111,Historial!$C$3:$C$502,$B111,Historial!$G$3:$G$502,AA$4,Historial!$H$3:$H$502,$B$2)&gt;0,"✓",""))</f>
        <v/>
      </c>
      <c r="AB112" s="29" t="str">
        <f aca="false">IF($A111="","",IF(COUNTIFS(Historial!$B$3:$B$502,$A111,Historial!$C$3:$C$502,$B111,Historial!$G$3:$G$502,AB$4,Historial!$H$3:$H$502,$B$2)&gt;0,"✓",""))</f>
        <v/>
      </c>
      <c r="AC112" s="29" t="str">
        <f aca="false">IF($A111="","",IF(COUNTIFS(Historial!$B$3:$B$502,$A111,Historial!$C$3:$C$502,$B111,Historial!$G$3:$G$502,AC$4,Historial!$H$3:$H$502,$B$2)&gt;0,"✓",""))</f>
        <v/>
      </c>
      <c r="AD112" s="29" t="str">
        <f aca="false">IF($A111="","",IF(COUNTIFS(Historial!$B$3:$B$502,$A111,Historial!$C$3:$C$502,$B111,Historial!$G$3:$G$502,AD$4,Historial!$H$3:$H$502,$B$2)&gt;0,"✓",""))</f>
        <v/>
      </c>
      <c r="AE112" s="29" t="str">
        <f aca="false">IF($A111="","",IF(COUNTIFS(Historial!$B$3:$B$502,$A111,Historial!$C$3:$C$502,$B111,Historial!$G$3:$G$502,AE$4,Historial!$H$3:$H$502,$B$2)&gt;0,"✓",""))</f>
        <v/>
      </c>
      <c r="AF112" s="29" t="str">
        <f aca="false">IF($A111="","",IF(COUNTIFS(Historial!$B$3:$B$502,$A111,Historial!$C$3:$C$502,$B111,Historial!$G$3:$G$502,AF$4,Historial!$H$3:$H$502,$B$2)&gt;0,"✓",""))</f>
        <v/>
      </c>
      <c r="AG112" s="29" t="str">
        <f aca="false">IF($A111="","",IF(COUNTIFS(Historial!$B$3:$B$502,$A111,Historial!$C$3:$C$502,$B111,Historial!$G$3:$G$502,AG$4,Historial!$H$3:$H$502,$B$2)&gt;0,"✓",""))</f>
        <v/>
      </c>
      <c r="AH112" s="29" t="str">
        <f aca="false">IF($A111="","",IF(COUNTIFS(Historial!$B$3:$B$502,$A111,Historial!$C$3:$C$502,$B111,Historial!$G$3:$G$502,AH$4,Historial!$H$3:$H$502,$B$2)&gt;0,"✓",""))</f>
        <v/>
      </c>
      <c r="AI112" s="29" t="str">
        <f aca="false">IF($A111="","",IF(COUNTIFS(Historial!$B$3:$B$502,$A111,Historial!$C$3:$C$502,$B111,Historial!$G$3:$G$502,AI$4,Historial!$H$3:$H$502,$B$2)&gt;0,"✓",""))</f>
        <v/>
      </c>
      <c r="AJ112" s="29" t="str">
        <f aca="false">IF($A111="","",IF(COUNTIFS(Historial!$B$3:$B$502,$A111,Historial!$C$3:$C$502,$B111,Historial!$G$3:$G$502,AJ$4,Historial!$H$3:$H$502,$B$2)&gt;0,"✓",""))</f>
        <v/>
      </c>
      <c r="AK112" s="29" t="str">
        <f aca="false">IF($A111="","",IF(COUNTIFS(Historial!$B$3:$B$502,$A111,Historial!$C$3:$C$502,$B111,Historial!$G$3:$G$502,AK$4,Historial!$H$3:$H$502,$B$2)&gt;0,"✓",""))</f>
        <v/>
      </c>
      <c r="AL112" s="29" t="str">
        <f aca="false">IF($A111="","",IF(COUNTIFS(Historial!$B$3:$B$502,$A111,Historial!$C$3:$C$502,$B111,Historial!$G$3:$G$502,AL$4,Historial!$H$3:$H$502,$B$2)&gt;0,"✓",""))</f>
        <v/>
      </c>
      <c r="AM112" s="29" t="str">
        <f aca="false">IF($A111="","",IF(COUNTIFS(Historial!$B$3:$B$502,$A111,Historial!$C$3:$C$502,$B111,Historial!$G$3:$G$502,AM$4,Historial!$H$3:$H$502,$B$2)&gt;0,"✓",""))</f>
        <v/>
      </c>
      <c r="AN112" s="29" t="str">
        <f aca="false">IF($A111="","",IF(COUNTIFS(Historial!$B$3:$B$502,$A111,Historial!$C$3:$C$502,$B111,Historial!$G$3:$G$502,AN$4,Historial!$H$3:$H$502,$B$2)&gt;0,"✓",""))</f>
        <v/>
      </c>
      <c r="AO112" s="29" t="str">
        <f aca="false">IF($A111="","",IF(COUNTIFS(Historial!$B$3:$B$502,$A111,Historial!$C$3:$C$502,$B111,Historial!$G$3:$G$502,AO$4,Historial!$H$3:$H$502,$B$2)&gt;0,"✓",""))</f>
        <v/>
      </c>
      <c r="AP112" s="29" t="str">
        <f aca="false">IF($A111="","",IF(COUNTIFS(Historial!$B$3:$B$502,$A111,Historial!$C$3:$C$502,$B111,Historial!$G$3:$G$502,AP$4,Historial!$H$3:$H$502,$B$2)&gt;0,"✓",""))</f>
        <v/>
      </c>
      <c r="AQ112" s="29" t="str">
        <f aca="false">IF($A111="","",IF(COUNTIFS(Historial!$B$3:$B$502,$A111,Historial!$C$3:$C$502,$B111,Historial!$G$3:$G$502,AQ$4,Historial!$H$3:$H$502,$B$2)&gt;0,"✓",""))</f>
        <v/>
      </c>
      <c r="AR112" s="29" t="str">
        <f aca="false">IF($A111="","",IF(COUNTIFS(Historial!$B$3:$B$502,$A111,Historial!$C$3:$C$502,$B111,Historial!$G$3:$G$502,AR$4,Historial!$H$3:$H$502,$B$2)&gt;0,"✓",""))</f>
        <v/>
      </c>
      <c r="AS112" s="29" t="str">
        <f aca="false">IF($A111="","",IF(COUNTIFS(Historial!$B$3:$B$502,$A111,Historial!$C$3:$C$502,$B111,Historial!$G$3:$G$502,AS$4,Historial!$H$3:$H$502,$B$2)&gt;0,"✓",""))</f>
        <v/>
      </c>
      <c r="AT112" s="29" t="str">
        <f aca="false">IF($A111="","",IF(COUNTIFS(Historial!$B$3:$B$502,$A111,Historial!$C$3:$C$502,$B111,Historial!$G$3:$G$502,AT$4,Historial!$H$3:$H$502,$B$2)&gt;0,"✓",""))</f>
        <v/>
      </c>
      <c r="AU112" s="29" t="str">
        <f aca="false">IF($A111="","",IF(COUNTIFS(Historial!$B$3:$B$502,$A111,Historial!$C$3:$C$502,$B111,Historial!$G$3:$G$502,AU$4,Historial!$H$3:$H$502,$B$2)&gt;0,"✓",""))</f>
        <v/>
      </c>
      <c r="AV112" s="29" t="str">
        <f aca="false">IF($A111="","",IF(COUNTIFS(Historial!$B$3:$B$502,$A111,Historial!$C$3:$C$502,$B111,Historial!$G$3:$G$502,AV$4,Historial!$H$3:$H$502,$B$2)&gt;0,"✓",""))</f>
        <v/>
      </c>
      <c r="AW112" s="29" t="str">
        <f aca="false">IF($A111="","",IF(COUNTIFS(Historial!$B$3:$B$502,$A111,Historial!$C$3:$C$502,$B111,Historial!$G$3:$G$502,AW$4,Historial!$H$3:$H$502,$B$2)&gt;0,"✓",""))</f>
        <v/>
      </c>
      <c r="AX112" s="29" t="str">
        <f aca="false">IF($A111="","",IF(COUNTIFS(Historial!$B$3:$B$502,$A111,Historial!$C$3:$C$502,$B111,Historial!$G$3:$G$502,AX$4,Historial!$H$3:$H$502,$B$2)&gt;0,"✓",""))</f>
        <v/>
      </c>
      <c r="AY112" s="29" t="str">
        <f aca="false">IF($A111="","",IF(COUNTIFS(Historial!$B$3:$B$502,$A111,Historial!$C$3:$C$502,$B111,Historial!$G$3:$G$502,AY$4,Historial!$H$3:$H$502,$B$2)&gt;0,"✓",""))</f>
        <v/>
      </c>
      <c r="AZ112" s="29" t="str">
        <f aca="false">IF($A111="","",IF(COUNTIFS(Historial!$B$3:$B$502,$A111,Historial!$C$3:$C$502,$B111,Historial!$G$3:$G$502,AZ$4,Historial!$H$3:$H$502,$B$2)&gt;0,"✓",""))</f>
        <v/>
      </c>
      <c r="BA112" s="29" t="str">
        <f aca="false">IF($A111="","",IF(COUNTIFS(Historial!$B$3:$B$502,$A111,Historial!$C$3:$C$502,$B111,Historial!$G$3:$G$502,BA$4,Historial!$H$3:$H$502,$B$2)&gt;0,"✓",""))</f>
        <v/>
      </c>
      <c r="BB112" s="29" t="str">
        <f aca="false">IF($A111="","",IF(COUNTIFS(Historial!$B$3:$B$502,$A111,Historial!$C$3:$C$502,$B111,Historial!$G$3:$G$502,BB$4,Historial!$H$3:$H$502,$B$2)&gt;0,"✓",""))</f>
        <v/>
      </c>
      <c r="BC112" s="29" t="str">
        <f aca="false">IF($A111="","",IF(COUNTIFS(Historial!$B$3:$B$502,$A111,Historial!$C$3:$C$502,$B111,Historial!$G$3:$G$502,BC$4,Historial!$H$3:$H$502,$B$2)&gt;0,"✓",""))</f>
        <v/>
      </c>
      <c r="BD112" s="29"/>
      <c r="BE112" s="29"/>
      <c r="BF112" s="29"/>
    </row>
    <row r="113" customFormat="false" ht="15" hidden="false" customHeight="false" outlineLevel="0" collapsed="false">
      <c r="A113" s="24" t="str">
        <f aca="false">IF(Actividades!$B57="","",Actividades!$B57)</f>
        <v/>
      </c>
      <c r="B113" s="24" t="str">
        <f aca="false">IF(Actividades!$C57="","",Actividades!$C57)</f>
        <v/>
      </c>
      <c r="C113" s="24" t="str">
        <f aca="false">IF($A113="","","Plan")</f>
        <v/>
      </c>
      <c r="D113" s="25" t="str">
        <f aca="false">IF($A113="","",IF(AND(N(Actividades!$E57)&gt;0,D$4&gt;=Actividades!$E57,MOD(D$4-Actividades!$E57,IFERROR(VLOOKUP(Actividades!$D57,Listas!$A$2:$B$8,2,0),52))=0),"P",""))</f>
        <v/>
      </c>
      <c r="E113" s="25" t="str">
        <f aca="false">IF($A113="","",IF(AND(N(Actividades!$E57)&gt;0,E$4&gt;=Actividades!$E57,MOD(E$4-Actividades!$E57,IFERROR(VLOOKUP(Actividades!$D57,Listas!$A$2:$B$8,2,0),52))=0),"P",""))</f>
        <v/>
      </c>
      <c r="F113" s="25" t="str">
        <f aca="false">IF($A113="","",IF(AND(N(Actividades!$E57)&gt;0,F$4&gt;=Actividades!$E57,MOD(F$4-Actividades!$E57,IFERROR(VLOOKUP(Actividades!$D57,Listas!$A$2:$B$8,2,0),52))=0),"P",""))</f>
        <v/>
      </c>
      <c r="G113" s="25" t="str">
        <f aca="false">IF($A113="","",IF(AND(N(Actividades!$E57)&gt;0,G$4&gt;=Actividades!$E57,MOD(G$4-Actividades!$E57,IFERROR(VLOOKUP(Actividades!$D57,Listas!$A$2:$B$8,2,0),52))=0),"P",""))</f>
        <v/>
      </c>
      <c r="H113" s="25" t="str">
        <f aca="false">IF($A113="","",IF(AND(N(Actividades!$E57)&gt;0,H$4&gt;=Actividades!$E57,MOD(H$4-Actividades!$E57,IFERROR(VLOOKUP(Actividades!$D57,Listas!$A$2:$B$8,2,0),52))=0),"P",""))</f>
        <v/>
      </c>
      <c r="I113" s="25" t="str">
        <f aca="false">IF($A113="","",IF(AND(N(Actividades!$E57)&gt;0,I$4&gt;=Actividades!$E57,MOD(I$4-Actividades!$E57,IFERROR(VLOOKUP(Actividades!$D57,Listas!$A$2:$B$8,2,0),52))=0),"P",""))</f>
        <v/>
      </c>
      <c r="J113" s="25" t="str">
        <f aca="false">IF($A113="","",IF(AND(N(Actividades!$E57)&gt;0,J$4&gt;=Actividades!$E57,MOD(J$4-Actividades!$E57,IFERROR(VLOOKUP(Actividades!$D57,Listas!$A$2:$B$8,2,0),52))=0),"P",""))</f>
        <v/>
      </c>
      <c r="K113" s="25" t="str">
        <f aca="false">IF($A113="","",IF(AND(N(Actividades!$E57)&gt;0,K$4&gt;=Actividades!$E57,MOD(K$4-Actividades!$E57,IFERROR(VLOOKUP(Actividades!$D57,Listas!$A$2:$B$8,2,0),52))=0),"P",""))</f>
        <v/>
      </c>
      <c r="L113" s="25" t="str">
        <f aca="false">IF($A113="","",IF(AND(N(Actividades!$E57)&gt;0,L$4&gt;=Actividades!$E57,MOD(L$4-Actividades!$E57,IFERROR(VLOOKUP(Actividades!$D57,Listas!$A$2:$B$8,2,0),52))=0),"P",""))</f>
        <v/>
      </c>
      <c r="M113" s="25" t="str">
        <f aca="false">IF($A113="","",IF(AND(N(Actividades!$E57)&gt;0,M$4&gt;=Actividades!$E57,MOD(M$4-Actividades!$E57,IFERROR(VLOOKUP(Actividades!$D57,Listas!$A$2:$B$8,2,0),52))=0),"P",""))</f>
        <v/>
      </c>
      <c r="N113" s="25" t="str">
        <f aca="false">IF($A113="","",IF(AND(N(Actividades!$E57)&gt;0,N$4&gt;=Actividades!$E57,MOD(N$4-Actividades!$E57,IFERROR(VLOOKUP(Actividades!$D57,Listas!$A$2:$B$8,2,0),52))=0),"P",""))</f>
        <v/>
      </c>
      <c r="O113" s="25" t="str">
        <f aca="false">IF($A113="","",IF(AND(N(Actividades!$E57)&gt;0,O$4&gt;=Actividades!$E57,MOD(O$4-Actividades!$E57,IFERROR(VLOOKUP(Actividades!$D57,Listas!$A$2:$B$8,2,0),52))=0),"P",""))</f>
        <v/>
      </c>
      <c r="P113" s="25" t="str">
        <f aca="false">IF($A113="","",IF(AND(N(Actividades!$E57)&gt;0,P$4&gt;=Actividades!$E57,MOD(P$4-Actividades!$E57,IFERROR(VLOOKUP(Actividades!$D57,Listas!$A$2:$B$8,2,0),52))=0),"P",""))</f>
        <v/>
      </c>
      <c r="Q113" s="25" t="str">
        <f aca="false">IF($A113="","",IF(AND(N(Actividades!$E57)&gt;0,Q$4&gt;=Actividades!$E57,MOD(Q$4-Actividades!$E57,IFERROR(VLOOKUP(Actividades!$D57,Listas!$A$2:$B$8,2,0),52))=0),"P",""))</f>
        <v/>
      </c>
      <c r="R113" s="25" t="str">
        <f aca="false">IF($A113="","",IF(AND(N(Actividades!$E57)&gt;0,R$4&gt;=Actividades!$E57,MOD(R$4-Actividades!$E57,IFERROR(VLOOKUP(Actividades!$D57,Listas!$A$2:$B$8,2,0),52))=0),"P",""))</f>
        <v/>
      </c>
      <c r="S113" s="25" t="str">
        <f aca="false">IF($A113="","",IF(AND(N(Actividades!$E57)&gt;0,S$4&gt;=Actividades!$E57,MOD(S$4-Actividades!$E57,IFERROR(VLOOKUP(Actividades!$D57,Listas!$A$2:$B$8,2,0),52))=0),"P",""))</f>
        <v/>
      </c>
      <c r="T113" s="25" t="str">
        <f aca="false">IF($A113="","",IF(AND(N(Actividades!$E57)&gt;0,T$4&gt;=Actividades!$E57,MOD(T$4-Actividades!$E57,IFERROR(VLOOKUP(Actividades!$D57,Listas!$A$2:$B$8,2,0),52))=0),"P",""))</f>
        <v/>
      </c>
      <c r="U113" s="25" t="str">
        <f aca="false">IF($A113="","",IF(AND(N(Actividades!$E57)&gt;0,U$4&gt;=Actividades!$E57,MOD(U$4-Actividades!$E57,IFERROR(VLOOKUP(Actividades!$D57,Listas!$A$2:$B$8,2,0),52))=0),"P",""))</f>
        <v/>
      </c>
      <c r="V113" s="25" t="str">
        <f aca="false">IF($A113="","",IF(AND(N(Actividades!$E57)&gt;0,V$4&gt;=Actividades!$E57,MOD(V$4-Actividades!$E57,IFERROR(VLOOKUP(Actividades!$D57,Listas!$A$2:$B$8,2,0),52))=0),"P",""))</f>
        <v/>
      </c>
      <c r="W113" s="25" t="str">
        <f aca="false">IF($A113="","",IF(AND(N(Actividades!$E57)&gt;0,W$4&gt;=Actividades!$E57,MOD(W$4-Actividades!$E57,IFERROR(VLOOKUP(Actividades!$D57,Listas!$A$2:$B$8,2,0),52))=0),"P",""))</f>
        <v/>
      </c>
      <c r="X113" s="25" t="str">
        <f aca="false">IF($A113="","",IF(AND(N(Actividades!$E57)&gt;0,X$4&gt;=Actividades!$E57,MOD(X$4-Actividades!$E57,IFERROR(VLOOKUP(Actividades!$D57,Listas!$A$2:$B$8,2,0),52))=0),"P",""))</f>
        <v/>
      </c>
      <c r="Y113" s="25" t="str">
        <f aca="false">IF($A113="","",IF(AND(N(Actividades!$E57)&gt;0,Y$4&gt;=Actividades!$E57,MOD(Y$4-Actividades!$E57,IFERROR(VLOOKUP(Actividades!$D57,Listas!$A$2:$B$8,2,0),52))=0),"P",""))</f>
        <v/>
      </c>
      <c r="Z113" s="25" t="str">
        <f aca="false">IF($A113="","",IF(AND(N(Actividades!$E57)&gt;0,Z$4&gt;=Actividades!$E57,MOD(Z$4-Actividades!$E57,IFERROR(VLOOKUP(Actividades!$D57,Listas!$A$2:$B$8,2,0),52))=0),"P",""))</f>
        <v/>
      </c>
      <c r="AA113" s="25" t="str">
        <f aca="false">IF($A113="","",IF(AND(N(Actividades!$E57)&gt;0,AA$4&gt;=Actividades!$E57,MOD(AA$4-Actividades!$E57,IFERROR(VLOOKUP(Actividades!$D57,Listas!$A$2:$B$8,2,0),52))=0),"P",""))</f>
        <v/>
      </c>
      <c r="AB113" s="25" t="str">
        <f aca="false">IF($A113="","",IF(AND(N(Actividades!$E57)&gt;0,AB$4&gt;=Actividades!$E57,MOD(AB$4-Actividades!$E57,IFERROR(VLOOKUP(Actividades!$D57,Listas!$A$2:$B$8,2,0),52))=0),"P",""))</f>
        <v/>
      </c>
      <c r="AC113" s="25" t="str">
        <f aca="false">IF($A113="","",IF(AND(N(Actividades!$E57)&gt;0,AC$4&gt;=Actividades!$E57,MOD(AC$4-Actividades!$E57,IFERROR(VLOOKUP(Actividades!$D57,Listas!$A$2:$B$8,2,0),52))=0),"P",""))</f>
        <v/>
      </c>
      <c r="AD113" s="25" t="str">
        <f aca="false">IF($A113="","",IF(AND(N(Actividades!$E57)&gt;0,AD$4&gt;=Actividades!$E57,MOD(AD$4-Actividades!$E57,IFERROR(VLOOKUP(Actividades!$D57,Listas!$A$2:$B$8,2,0),52))=0),"P",""))</f>
        <v/>
      </c>
      <c r="AE113" s="25" t="str">
        <f aca="false">IF($A113="","",IF(AND(N(Actividades!$E57)&gt;0,AE$4&gt;=Actividades!$E57,MOD(AE$4-Actividades!$E57,IFERROR(VLOOKUP(Actividades!$D57,Listas!$A$2:$B$8,2,0),52))=0),"P",""))</f>
        <v/>
      </c>
      <c r="AF113" s="25" t="str">
        <f aca="false">IF($A113="","",IF(AND(N(Actividades!$E57)&gt;0,AF$4&gt;=Actividades!$E57,MOD(AF$4-Actividades!$E57,IFERROR(VLOOKUP(Actividades!$D57,Listas!$A$2:$B$8,2,0),52))=0),"P",""))</f>
        <v/>
      </c>
      <c r="AG113" s="25" t="str">
        <f aca="false">IF($A113="","",IF(AND(N(Actividades!$E57)&gt;0,AG$4&gt;=Actividades!$E57,MOD(AG$4-Actividades!$E57,IFERROR(VLOOKUP(Actividades!$D57,Listas!$A$2:$B$8,2,0),52))=0),"P",""))</f>
        <v/>
      </c>
      <c r="AH113" s="25" t="str">
        <f aca="false">IF($A113="","",IF(AND(N(Actividades!$E57)&gt;0,AH$4&gt;=Actividades!$E57,MOD(AH$4-Actividades!$E57,IFERROR(VLOOKUP(Actividades!$D57,Listas!$A$2:$B$8,2,0),52))=0),"P",""))</f>
        <v/>
      </c>
      <c r="AI113" s="25" t="str">
        <f aca="false">IF($A113="","",IF(AND(N(Actividades!$E57)&gt;0,AI$4&gt;=Actividades!$E57,MOD(AI$4-Actividades!$E57,IFERROR(VLOOKUP(Actividades!$D57,Listas!$A$2:$B$8,2,0),52))=0),"P",""))</f>
        <v/>
      </c>
      <c r="AJ113" s="25" t="str">
        <f aca="false">IF($A113="","",IF(AND(N(Actividades!$E57)&gt;0,AJ$4&gt;=Actividades!$E57,MOD(AJ$4-Actividades!$E57,IFERROR(VLOOKUP(Actividades!$D57,Listas!$A$2:$B$8,2,0),52))=0),"P",""))</f>
        <v/>
      </c>
      <c r="AK113" s="25" t="str">
        <f aca="false">IF($A113="","",IF(AND(N(Actividades!$E57)&gt;0,AK$4&gt;=Actividades!$E57,MOD(AK$4-Actividades!$E57,IFERROR(VLOOKUP(Actividades!$D57,Listas!$A$2:$B$8,2,0),52))=0),"P",""))</f>
        <v/>
      </c>
      <c r="AL113" s="25" t="str">
        <f aca="false">IF($A113="","",IF(AND(N(Actividades!$E57)&gt;0,AL$4&gt;=Actividades!$E57,MOD(AL$4-Actividades!$E57,IFERROR(VLOOKUP(Actividades!$D57,Listas!$A$2:$B$8,2,0),52))=0),"P",""))</f>
        <v/>
      </c>
      <c r="AM113" s="25" t="str">
        <f aca="false">IF($A113="","",IF(AND(N(Actividades!$E57)&gt;0,AM$4&gt;=Actividades!$E57,MOD(AM$4-Actividades!$E57,IFERROR(VLOOKUP(Actividades!$D57,Listas!$A$2:$B$8,2,0),52))=0),"P",""))</f>
        <v/>
      </c>
      <c r="AN113" s="25" t="str">
        <f aca="false">IF($A113="","",IF(AND(N(Actividades!$E57)&gt;0,AN$4&gt;=Actividades!$E57,MOD(AN$4-Actividades!$E57,IFERROR(VLOOKUP(Actividades!$D57,Listas!$A$2:$B$8,2,0),52))=0),"P",""))</f>
        <v/>
      </c>
      <c r="AO113" s="25" t="str">
        <f aca="false">IF($A113="","",IF(AND(N(Actividades!$E57)&gt;0,AO$4&gt;=Actividades!$E57,MOD(AO$4-Actividades!$E57,IFERROR(VLOOKUP(Actividades!$D57,Listas!$A$2:$B$8,2,0),52))=0),"P",""))</f>
        <v/>
      </c>
      <c r="AP113" s="25" t="str">
        <f aca="false">IF($A113="","",IF(AND(N(Actividades!$E57)&gt;0,AP$4&gt;=Actividades!$E57,MOD(AP$4-Actividades!$E57,IFERROR(VLOOKUP(Actividades!$D57,Listas!$A$2:$B$8,2,0),52))=0),"P",""))</f>
        <v/>
      </c>
      <c r="AQ113" s="25" t="str">
        <f aca="false">IF($A113="","",IF(AND(N(Actividades!$E57)&gt;0,AQ$4&gt;=Actividades!$E57,MOD(AQ$4-Actividades!$E57,IFERROR(VLOOKUP(Actividades!$D57,Listas!$A$2:$B$8,2,0),52))=0),"P",""))</f>
        <v/>
      </c>
      <c r="AR113" s="25" t="str">
        <f aca="false">IF($A113="","",IF(AND(N(Actividades!$E57)&gt;0,AR$4&gt;=Actividades!$E57,MOD(AR$4-Actividades!$E57,IFERROR(VLOOKUP(Actividades!$D57,Listas!$A$2:$B$8,2,0),52))=0),"P",""))</f>
        <v/>
      </c>
      <c r="AS113" s="25" t="str">
        <f aca="false">IF($A113="","",IF(AND(N(Actividades!$E57)&gt;0,AS$4&gt;=Actividades!$E57,MOD(AS$4-Actividades!$E57,IFERROR(VLOOKUP(Actividades!$D57,Listas!$A$2:$B$8,2,0),52))=0),"P",""))</f>
        <v/>
      </c>
      <c r="AT113" s="25" t="str">
        <f aca="false">IF($A113="","",IF(AND(N(Actividades!$E57)&gt;0,AT$4&gt;=Actividades!$E57,MOD(AT$4-Actividades!$E57,IFERROR(VLOOKUP(Actividades!$D57,Listas!$A$2:$B$8,2,0),52))=0),"P",""))</f>
        <v/>
      </c>
      <c r="AU113" s="25" t="str">
        <f aca="false">IF($A113="","",IF(AND(N(Actividades!$E57)&gt;0,AU$4&gt;=Actividades!$E57,MOD(AU$4-Actividades!$E57,IFERROR(VLOOKUP(Actividades!$D57,Listas!$A$2:$B$8,2,0),52))=0),"P",""))</f>
        <v/>
      </c>
      <c r="AV113" s="25" t="str">
        <f aca="false">IF($A113="","",IF(AND(N(Actividades!$E57)&gt;0,AV$4&gt;=Actividades!$E57,MOD(AV$4-Actividades!$E57,IFERROR(VLOOKUP(Actividades!$D57,Listas!$A$2:$B$8,2,0),52))=0),"P",""))</f>
        <v/>
      </c>
      <c r="AW113" s="25" t="str">
        <f aca="false">IF($A113="","",IF(AND(N(Actividades!$E57)&gt;0,AW$4&gt;=Actividades!$E57,MOD(AW$4-Actividades!$E57,IFERROR(VLOOKUP(Actividades!$D57,Listas!$A$2:$B$8,2,0),52))=0),"P",""))</f>
        <v/>
      </c>
      <c r="AX113" s="25" t="str">
        <f aca="false">IF($A113="","",IF(AND(N(Actividades!$E57)&gt;0,AX$4&gt;=Actividades!$E57,MOD(AX$4-Actividades!$E57,IFERROR(VLOOKUP(Actividades!$D57,Listas!$A$2:$B$8,2,0),52))=0),"P",""))</f>
        <v/>
      </c>
      <c r="AY113" s="25" t="str">
        <f aca="false">IF($A113="","",IF(AND(N(Actividades!$E57)&gt;0,AY$4&gt;=Actividades!$E57,MOD(AY$4-Actividades!$E57,IFERROR(VLOOKUP(Actividades!$D57,Listas!$A$2:$B$8,2,0),52))=0),"P",""))</f>
        <v/>
      </c>
      <c r="AZ113" s="25" t="str">
        <f aca="false">IF($A113="","",IF(AND(N(Actividades!$E57)&gt;0,AZ$4&gt;=Actividades!$E57,MOD(AZ$4-Actividades!$E57,IFERROR(VLOOKUP(Actividades!$D57,Listas!$A$2:$B$8,2,0),52))=0),"P",""))</f>
        <v/>
      </c>
      <c r="BA113" s="25" t="str">
        <f aca="false">IF($A113="","",IF(AND(N(Actividades!$E57)&gt;0,BA$4&gt;=Actividades!$E57,MOD(BA$4-Actividades!$E57,IFERROR(VLOOKUP(Actividades!$D57,Listas!$A$2:$B$8,2,0),52))=0),"P",""))</f>
        <v/>
      </c>
      <c r="BB113" s="25" t="str">
        <f aca="false">IF($A113="","",IF(AND(N(Actividades!$E57)&gt;0,BB$4&gt;=Actividades!$E57,MOD(BB$4-Actividades!$E57,IFERROR(VLOOKUP(Actividades!$D57,Listas!$A$2:$B$8,2,0),52))=0),"P",""))</f>
        <v/>
      </c>
      <c r="BC113" s="25" t="str">
        <f aca="false">IF($A113="","",IF(AND(N(Actividades!$E57)&gt;0,BC$4&gt;=Actividades!$E57,MOD(BC$4-Actividades!$E57,IFERROR(VLOOKUP(Actividades!$D57,Listas!$A$2:$B$8,2,0),52))=0),"P",""))</f>
        <v/>
      </c>
      <c r="BD113" s="26" t="str">
        <f aca="false">IF($A113="","",COUNTIF(D113:BC113,"P"))</f>
        <v/>
      </c>
      <c r="BE113" s="26" t="str">
        <f aca="false">IF($A113="","",SUMPRODUCT((D113:BC113="P")*(D114:BC114="✓")))</f>
        <v/>
      </c>
      <c r="BF113" s="27" t="str">
        <f aca="false">IF($A113="","",IF(BD113=0,"",BE113/BD113))</f>
        <v/>
      </c>
    </row>
    <row r="114" customFormat="false" ht="15" hidden="false" customHeight="false" outlineLevel="0" collapsed="false">
      <c r="A114" s="28"/>
      <c r="B114" s="28"/>
      <c r="C114" s="28" t="str">
        <f aca="false">IF($A113="","","Real")</f>
        <v/>
      </c>
      <c r="D114" s="29" t="str">
        <f aca="false">IF($A113="","",IF(COUNTIFS(Historial!$B$3:$B$502,$A113,Historial!$C$3:$C$502,$B113,Historial!$G$3:$G$502,D$4,Historial!$H$3:$H$502,$B$2)&gt;0,"✓",""))</f>
        <v/>
      </c>
      <c r="E114" s="29" t="str">
        <f aca="false">IF($A113="","",IF(COUNTIFS(Historial!$B$3:$B$502,$A113,Historial!$C$3:$C$502,$B113,Historial!$G$3:$G$502,E$4,Historial!$H$3:$H$502,$B$2)&gt;0,"✓",""))</f>
        <v/>
      </c>
      <c r="F114" s="29" t="str">
        <f aca="false">IF($A113="","",IF(COUNTIFS(Historial!$B$3:$B$502,$A113,Historial!$C$3:$C$502,$B113,Historial!$G$3:$G$502,F$4,Historial!$H$3:$H$502,$B$2)&gt;0,"✓",""))</f>
        <v/>
      </c>
      <c r="G114" s="29" t="str">
        <f aca="false">IF($A113="","",IF(COUNTIFS(Historial!$B$3:$B$502,$A113,Historial!$C$3:$C$502,$B113,Historial!$G$3:$G$502,G$4,Historial!$H$3:$H$502,$B$2)&gt;0,"✓",""))</f>
        <v/>
      </c>
      <c r="H114" s="29" t="str">
        <f aca="false">IF($A113="","",IF(COUNTIFS(Historial!$B$3:$B$502,$A113,Historial!$C$3:$C$502,$B113,Historial!$G$3:$G$502,H$4,Historial!$H$3:$H$502,$B$2)&gt;0,"✓",""))</f>
        <v/>
      </c>
      <c r="I114" s="29" t="str">
        <f aca="false">IF($A113="","",IF(COUNTIFS(Historial!$B$3:$B$502,$A113,Historial!$C$3:$C$502,$B113,Historial!$G$3:$G$502,I$4,Historial!$H$3:$H$502,$B$2)&gt;0,"✓",""))</f>
        <v/>
      </c>
      <c r="J114" s="29" t="str">
        <f aca="false">IF($A113="","",IF(COUNTIFS(Historial!$B$3:$B$502,$A113,Historial!$C$3:$C$502,$B113,Historial!$G$3:$G$502,J$4,Historial!$H$3:$H$502,$B$2)&gt;0,"✓",""))</f>
        <v/>
      </c>
      <c r="K114" s="29" t="str">
        <f aca="false">IF($A113="","",IF(COUNTIFS(Historial!$B$3:$B$502,$A113,Historial!$C$3:$C$502,$B113,Historial!$G$3:$G$502,K$4,Historial!$H$3:$H$502,$B$2)&gt;0,"✓",""))</f>
        <v/>
      </c>
      <c r="L114" s="29" t="str">
        <f aca="false">IF($A113="","",IF(COUNTIFS(Historial!$B$3:$B$502,$A113,Historial!$C$3:$C$502,$B113,Historial!$G$3:$G$502,L$4,Historial!$H$3:$H$502,$B$2)&gt;0,"✓",""))</f>
        <v/>
      </c>
      <c r="M114" s="29" t="str">
        <f aca="false">IF($A113="","",IF(COUNTIFS(Historial!$B$3:$B$502,$A113,Historial!$C$3:$C$502,$B113,Historial!$G$3:$G$502,M$4,Historial!$H$3:$H$502,$B$2)&gt;0,"✓",""))</f>
        <v/>
      </c>
      <c r="N114" s="29" t="str">
        <f aca="false">IF($A113="","",IF(COUNTIFS(Historial!$B$3:$B$502,$A113,Historial!$C$3:$C$502,$B113,Historial!$G$3:$G$502,N$4,Historial!$H$3:$H$502,$B$2)&gt;0,"✓",""))</f>
        <v/>
      </c>
      <c r="O114" s="29" t="str">
        <f aca="false">IF($A113="","",IF(COUNTIFS(Historial!$B$3:$B$502,$A113,Historial!$C$3:$C$502,$B113,Historial!$G$3:$G$502,O$4,Historial!$H$3:$H$502,$B$2)&gt;0,"✓",""))</f>
        <v/>
      </c>
      <c r="P114" s="29" t="str">
        <f aca="false">IF($A113="","",IF(COUNTIFS(Historial!$B$3:$B$502,$A113,Historial!$C$3:$C$502,$B113,Historial!$G$3:$G$502,P$4,Historial!$H$3:$H$502,$B$2)&gt;0,"✓",""))</f>
        <v/>
      </c>
      <c r="Q114" s="29" t="str">
        <f aca="false">IF($A113="","",IF(COUNTIFS(Historial!$B$3:$B$502,$A113,Historial!$C$3:$C$502,$B113,Historial!$G$3:$G$502,Q$4,Historial!$H$3:$H$502,$B$2)&gt;0,"✓",""))</f>
        <v/>
      </c>
      <c r="R114" s="29" t="str">
        <f aca="false">IF($A113="","",IF(COUNTIFS(Historial!$B$3:$B$502,$A113,Historial!$C$3:$C$502,$B113,Historial!$G$3:$G$502,R$4,Historial!$H$3:$H$502,$B$2)&gt;0,"✓",""))</f>
        <v/>
      </c>
      <c r="S114" s="29" t="str">
        <f aca="false">IF($A113="","",IF(COUNTIFS(Historial!$B$3:$B$502,$A113,Historial!$C$3:$C$502,$B113,Historial!$G$3:$G$502,S$4,Historial!$H$3:$H$502,$B$2)&gt;0,"✓",""))</f>
        <v/>
      </c>
      <c r="T114" s="29" t="str">
        <f aca="false">IF($A113="","",IF(COUNTIFS(Historial!$B$3:$B$502,$A113,Historial!$C$3:$C$502,$B113,Historial!$G$3:$G$502,T$4,Historial!$H$3:$H$502,$B$2)&gt;0,"✓",""))</f>
        <v/>
      </c>
      <c r="U114" s="29" t="str">
        <f aca="false">IF($A113="","",IF(COUNTIFS(Historial!$B$3:$B$502,$A113,Historial!$C$3:$C$502,$B113,Historial!$G$3:$G$502,U$4,Historial!$H$3:$H$502,$B$2)&gt;0,"✓",""))</f>
        <v/>
      </c>
      <c r="V114" s="29" t="str">
        <f aca="false">IF($A113="","",IF(COUNTIFS(Historial!$B$3:$B$502,$A113,Historial!$C$3:$C$502,$B113,Historial!$G$3:$G$502,V$4,Historial!$H$3:$H$502,$B$2)&gt;0,"✓",""))</f>
        <v/>
      </c>
      <c r="W114" s="29" t="str">
        <f aca="false">IF($A113="","",IF(COUNTIFS(Historial!$B$3:$B$502,$A113,Historial!$C$3:$C$502,$B113,Historial!$G$3:$G$502,W$4,Historial!$H$3:$H$502,$B$2)&gt;0,"✓",""))</f>
        <v/>
      </c>
      <c r="X114" s="29" t="str">
        <f aca="false">IF($A113="","",IF(COUNTIFS(Historial!$B$3:$B$502,$A113,Historial!$C$3:$C$502,$B113,Historial!$G$3:$G$502,X$4,Historial!$H$3:$H$502,$B$2)&gt;0,"✓",""))</f>
        <v/>
      </c>
      <c r="Y114" s="29" t="str">
        <f aca="false">IF($A113="","",IF(COUNTIFS(Historial!$B$3:$B$502,$A113,Historial!$C$3:$C$502,$B113,Historial!$G$3:$G$502,Y$4,Historial!$H$3:$H$502,$B$2)&gt;0,"✓",""))</f>
        <v/>
      </c>
      <c r="Z114" s="29" t="str">
        <f aca="false">IF($A113="","",IF(COUNTIFS(Historial!$B$3:$B$502,$A113,Historial!$C$3:$C$502,$B113,Historial!$G$3:$G$502,Z$4,Historial!$H$3:$H$502,$B$2)&gt;0,"✓",""))</f>
        <v/>
      </c>
      <c r="AA114" s="29" t="str">
        <f aca="false">IF($A113="","",IF(COUNTIFS(Historial!$B$3:$B$502,$A113,Historial!$C$3:$C$502,$B113,Historial!$G$3:$G$502,AA$4,Historial!$H$3:$H$502,$B$2)&gt;0,"✓",""))</f>
        <v/>
      </c>
      <c r="AB114" s="29" t="str">
        <f aca="false">IF($A113="","",IF(COUNTIFS(Historial!$B$3:$B$502,$A113,Historial!$C$3:$C$502,$B113,Historial!$G$3:$G$502,AB$4,Historial!$H$3:$H$502,$B$2)&gt;0,"✓",""))</f>
        <v/>
      </c>
      <c r="AC114" s="29" t="str">
        <f aca="false">IF($A113="","",IF(COUNTIFS(Historial!$B$3:$B$502,$A113,Historial!$C$3:$C$502,$B113,Historial!$G$3:$G$502,AC$4,Historial!$H$3:$H$502,$B$2)&gt;0,"✓",""))</f>
        <v/>
      </c>
      <c r="AD114" s="29" t="str">
        <f aca="false">IF($A113="","",IF(COUNTIFS(Historial!$B$3:$B$502,$A113,Historial!$C$3:$C$502,$B113,Historial!$G$3:$G$502,AD$4,Historial!$H$3:$H$502,$B$2)&gt;0,"✓",""))</f>
        <v/>
      </c>
      <c r="AE114" s="29" t="str">
        <f aca="false">IF($A113="","",IF(COUNTIFS(Historial!$B$3:$B$502,$A113,Historial!$C$3:$C$502,$B113,Historial!$G$3:$G$502,AE$4,Historial!$H$3:$H$502,$B$2)&gt;0,"✓",""))</f>
        <v/>
      </c>
      <c r="AF114" s="29" t="str">
        <f aca="false">IF($A113="","",IF(COUNTIFS(Historial!$B$3:$B$502,$A113,Historial!$C$3:$C$502,$B113,Historial!$G$3:$G$502,AF$4,Historial!$H$3:$H$502,$B$2)&gt;0,"✓",""))</f>
        <v/>
      </c>
      <c r="AG114" s="29" t="str">
        <f aca="false">IF($A113="","",IF(COUNTIFS(Historial!$B$3:$B$502,$A113,Historial!$C$3:$C$502,$B113,Historial!$G$3:$G$502,AG$4,Historial!$H$3:$H$502,$B$2)&gt;0,"✓",""))</f>
        <v/>
      </c>
      <c r="AH114" s="29" t="str">
        <f aca="false">IF($A113="","",IF(COUNTIFS(Historial!$B$3:$B$502,$A113,Historial!$C$3:$C$502,$B113,Historial!$G$3:$G$502,AH$4,Historial!$H$3:$H$502,$B$2)&gt;0,"✓",""))</f>
        <v/>
      </c>
      <c r="AI114" s="29" t="str">
        <f aca="false">IF($A113="","",IF(COUNTIFS(Historial!$B$3:$B$502,$A113,Historial!$C$3:$C$502,$B113,Historial!$G$3:$G$502,AI$4,Historial!$H$3:$H$502,$B$2)&gt;0,"✓",""))</f>
        <v/>
      </c>
      <c r="AJ114" s="29" t="str">
        <f aca="false">IF($A113="","",IF(COUNTIFS(Historial!$B$3:$B$502,$A113,Historial!$C$3:$C$502,$B113,Historial!$G$3:$G$502,AJ$4,Historial!$H$3:$H$502,$B$2)&gt;0,"✓",""))</f>
        <v/>
      </c>
      <c r="AK114" s="29" t="str">
        <f aca="false">IF($A113="","",IF(COUNTIFS(Historial!$B$3:$B$502,$A113,Historial!$C$3:$C$502,$B113,Historial!$G$3:$G$502,AK$4,Historial!$H$3:$H$502,$B$2)&gt;0,"✓",""))</f>
        <v/>
      </c>
      <c r="AL114" s="29" t="str">
        <f aca="false">IF($A113="","",IF(COUNTIFS(Historial!$B$3:$B$502,$A113,Historial!$C$3:$C$502,$B113,Historial!$G$3:$G$502,AL$4,Historial!$H$3:$H$502,$B$2)&gt;0,"✓",""))</f>
        <v/>
      </c>
      <c r="AM114" s="29" t="str">
        <f aca="false">IF($A113="","",IF(COUNTIFS(Historial!$B$3:$B$502,$A113,Historial!$C$3:$C$502,$B113,Historial!$G$3:$G$502,AM$4,Historial!$H$3:$H$502,$B$2)&gt;0,"✓",""))</f>
        <v/>
      </c>
      <c r="AN114" s="29" t="str">
        <f aca="false">IF($A113="","",IF(COUNTIFS(Historial!$B$3:$B$502,$A113,Historial!$C$3:$C$502,$B113,Historial!$G$3:$G$502,AN$4,Historial!$H$3:$H$502,$B$2)&gt;0,"✓",""))</f>
        <v/>
      </c>
      <c r="AO114" s="29" t="str">
        <f aca="false">IF($A113="","",IF(COUNTIFS(Historial!$B$3:$B$502,$A113,Historial!$C$3:$C$502,$B113,Historial!$G$3:$G$502,AO$4,Historial!$H$3:$H$502,$B$2)&gt;0,"✓",""))</f>
        <v/>
      </c>
      <c r="AP114" s="29" t="str">
        <f aca="false">IF($A113="","",IF(COUNTIFS(Historial!$B$3:$B$502,$A113,Historial!$C$3:$C$502,$B113,Historial!$G$3:$G$502,AP$4,Historial!$H$3:$H$502,$B$2)&gt;0,"✓",""))</f>
        <v/>
      </c>
      <c r="AQ114" s="29" t="str">
        <f aca="false">IF($A113="","",IF(COUNTIFS(Historial!$B$3:$B$502,$A113,Historial!$C$3:$C$502,$B113,Historial!$G$3:$G$502,AQ$4,Historial!$H$3:$H$502,$B$2)&gt;0,"✓",""))</f>
        <v/>
      </c>
      <c r="AR114" s="29" t="str">
        <f aca="false">IF($A113="","",IF(COUNTIFS(Historial!$B$3:$B$502,$A113,Historial!$C$3:$C$502,$B113,Historial!$G$3:$G$502,AR$4,Historial!$H$3:$H$502,$B$2)&gt;0,"✓",""))</f>
        <v/>
      </c>
      <c r="AS114" s="29" t="str">
        <f aca="false">IF($A113="","",IF(COUNTIFS(Historial!$B$3:$B$502,$A113,Historial!$C$3:$C$502,$B113,Historial!$G$3:$G$502,AS$4,Historial!$H$3:$H$502,$B$2)&gt;0,"✓",""))</f>
        <v/>
      </c>
      <c r="AT114" s="29" t="str">
        <f aca="false">IF($A113="","",IF(COUNTIFS(Historial!$B$3:$B$502,$A113,Historial!$C$3:$C$502,$B113,Historial!$G$3:$G$502,AT$4,Historial!$H$3:$H$502,$B$2)&gt;0,"✓",""))</f>
        <v/>
      </c>
      <c r="AU114" s="29" t="str">
        <f aca="false">IF($A113="","",IF(COUNTIFS(Historial!$B$3:$B$502,$A113,Historial!$C$3:$C$502,$B113,Historial!$G$3:$G$502,AU$4,Historial!$H$3:$H$502,$B$2)&gt;0,"✓",""))</f>
        <v/>
      </c>
      <c r="AV114" s="29" t="str">
        <f aca="false">IF($A113="","",IF(COUNTIFS(Historial!$B$3:$B$502,$A113,Historial!$C$3:$C$502,$B113,Historial!$G$3:$G$502,AV$4,Historial!$H$3:$H$502,$B$2)&gt;0,"✓",""))</f>
        <v/>
      </c>
      <c r="AW114" s="29" t="str">
        <f aca="false">IF($A113="","",IF(COUNTIFS(Historial!$B$3:$B$502,$A113,Historial!$C$3:$C$502,$B113,Historial!$G$3:$G$502,AW$4,Historial!$H$3:$H$502,$B$2)&gt;0,"✓",""))</f>
        <v/>
      </c>
      <c r="AX114" s="29" t="str">
        <f aca="false">IF($A113="","",IF(COUNTIFS(Historial!$B$3:$B$502,$A113,Historial!$C$3:$C$502,$B113,Historial!$G$3:$G$502,AX$4,Historial!$H$3:$H$502,$B$2)&gt;0,"✓",""))</f>
        <v/>
      </c>
      <c r="AY114" s="29" t="str">
        <f aca="false">IF($A113="","",IF(COUNTIFS(Historial!$B$3:$B$502,$A113,Historial!$C$3:$C$502,$B113,Historial!$G$3:$G$502,AY$4,Historial!$H$3:$H$502,$B$2)&gt;0,"✓",""))</f>
        <v/>
      </c>
      <c r="AZ114" s="29" t="str">
        <f aca="false">IF($A113="","",IF(COUNTIFS(Historial!$B$3:$B$502,$A113,Historial!$C$3:$C$502,$B113,Historial!$G$3:$G$502,AZ$4,Historial!$H$3:$H$502,$B$2)&gt;0,"✓",""))</f>
        <v/>
      </c>
      <c r="BA114" s="29" t="str">
        <f aca="false">IF($A113="","",IF(COUNTIFS(Historial!$B$3:$B$502,$A113,Historial!$C$3:$C$502,$B113,Historial!$G$3:$G$502,BA$4,Historial!$H$3:$H$502,$B$2)&gt;0,"✓",""))</f>
        <v/>
      </c>
      <c r="BB114" s="29" t="str">
        <f aca="false">IF($A113="","",IF(COUNTIFS(Historial!$B$3:$B$502,$A113,Historial!$C$3:$C$502,$B113,Historial!$G$3:$G$502,BB$4,Historial!$H$3:$H$502,$B$2)&gt;0,"✓",""))</f>
        <v/>
      </c>
      <c r="BC114" s="29" t="str">
        <f aca="false">IF($A113="","",IF(COUNTIFS(Historial!$B$3:$B$502,$A113,Historial!$C$3:$C$502,$B113,Historial!$G$3:$G$502,BC$4,Historial!$H$3:$H$502,$B$2)&gt;0,"✓",""))</f>
        <v/>
      </c>
      <c r="BD114" s="29"/>
      <c r="BE114" s="29"/>
      <c r="BF114" s="29"/>
    </row>
    <row r="115" customFormat="false" ht="15" hidden="false" customHeight="false" outlineLevel="0" collapsed="false">
      <c r="A115" s="24" t="str">
        <f aca="false">IF(Actividades!$B58="","",Actividades!$B58)</f>
        <v/>
      </c>
      <c r="B115" s="24" t="str">
        <f aca="false">IF(Actividades!$C58="","",Actividades!$C58)</f>
        <v/>
      </c>
      <c r="C115" s="24" t="str">
        <f aca="false">IF($A115="","","Plan")</f>
        <v/>
      </c>
      <c r="D115" s="25" t="str">
        <f aca="false">IF($A115="","",IF(AND(N(Actividades!$E58)&gt;0,D$4&gt;=Actividades!$E58,MOD(D$4-Actividades!$E58,IFERROR(VLOOKUP(Actividades!$D58,Listas!$A$2:$B$8,2,0),52))=0),"P",""))</f>
        <v/>
      </c>
      <c r="E115" s="25" t="str">
        <f aca="false">IF($A115="","",IF(AND(N(Actividades!$E58)&gt;0,E$4&gt;=Actividades!$E58,MOD(E$4-Actividades!$E58,IFERROR(VLOOKUP(Actividades!$D58,Listas!$A$2:$B$8,2,0),52))=0),"P",""))</f>
        <v/>
      </c>
      <c r="F115" s="25" t="str">
        <f aca="false">IF($A115="","",IF(AND(N(Actividades!$E58)&gt;0,F$4&gt;=Actividades!$E58,MOD(F$4-Actividades!$E58,IFERROR(VLOOKUP(Actividades!$D58,Listas!$A$2:$B$8,2,0),52))=0),"P",""))</f>
        <v/>
      </c>
      <c r="G115" s="25" t="str">
        <f aca="false">IF($A115="","",IF(AND(N(Actividades!$E58)&gt;0,G$4&gt;=Actividades!$E58,MOD(G$4-Actividades!$E58,IFERROR(VLOOKUP(Actividades!$D58,Listas!$A$2:$B$8,2,0),52))=0),"P",""))</f>
        <v/>
      </c>
      <c r="H115" s="25" t="str">
        <f aca="false">IF($A115="","",IF(AND(N(Actividades!$E58)&gt;0,H$4&gt;=Actividades!$E58,MOD(H$4-Actividades!$E58,IFERROR(VLOOKUP(Actividades!$D58,Listas!$A$2:$B$8,2,0),52))=0),"P",""))</f>
        <v/>
      </c>
      <c r="I115" s="25" t="str">
        <f aca="false">IF($A115="","",IF(AND(N(Actividades!$E58)&gt;0,I$4&gt;=Actividades!$E58,MOD(I$4-Actividades!$E58,IFERROR(VLOOKUP(Actividades!$D58,Listas!$A$2:$B$8,2,0),52))=0),"P",""))</f>
        <v/>
      </c>
      <c r="J115" s="25" t="str">
        <f aca="false">IF($A115="","",IF(AND(N(Actividades!$E58)&gt;0,J$4&gt;=Actividades!$E58,MOD(J$4-Actividades!$E58,IFERROR(VLOOKUP(Actividades!$D58,Listas!$A$2:$B$8,2,0),52))=0),"P",""))</f>
        <v/>
      </c>
      <c r="K115" s="25" t="str">
        <f aca="false">IF($A115="","",IF(AND(N(Actividades!$E58)&gt;0,K$4&gt;=Actividades!$E58,MOD(K$4-Actividades!$E58,IFERROR(VLOOKUP(Actividades!$D58,Listas!$A$2:$B$8,2,0),52))=0),"P",""))</f>
        <v/>
      </c>
      <c r="L115" s="25" t="str">
        <f aca="false">IF($A115="","",IF(AND(N(Actividades!$E58)&gt;0,L$4&gt;=Actividades!$E58,MOD(L$4-Actividades!$E58,IFERROR(VLOOKUP(Actividades!$D58,Listas!$A$2:$B$8,2,0),52))=0),"P",""))</f>
        <v/>
      </c>
      <c r="M115" s="25" t="str">
        <f aca="false">IF($A115="","",IF(AND(N(Actividades!$E58)&gt;0,M$4&gt;=Actividades!$E58,MOD(M$4-Actividades!$E58,IFERROR(VLOOKUP(Actividades!$D58,Listas!$A$2:$B$8,2,0),52))=0),"P",""))</f>
        <v/>
      </c>
      <c r="N115" s="25" t="str">
        <f aca="false">IF($A115="","",IF(AND(N(Actividades!$E58)&gt;0,N$4&gt;=Actividades!$E58,MOD(N$4-Actividades!$E58,IFERROR(VLOOKUP(Actividades!$D58,Listas!$A$2:$B$8,2,0),52))=0),"P",""))</f>
        <v/>
      </c>
      <c r="O115" s="25" t="str">
        <f aca="false">IF($A115="","",IF(AND(N(Actividades!$E58)&gt;0,O$4&gt;=Actividades!$E58,MOD(O$4-Actividades!$E58,IFERROR(VLOOKUP(Actividades!$D58,Listas!$A$2:$B$8,2,0),52))=0),"P",""))</f>
        <v/>
      </c>
      <c r="P115" s="25" t="str">
        <f aca="false">IF($A115="","",IF(AND(N(Actividades!$E58)&gt;0,P$4&gt;=Actividades!$E58,MOD(P$4-Actividades!$E58,IFERROR(VLOOKUP(Actividades!$D58,Listas!$A$2:$B$8,2,0),52))=0),"P",""))</f>
        <v/>
      </c>
      <c r="Q115" s="25" t="str">
        <f aca="false">IF($A115="","",IF(AND(N(Actividades!$E58)&gt;0,Q$4&gt;=Actividades!$E58,MOD(Q$4-Actividades!$E58,IFERROR(VLOOKUP(Actividades!$D58,Listas!$A$2:$B$8,2,0),52))=0),"P",""))</f>
        <v/>
      </c>
      <c r="R115" s="25" t="str">
        <f aca="false">IF($A115="","",IF(AND(N(Actividades!$E58)&gt;0,R$4&gt;=Actividades!$E58,MOD(R$4-Actividades!$E58,IFERROR(VLOOKUP(Actividades!$D58,Listas!$A$2:$B$8,2,0),52))=0),"P",""))</f>
        <v/>
      </c>
      <c r="S115" s="25" t="str">
        <f aca="false">IF($A115="","",IF(AND(N(Actividades!$E58)&gt;0,S$4&gt;=Actividades!$E58,MOD(S$4-Actividades!$E58,IFERROR(VLOOKUP(Actividades!$D58,Listas!$A$2:$B$8,2,0),52))=0),"P",""))</f>
        <v/>
      </c>
      <c r="T115" s="25" t="str">
        <f aca="false">IF($A115="","",IF(AND(N(Actividades!$E58)&gt;0,T$4&gt;=Actividades!$E58,MOD(T$4-Actividades!$E58,IFERROR(VLOOKUP(Actividades!$D58,Listas!$A$2:$B$8,2,0),52))=0),"P",""))</f>
        <v/>
      </c>
      <c r="U115" s="25" t="str">
        <f aca="false">IF($A115="","",IF(AND(N(Actividades!$E58)&gt;0,U$4&gt;=Actividades!$E58,MOD(U$4-Actividades!$E58,IFERROR(VLOOKUP(Actividades!$D58,Listas!$A$2:$B$8,2,0),52))=0),"P",""))</f>
        <v/>
      </c>
      <c r="V115" s="25" t="str">
        <f aca="false">IF($A115="","",IF(AND(N(Actividades!$E58)&gt;0,V$4&gt;=Actividades!$E58,MOD(V$4-Actividades!$E58,IFERROR(VLOOKUP(Actividades!$D58,Listas!$A$2:$B$8,2,0),52))=0),"P",""))</f>
        <v/>
      </c>
      <c r="W115" s="25" t="str">
        <f aca="false">IF($A115="","",IF(AND(N(Actividades!$E58)&gt;0,W$4&gt;=Actividades!$E58,MOD(W$4-Actividades!$E58,IFERROR(VLOOKUP(Actividades!$D58,Listas!$A$2:$B$8,2,0),52))=0),"P",""))</f>
        <v/>
      </c>
      <c r="X115" s="25" t="str">
        <f aca="false">IF($A115="","",IF(AND(N(Actividades!$E58)&gt;0,X$4&gt;=Actividades!$E58,MOD(X$4-Actividades!$E58,IFERROR(VLOOKUP(Actividades!$D58,Listas!$A$2:$B$8,2,0),52))=0),"P",""))</f>
        <v/>
      </c>
      <c r="Y115" s="25" t="str">
        <f aca="false">IF($A115="","",IF(AND(N(Actividades!$E58)&gt;0,Y$4&gt;=Actividades!$E58,MOD(Y$4-Actividades!$E58,IFERROR(VLOOKUP(Actividades!$D58,Listas!$A$2:$B$8,2,0),52))=0),"P",""))</f>
        <v/>
      </c>
      <c r="Z115" s="25" t="str">
        <f aca="false">IF($A115="","",IF(AND(N(Actividades!$E58)&gt;0,Z$4&gt;=Actividades!$E58,MOD(Z$4-Actividades!$E58,IFERROR(VLOOKUP(Actividades!$D58,Listas!$A$2:$B$8,2,0),52))=0),"P",""))</f>
        <v/>
      </c>
      <c r="AA115" s="25" t="str">
        <f aca="false">IF($A115="","",IF(AND(N(Actividades!$E58)&gt;0,AA$4&gt;=Actividades!$E58,MOD(AA$4-Actividades!$E58,IFERROR(VLOOKUP(Actividades!$D58,Listas!$A$2:$B$8,2,0),52))=0),"P",""))</f>
        <v/>
      </c>
      <c r="AB115" s="25" t="str">
        <f aca="false">IF($A115="","",IF(AND(N(Actividades!$E58)&gt;0,AB$4&gt;=Actividades!$E58,MOD(AB$4-Actividades!$E58,IFERROR(VLOOKUP(Actividades!$D58,Listas!$A$2:$B$8,2,0),52))=0),"P",""))</f>
        <v/>
      </c>
      <c r="AC115" s="25" t="str">
        <f aca="false">IF($A115="","",IF(AND(N(Actividades!$E58)&gt;0,AC$4&gt;=Actividades!$E58,MOD(AC$4-Actividades!$E58,IFERROR(VLOOKUP(Actividades!$D58,Listas!$A$2:$B$8,2,0),52))=0),"P",""))</f>
        <v/>
      </c>
      <c r="AD115" s="25" t="str">
        <f aca="false">IF($A115="","",IF(AND(N(Actividades!$E58)&gt;0,AD$4&gt;=Actividades!$E58,MOD(AD$4-Actividades!$E58,IFERROR(VLOOKUP(Actividades!$D58,Listas!$A$2:$B$8,2,0),52))=0),"P",""))</f>
        <v/>
      </c>
      <c r="AE115" s="25" t="str">
        <f aca="false">IF($A115="","",IF(AND(N(Actividades!$E58)&gt;0,AE$4&gt;=Actividades!$E58,MOD(AE$4-Actividades!$E58,IFERROR(VLOOKUP(Actividades!$D58,Listas!$A$2:$B$8,2,0),52))=0),"P",""))</f>
        <v/>
      </c>
      <c r="AF115" s="25" t="str">
        <f aca="false">IF($A115="","",IF(AND(N(Actividades!$E58)&gt;0,AF$4&gt;=Actividades!$E58,MOD(AF$4-Actividades!$E58,IFERROR(VLOOKUP(Actividades!$D58,Listas!$A$2:$B$8,2,0),52))=0),"P",""))</f>
        <v/>
      </c>
      <c r="AG115" s="25" t="str">
        <f aca="false">IF($A115="","",IF(AND(N(Actividades!$E58)&gt;0,AG$4&gt;=Actividades!$E58,MOD(AG$4-Actividades!$E58,IFERROR(VLOOKUP(Actividades!$D58,Listas!$A$2:$B$8,2,0),52))=0),"P",""))</f>
        <v/>
      </c>
      <c r="AH115" s="25" t="str">
        <f aca="false">IF($A115="","",IF(AND(N(Actividades!$E58)&gt;0,AH$4&gt;=Actividades!$E58,MOD(AH$4-Actividades!$E58,IFERROR(VLOOKUP(Actividades!$D58,Listas!$A$2:$B$8,2,0),52))=0),"P",""))</f>
        <v/>
      </c>
      <c r="AI115" s="25" t="str">
        <f aca="false">IF($A115="","",IF(AND(N(Actividades!$E58)&gt;0,AI$4&gt;=Actividades!$E58,MOD(AI$4-Actividades!$E58,IFERROR(VLOOKUP(Actividades!$D58,Listas!$A$2:$B$8,2,0),52))=0),"P",""))</f>
        <v/>
      </c>
      <c r="AJ115" s="25" t="str">
        <f aca="false">IF($A115="","",IF(AND(N(Actividades!$E58)&gt;0,AJ$4&gt;=Actividades!$E58,MOD(AJ$4-Actividades!$E58,IFERROR(VLOOKUP(Actividades!$D58,Listas!$A$2:$B$8,2,0),52))=0),"P",""))</f>
        <v/>
      </c>
      <c r="AK115" s="25" t="str">
        <f aca="false">IF($A115="","",IF(AND(N(Actividades!$E58)&gt;0,AK$4&gt;=Actividades!$E58,MOD(AK$4-Actividades!$E58,IFERROR(VLOOKUP(Actividades!$D58,Listas!$A$2:$B$8,2,0),52))=0),"P",""))</f>
        <v/>
      </c>
      <c r="AL115" s="25" t="str">
        <f aca="false">IF($A115="","",IF(AND(N(Actividades!$E58)&gt;0,AL$4&gt;=Actividades!$E58,MOD(AL$4-Actividades!$E58,IFERROR(VLOOKUP(Actividades!$D58,Listas!$A$2:$B$8,2,0),52))=0),"P",""))</f>
        <v/>
      </c>
      <c r="AM115" s="25" t="str">
        <f aca="false">IF($A115="","",IF(AND(N(Actividades!$E58)&gt;0,AM$4&gt;=Actividades!$E58,MOD(AM$4-Actividades!$E58,IFERROR(VLOOKUP(Actividades!$D58,Listas!$A$2:$B$8,2,0),52))=0),"P",""))</f>
        <v/>
      </c>
      <c r="AN115" s="25" t="str">
        <f aca="false">IF($A115="","",IF(AND(N(Actividades!$E58)&gt;0,AN$4&gt;=Actividades!$E58,MOD(AN$4-Actividades!$E58,IFERROR(VLOOKUP(Actividades!$D58,Listas!$A$2:$B$8,2,0),52))=0),"P",""))</f>
        <v/>
      </c>
      <c r="AO115" s="25" t="str">
        <f aca="false">IF($A115="","",IF(AND(N(Actividades!$E58)&gt;0,AO$4&gt;=Actividades!$E58,MOD(AO$4-Actividades!$E58,IFERROR(VLOOKUP(Actividades!$D58,Listas!$A$2:$B$8,2,0),52))=0),"P",""))</f>
        <v/>
      </c>
      <c r="AP115" s="25" t="str">
        <f aca="false">IF($A115="","",IF(AND(N(Actividades!$E58)&gt;0,AP$4&gt;=Actividades!$E58,MOD(AP$4-Actividades!$E58,IFERROR(VLOOKUP(Actividades!$D58,Listas!$A$2:$B$8,2,0),52))=0),"P",""))</f>
        <v/>
      </c>
      <c r="AQ115" s="25" t="str">
        <f aca="false">IF($A115="","",IF(AND(N(Actividades!$E58)&gt;0,AQ$4&gt;=Actividades!$E58,MOD(AQ$4-Actividades!$E58,IFERROR(VLOOKUP(Actividades!$D58,Listas!$A$2:$B$8,2,0),52))=0),"P",""))</f>
        <v/>
      </c>
      <c r="AR115" s="25" t="str">
        <f aca="false">IF($A115="","",IF(AND(N(Actividades!$E58)&gt;0,AR$4&gt;=Actividades!$E58,MOD(AR$4-Actividades!$E58,IFERROR(VLOOKUP(Actividades!$D58,Listas!$A$2:$B$8,2,0),52))=0),"P",""))</f>
        <v/>
      </c>
      <c r="AS115" s="25" t="str">
        <f aca="false">IF($A115="","",IF(AND(N(Actividades!$E58)&gt;0,AS$4&gt;=Actividades!$E58,MOD(AS$4-Actividades!$E58,IFERROR(VLOOKUP(Actividades!$D58,Listas!$A$2:$B$8,2,0),52))=0),"P",""))</f>
        <v/>
      </c>
      <c r="AT115" s="25" t="str">
        <f aca="false">IF($A115="","",IF(AND(N(Actividades!$E58)&gt;0,AT$4&gt;=Actividades!$E58,MOD(AT$4-Actividades!$E58,IFERROR(VLOOKUP(Actividades!$D58,Listas!$A$2:$B$8,2,0),52))=0),"P",""))</f>
        <v/>
      </c>
      <c r="AU115" s="25" t="str">
        <f aca="false">IF($A115="","",IF(AND(N(Actividades!$E58)&gt;0,AU$4&gt;=Actividades!$E58,MOD(AU$4-Actividades!$E58,IFERROR(VLOOKUP(Actividades!$D58,Listas!$A$2:$B$8,2,0),52))=0),"P",""))</f>
        <v/>
      </c>
      <c r="AV115" s="25" t="str">
        <f aca="false">IF($A115="","",IF(AND(N(Actividades!$E58)&gt;0,AV$4&gt;=Actividades!$E58,MOD(AV$4-Actividades!$E58,IFERROR(VLOOKUP(Actividades!$D58,Listas!$A$2:$B$8,2,0),52))=0),"P",""))</f>
        <v/>
      </c>
      <c r="AW115" s="25" t="str">
        <f aca="false">IF($A115="","",IF(AND(N(Actividades!$E58)&gt;0,AW$4&gt;=Actividades!$E58,MOD(AW$4-Actividades!$E58,IFERROR(VLOOKUP(Actividades!$D58,Listas!$A$2:$B$8,2,0),52))=0),"P",""))</f>
        <v/>
      </c>
      <c r="AX115" s="25" t="str">
        <f aca="false">IF($A115="","",IF(AND(N(Actividades!$E58)&gt;0,AX$4&gt;=Actividades!$E58,MOD(AX$4-Actividades!$E58,IFERROR(VLOOKUP(Actividades!$D58,Listas!$A$2:$B$8,2,0),52))=0),"P",""))</f>
        <v/>
      </c>
      <c r="AY115" s="25" t="str">
        <f aca="false">IF($A115="","",IF(AND(N(Actividades!$E58)&gt;0,AY$4&gt;=Actividades!$E58,MOD(AY$4-Actividades!$E58,IFERROR(VLOOKUP(Actividades!$D58,Listas!$A$2:$B$8,2,0),52))=0),"P",""))</f>
        <v/>
      </c>
      <c r="AZ115" s="25" t="str">
        <f aca="false">IF($A115="","",IF(AND(N(Actividades!$E58)&gt;0,AZ$4&gt;=Actividades!$E58,MOD(AZ$4-Actividades!$E58,IFERROR(VLOOKUP(Actividades!$D58,Listas!$A$2:$B$8,2,0),52))=0),"P",""))</f>
        <v/>
      </c>
      <c r="BA115" s="25" t="str">
        <f aca="false">IF($A115="","",IF(AND(N(Actividades!$E58)&gt;0,BA$4&gt;=Actividades!$E58,MOD(BA$4-Actividades!$E58,IFERROR(VLOOKUP(Actividades!$D58,Listas!$A$2:$B$8,2,0),52))=0),"P",""))</f>
        <v/>
      </c>
      <c r="BB115" s="25" t="str">
        <f aca="false">IF($A115="","",IF(AND(N(Actividades!$E58)&gt;0,BB$4&gt;=Actividades!$E58,MOD(BB$4-Actividades!$E58,IFERROR(VLOOKUP(Actividades!$D58,Listas!$A$2:$B$8,2,0),52))=0),"P",""))</f>
        <v/>
      </c>
      <c r="BC115" s="25" t="str">
        <f aca="false">IF($A115="","",IF(AND(N(Actividades!$E58)&gt;0,BC$4&gt;=Actividades!$E58,MOD(BC$4-Actividades!$E58,IFERROR(VLOOKUP(Actividades!$D58,Listas!$A$2:$B$8,2,0),52))=0),"P",""))</f>
        <v/>
      </c>
      <c r="BD115" s="26" t="str">
        <f aca="false">IF($A115="","",COUNTIF(D115:BC115,"P"))</f>
        <v/>
      </c>
      <c r="BE115" s="26" t="str">
        <f aca="false">IF($A115="","",SUMPRODUCT((D115:BC115="P")*(D116:BC116="✓")))</f>
        <v/>
      </c>
      <c r="BF115" s="27" t="str">
        <f aca="false">IF($A115="","",IF(BD115=0,"",BE115/BD115))</f>
        <v/>
      </c>
    </row>
    <row r="116" customFormat="false" ht="15" hidden="false" customHeight="false" outlineLevel="0" collapsed="false">
      <c r="A116" s="28"/>
      <c r="B116" s="28"/>
      <c r="C116" s="28" t="str">
        <f aca="false">IF($A115="","","Real")</f>
        <v/>
      </c>
      <c r="D116" s="29" t="str">
        <f aca="false">IF($A115="","",IF(COUNTIFS(Historial!$B$3:$B$502,$A115,Historial!$C$3:$C$502,$B115,Historial!$G$3:$G$502,D$4,Historial!$H$3:$H$502,$B$2)&gt;0,"✓",""))</f>
        <v/>
      </c>
      <c r="E116" s="29" t="str">
        <f aca="false">IF($A115="","",IF(COUNTIFS(Historial!$B$3:$B$502,$A115,Historial!$C$3:$C$502,$B115,Historial!$G$3:$G$502,E$4,Historial!$H$3:$H$502,$B$2)&gt;0,"✓",""))</f>
        <v/>
      </c>
      <c r="F116" s="29" t="str">
        <f aca="false">IF($A115="","",IF(COUNTIFS(Historial!$B$3:$B$502,$A115,Historial!$C$3:$C$502,$B115,Historial!$G$3:$G$502,F$4,Historial!$H$3:$H$502,$B$2)&gt;0,"✓",""))</f>
        <v/>
      </c>
      <c r="G116" s="29" t="str">
        <f aca="false">IF($A115="","",IF(COUNTIFS(Historial!$B$3:$B$502,$A115,Historial!$C$3:$C$502,$B115,Historial!$G$3:$G$502,G$4,Historial!$H$3:$H$502,$B$2)&gt;0,"✓",""))</f>
        <v/>
      </c>
      <c r="H116" s="29" t="str">
        <f aca="false">IF($A115="","",IF(COUNTIFS(Historial!$B$3:$B$502,$A115,Historial!$C$3:$C$502,$B115,Historial!$G$3:$G$502,H$4,Historial!$H$3:$H$502,$B$2)&gt;0,"✓",""))</f>
        <v/>
      </c>
      <c r="I116" s="29" t="str">
        <f aca="false">IF($A115="","",IF(COUNTIFS(Historial!$B$3:$B$502,$A115,Historial!$C$3:$C$502,$B115,Historial!$G$3:$G$502,I$4,Historial!$H$3:$H$502,$B$2)&gt;0,"✓",""))</f>
        <v/>
      </c>
      <c r="J116" s="29" t="str">
        <f aca="false">IF($A115="","",IF(COUNTIFS(Historial!$B$3:$B$502,$A115,Historial!$C$3:$C$502,$B115,Historial!$G$3:$G$502,J$4,Historial!$H$3:$H$502,$B$2)&gt;0,"✓",""))</f>
        <v/>
      </c>
      <c r="K116" s="29" t="str">
        <f aca="false">IF($A115="","",IF(COUNTIFS(Historial!$B$3:$B$502,$A115,Historial!$C$3:$C$502,$B115,Historial!$G$3:$G$502,K$4,Historial!$H$3:$H$502,$B$2)&gt;0,"✓",""))</f>
        <v/>
      </c>
      <c r="L116" s="29" t="str">
        <f aca="false">IF($A115="","",IF(COUNTIFS(Historial!$B$3:$B$502,$A115,Historial!$C$3:$C$502,$B115,Historial!$G$3:$G$502,L$4,Historial!$H$3:$H$502,$B$2)&gt;0,"✓",""))</f>
        <v/>
      </c>
      <c r="M116" s="29" t="str">
        <f aca="false">IF($A115="","",IF(COUNTIFS(Historial!$B$3:$B$502,$A115,Historial!$C$3:$C$502,$B115,Historial!$G$3:$G$502,M$4,Historial!$H$3:$H$502,$B$2)&gt;0,"✓",""))</f>
        <v/>
      </c>
      <c r="N116" s="29" t="str">
        <f aca="false">IF($A115="","",IF(COUNTIFS(Historial!$B$3:$B$502,$A115,Historial!$C$3:$C$502,$B115,Historial!$G$3:$G$502,N$4,Historial!$H$3:$H$502,$B$2)&gt;0,"✓",""))</f>
        <v/>
      </c>
      <c r="O116" s="29" t="str">
        <f aca="false">IF($A115="","",IF(COUNTIFS(Historial!$B$3:$B$502,$A115,Historial!$C$3:$C$502,$B115,Historial!$G$3:$G$502,O$4,Historial!$H$3:$H$502,$B$2)&gt;0,"✓",""))</f>
        <v/>
      </c>
      <c r="P116" s="29" t="str">
        <f aca="false">IF($A115="","",IF(COUNTIFS(Historial!$B$3:$B$502,$A115,Historial!$C$3:$C$502,$B115,Historial!$G$3:$G$502,P$4,Historial!$H$3:$H$502,$B$2)&gt;0,"✓",""))</f>
        <v/>
      </c>
      <c r="Q116" s="29" t="str">
        <f aca="false">IF($A115="","",IF(COUNTIFS(Historial!$B$3:$B$502,$A115,Historial!$C$3:$C$502,$B115,Historial!$G$3:$G$502,Q$4,Historial!$H$3:$H$502,$B$2)&gt;0,"✓",""))</f>
        <v/>
      </c>
      <c r="R116" s="29" t="str">
        <f aca="false">IF($A115="","",IF(COUNTIFS(Historial!$B$3:$B$502,$A115,Historial!$C$3:$C$502,$B115,Historial!$G$3:$G$502,R$4,Historial!$H$3:$H$502,$B$2)&gt;0,"✓",""))</f>
        <v/>
      </c>
      <c r="S116" s="29" t="str">
        <f aca="false">IF($A115="","",IF(COUNTIFS(Historial!$B$3:$B$502,$A115,Historial!$C$3:$C$502,$B115,Historial!$G$3:$G$502,S$4,Historial!$H$3:$H$502,$B$2)&gt;0,"✓",""))</f>
        <v/>
      </c>
      <c r="T116" s="29" t="str">
        <f aca="false">IF($A115="","",IF(COUNTIFS(Historial!$B$3:$B$502,$A115,Historial!$C$3:$C$502,$B115,Historial!$G$3:$G$502,T$4,Historial!$H$3:$H$502,$B$2)&gt;0,"✓",""))</f>
        <v/>
      </c>
      <c r="U116" s="29" t="str">
        <f aca="false">IF($A115="","",IF(COUNTIFS(Historial!$B$3:$B$502,$A115,Historial!$C$3:$C$502,$B115,Historial!$G$3:$G$502,U$4,Historial!$H$3:$H$502,$B$2)&gt;0,"✓",""))</f>
        <v/>
      </c>
      <c r="V116" s="29" t="str">
        <f aca="false">IF($A115="","",IF(COUNTIFS(Historial!$B$3:$B$502,$A115,Historial!$C$3:$C$502,$B115,Historial!$G$3:$G$502,V$4,Historial!$H$3:$H$502,$B$2)&gt;0,"✓",""))</f>
        <v/>
      </c>
      <c r="W116" s="29" t="str">
        <f aca="false">IF($A115="","",IF(COUNTIFS(Historial!$B$3:$B$502,$A115,Historial!$C$3:$C$502,$B115,Historial!$G$3:$G$502,W$4,Historial!$H$3:$H$502,$B$2)&gt;0,"✓",""))</f>
        <v/>
      </c>
      <c r="X116" s="29" t="str">
        <f aca="false">IF($A115="","",IF(COUNTIFS(Historial!$B$3:$B$502,$A115,Historial!$C$3:$C$502,$B115,Historial!$G$3:$G$502,X$4,Historial!$H$3:$H$502,$B$2)&gt;0,"✓",""))</f>
        <v/>
      </c>
      <c r="Y116" s="29" t="str">
        <f aca="false">IF($A115="","",IF(COUNTIFS(Historial!$B$3:$B$502,$A115,Historial!$C$3:$C$502,$B115,Historial!$G$3:$G$502,Y$4,Historial!$H$3:$H$502,$B$2)&gt;0,"✓",""))</f>
        <v/>
      </c>
      <c r="Z116" s="29" t="str">
        <f aca="false">IF($A115="","",IF(COUNTIFS(Historial!$B$3:$B$502,$A115,Historial!$C$3:$C$502,$B115,Historial!$G$3:$G$502,Z$4,Historial!$H$3:$H$502,$B$2)&gt;0,"✓",""))</f>
        <v/>
      </c>
      <c r="AA116" s="29" t="str">
        <f aca="false">IF($A115="","",IF(COUNTIFS(Historial!$B$3:$B$502,$A115,Historial!$C$3:$C$502,$B115,Historial!$G$3:$G$502,AA$4,Historial!$H$3:$H$502,$B$2)&gt;0,"✓",""))</f>
        <v/>
      </c>
      <c r="AB116" s="29" t="str">
        <f aca="false">IF($A115="","",IF(COUNTIFS(Historial!$B$3:$B$502,$A115,Historial!$C$3:$C$502,$B115,Historial!$G$3:$G$502,AB$4,Historial!$H$3:$H$502,$B$2)&gt;0,"✓",""))</f>
        <v/>
      </c>
      <c r="AC116" s="29" t="str">
        <f aca="false">IF($A115="","",IF(COUNTIFS(Historial!$B$3:$B$502,$A115,Historial!$C$3:$C$502,$B115,Historial!$G$3:$G$502,AC$4,Historial!$H$3:$H$502,$B$2)&gt;0,"✓",""))</f>
        <v/>
      </c>
      <c r="AD116" s="29" t="str">
        <f aca="false">IF($A115="","",IF(COUNTIFS(Historial!$B$3:$B$502,$A115,Historial!$C$3:$C$502,$B115,Historial!$G$3:$G$502,AD$4,Historial!$H$3:$H$502,$B$2)&gt;0,"✓",""))</f>
        <v/>
      </c>
      <c r="AE116" s="29" t="str">
        <f aca="false">IF($A115="","",IF(COUNTIFS(Historial!$B$3:$B$502,$A115,Historial!$C$3:$C$502,$B115,Historial!$G$3:$G$502,AE$4,Historial!$H$3:$H$502,$B$2)&gt;0,"✓",""))</f>
        <v/>
      </c>
      <c r="AF116" s="29" t="str">
        <f aca="false">IF($A115="","",IF(COUNTIFS(Historial!$B$3:$B$502,$A115,Historial!$C$3:$C$502,$B115,Historial!$G$3:$G$502,AF$4,Historial!$H$3:$H$502,$B$2)&gt;0,"✓",""))</f>
        <v/>
      </c>
      <c r="AG116" s="29" t="str">
        <f aca="false">IF($A115="","",IF(COUNTIFS(Historial!$B$3:$B$502,$A115,Historial!$C$3:$C$502,$B115,Historial!$G$3:$G$502,AG$4,Historial!$H$3:$H$502,$B$2)&gt;0,"✓",""))</f>
        <v/>
      </c>
      <c r="AH116" s="29" t="str">
        <f aca="false">IF($A115="","",IF(COUNTIFS(Historial!$B$3:$B$502,$A115,Historial!$C$3:$C$502,$B115,Historial!$G$3:$G$502,AH$4,Historial!$H$3:$H$502,$B$2)&gt;0,"✓",""))</f>
        <v/>
      </c>
      <c r="AI116" s="29" t="str">
        <f aca="false">IF($A115="","",IF(COUNTIFS(Historial!$B$3:$B$502,$A115,Historial!$C$3:$C$502,$B115,Historial!$G$3:$G$502,AI$4,Historial!$H$3:$H$502,$B$2)&gt;0,"✓",""))</f>
        <v/>
      </c>
      <c r="AJ116" s="29" t="str">
        <f aca="false">IF($A115="","",IF(COUNTIFS(Historial!$B$3:$B$502,$A115,Historial!$C$3:$C$502,$B115,Historial!$G$3:$G$502,AJ$4,Historial!$H$3:$H$502,$B$2)&gt;0,"✓",""))</f>
        <v/>
      </c>
      <c r="AK116" s="29" t="str">
        <f aca="false">IF($A115="","",IF(COUNTIFS(Historial!$B$3:$B$502,$A115,Historial!$C$3:$C$502,$B115,Historial!$G$3:$G$502,AK$4,Historial!$H$3:$H$502,$B$2)&gt;0,"✓",""))</f>
        <v/>
      </c>
      <c r="AL116" s="29" t="str">
        <f aca="false">IF($A115="","",IF(COUNTIFS(Historial!$B$3:$B$502,$A115,Historial!$C$3:$C$502,$B115,Historial!$G$3:$G$502,AL$4,Historial!$H$3:$H$502,$B$2)&gt;0,"✓",""))</f>
        <v/>
      </c>
      <c r="AM116" s="29" t="str">
        <f aca="false">IF($A115="","",IF(COUNTIFS(Historial!$B$3:$B$502,$A115,Historial!$C$3:$C$502,$B115,Historial!$G$3:$G$502,AM$4,Historial!$H$3:$H$502,$B$2)&gt;0,"✓",""))</f>
        <v/>
      </c>
      <c r="AN116" s="29" t="str">
        <f aca="false">IF($A115="","",IF(COUNTIFS(Historial!$B$3:$B$502,$A115,Historial!$C$3:$C$502,$B115,Historial!$G$3:$G$502,AN$4,Historial!$H$3:$H$502,$B$2)&gt;0,"✓",""))</f>
        <v/>
      </c>
      <c r="AO116" s="29" t="str">
        <f aca="false">IF($A115="","",IF(COUNTIFS(Historial!$B$3:$B$502,$A115,Historial!$C$3:$C$502,$B115,Historial!$G$3:$G$502,AO$4,Historial!$H$3:$H$502,$B$2)&gt;0,"✓",""))</f>
        <v/>
      </c>
      <c r="AP116" s="29" t="str">
        <f aca="false">IF($A115="","",IF(COUNTIFS(Historial!$B$3:$B$502,$A115,Historial!$C$3:$C$502,$B115,Historial!$G$3:$G$502,AP$4,Historial!$H$3:$H$502,$B$2)&gt;0,"✓",""))</f>
        <v/>
      </c>
      <c r="AQ116" s="29" t="str">
        <f aca="false">IF($A115="","",IF(COUNTIFS(Historial!$B$3:$B$502,$A115,Historial!$C$3:$C$502,$B115,Historial!$G$3:$G$502,AQ$4,Historial!$H$3:$H$502,$B$2)&gt;0,"✓",""))</f>
        <v/>
      </c>
      <c r="AR116" s="29" t="str">
        <f aca="false">IF($A115="","",IF(COUNTIFS(Historial!$B$3:$B$502,$A115,Historial!$C$3:$C$502,$B115,Historial!$G$3:$G$502,AR$4,Historial!$H$3:$H$502,$B$2)&gt;0,"✓",""))</f>
        <v/>
      </c>
      <c r="AS116" s="29" t="str">
        <f aca="false">IF($A115="","",IF(COUNTIFS(Historial!$B$3:$B$502,$A115,Historial!$C$3:$C$502,$B115,Historial!$G$3:$G$502,AS$4,Historial!$H$3:$H$502,$B$2)&gt;0,"✓",""))</f>
        <v/>
      </c>
      <c r="AT116" s="29" t="str">
        <f aca="false">IF($A115="","",IF(COUNTIFS(Historial!$B$3:$B$502,$A115,Historial!$C$3:$C$502,$B115,Historial!$G$3:$G$502,AT$4,Historial!$H$3:$H$502,$B$2)&gt;0,"✓",""))</f>
        <v/>
      </c>
      <c r="AU116" s="29" t="str">
        <f aca="false">IF($A115="","",IF(COUNTIFS(Historial!$B$3:$B$502,$A115,Historial!$C$3:$C$502,$B115,Historial!$G$3:$G$502,AU$4,Historial!$H$3:$H$502,$B$2)&gt;0,"✓",""))</f>
        <v/>
      </c>
      <c r="AV116" s="29" t="str">
        <f aca="false">IF($A115="","",IF(COUNTIFS(Historial!$B$3:$B$502,$A115,Historial!$C$3:$C$502,$B115,Historial!$G$3:$G$502,AV$4,Historial!$H$3:$H$502,$B$2)&gt;0,"✓",""))</f>
        <v/>
      </c>
      <c r="AW116" s="29" t="str">
        <f aca="false">IF($A115="","",IF(COUNTIFS(Historial!$B$3:$B$502,$A115,Historial!$C$3:$C$502,$B115,Historial!$G$3:$G$502,AW$4,Historial!$H$3:$H$502,$B$2)&gt;0,"✓",""))</f>
        <v/>
      </c>
      <c r="AX116" s="29" t="str">
        <f aca="false">IF($A115="","",IF(COUNTIFS(Historial!$B$3:$B$502,$A115,Historial!$C$3:$C$502,$B115,Historial!$G$3:$G$502,AX$4,Historial!$H$3:$H$502,$B$2)&gt;0,"✓",""))</f>
        <v/>
      </c>
      <c r="AY116" s="29" t="str">
        <f aca="false">IF($A115="","",IF(COUNTIFS(Historial!$B$3:$B$502,$A115,Historial!$C$3:$C$502,$B115,Historial!$G$3:$G$502,AY$4,Historial!$H$3:$H$502,$B$2)&gt;0,"✓",""))</f>
        <v/>
      </c>
      <c r="AZ116" s="29" t="str">
        <f aca="false">IF($A115="","",IF(COUNTIFS(Historial!$B$3:$B$502,$A115,Historial!$C$3:$C$502,$B115,Historial!$G$3:$G$502,AZ$4,Historial!$H$3:$H$502,$B$2)&gt;0,"✓",""))</f>
        <v/>
      </c>
      <c r="BA116" s="29" t="str">
        <f aca="false">IF($A115="","",IF(COUNTIFS(Historial!$B$3:$B$502,$A115,Historial!$C$3:$C$502,$B115,Historial!$G$3:$G$502,BA$4,Historial!$H$3:$H$502,$B$2)&gt;0,"✓",""))</f>
        <v/>
      </c>
      <c r="BB116" s="29" t="str">
        <f aca="false">IF($A115="","",IF(COUNTIFS(Historial!$B$3:$B$502,$A115,Historial!$C$3:$C$502,$B115,Historial!$G$3:$G$502,BB$4,Historial!$H$3:$H$502,$B$2)&gt;0,"✓",""))</f>
        <v/>
      </c>
      <c r="BC116" s="29" t="str">
        <f aca="false">IF($A115="","",IF(COUNTIFS(Historial!$B$3:$B$502,$A115,Historial!$C$3:$C$502,$B115,Historial!$G$3:$G$502,BC$4,Historial!$H$3:$H$502,$B$2)&gt;0,"✓",""))</f>
        <v/>
      </c>
      <c r="BD116" s="29"/>
      <c r="BE116" s="29"/>
      <c r="BF116" s="29"/>
    </row>
    <row r="117" customFormat="false" ht="15" hidden="false" customHeight="false" outlineLevel="0" collapsed="false">
      <c r="A117" s="24" t="str">
        <f aca="false">IF(Actividades!$B59="","",Actividades!$B59)</f>
        <v/>
      </c>
      <c r="B117" s="24" t="str">
        <f aca="false">IF(Actividades!$C59="","",Actividades!$C59)</f>
        <v/>
      </c>
      <c r="C117" s="24" t="str">
        <f aca="false">IF($A117="","","Plan")</f>
        <v/>
      </c>
      <c r="D117" s="25" t="str">
        <f aca="false">IF($A117="","",IF(AND(N(Actividades!$E59)&gt;0,D$4&gt;=Actividades!$E59,MOD(D$4-Actividades!$E59,IFERROR(VLOOKUP(Actividades!$D59,Listas!$A$2:$B$8,2,0),52))=0),"P",""))</f>
        <v/>
      </c>
      <c r="E117" s="25" t="str">
        <f aca="false">IF($A117="","",IF(AND(N(Actividades!$E59)&gt;0,E$4&gt;=Actividades!$E59,MOD(E$4-Actividades!$E59,IFERROR(VLOOKUP(Actividades!$D59,Listas!$A$2:$B$8,2,0),52))=0),"P",""))</f>
        <v/>
      </c>
      <c r="F117" s="25" t="str">
        <f aca="false">IF($A117="","",IF(AND(N(Actividades!$E59)&gt;0,F$4&gt;=Actividades!$E59,MOD(F$4-Actividades!$E59,IFERROR(VLOOKUP(Actividades!$D59,Listas!$A$2:$B$8,2,0),52))=0),"P",""))</f>
        <v/>
      </c>
      <c r="G117" s="25" t="str">
        <f aca="false">IF($A117="","",IF(AND(N(Actividades!$E59)&gt;0,G$4&gt;=Actividades!$E59,MOD(G$4-Actividades!$E59,IFERROR(VLOOKUP(Actividades!$D59,Listas!$A$2:$B$8,2,0),52))=0),"P",""))</f>
        <v/>
      </c>
      <c r="H117" s="25" t="str">
        <f aca="false">IF($A117="","",IF(AND(N(Actividades!$E59)&gt;0,H$4&gt;=Actividades!$E59,MOD(H$4-Actividades!$E59,IFERROR(VLOOKUP(Actividades!$D59,Listas!$A$2:$B$8,2,0),52))=0),"P",""))</f>
        <v/>
      </c>
      <c r="I117" s="25" t="str">
        <f aca="false">IF($A117="","",IF(AND(N(Actividades!$E59)&gt;0,I$4&gt;=Actividades!$E59,MOD(I$4-Actividades!$E59,IFERROR(VLOOKUP(Actividades!$D59,Listas!$A$2:$B$8,2,0),52))=0),"P",""))</f>
        <v/>
      </c>
      <c r="J117" s="25" t="str">
        <f aca="false">IF($A117="","",IF(AND(N(Actividades!$E59)&gt;0,J$4&gt;=Actividades!$E59,MOD(J$4-Actividades!$E59,IFERROR(VLOOKUP(Actividades!$D59,Listas!$A$2:$B$8,2,0),52))=0),"P",""))</f>
        <v/>
      </c>
      <c r="K117" s="25" t="str">
        <f aca="false">IF($A117="","",IF(AND(N(Actividades!$E59)&gt;0,K$4&gt;=Actividades!$E59,MOD(K$4-Actividades!$E59,IFERROR(VLOOKUP(Actividades!$D59,Listas!$A$2:$B$8,2,0),52))=0),"P",""))</f>
        <v/>
      </c>
      <c r="L117" s="25" t="str">
        <f aca="false">IF($A117="","",IF(AND(N(Actividades!$E59)&gt;0,L$4&gt;=Actividades!$E59,MOD(L$4-Actividades!$E59,IFERROR(VLOOKUP(Actividades!$D59,Listas!$A$2:$B$8,2,0),52))=0),"P",""))</f>
        <v/>
      </c>
      <c r="M117" s="25" t="str">
        <f aca="false">IF($A117="","",IF(AND(N(Actividades!$E59)&gt;0,M$4&gt;=Actividades!$E59,MOD(M$4-Actividades!$E59,IFERROR(VLOOKUP(Actividades!$D59,Listas!$A$2:$B$8,2,0),52))=0),"P",""))</f>
        <v/>
      </c>
      <c r="N117" s="25" t="str">
        <f aca="false">IF($A117="","",IF(AND(N(Actividades!$E59)&gt;0,N$4&gt;=Actividades!$E59,MOD(N$4-Actividades!$E59,IFERROR(VLOOKUP(Actividades!$D59,Listas!$A$2:$B$8,2,0),52))=0),"P",""))</f>
        <v/>
      </c>
      <c r="O117" s="25" t="str">
        <f aca="false">IF($A117="","",IF(AND(N(Actividades!$E59)&gt;0,O$4&gt;=Actividades!$E59,MOD(O$4-Actividades!$E59,IFERROR(VLOOKUP(Actividades!$D59,Listas!$A$2:$B$8,2,0),52))=0),"P",""))</f>
        <v/>
      </c>
      <c r="P117" s="25" t="str">
        <f aca="false">IF($A117="","",IF(AND(N(Actividades!$E59)&gt;0,P$4&gt;=Actividades!$E59,MOD(P$4-Actividades!$E59,IFERROR(VLOOKUP(Actividades!$D59,Listas!$A$2:$B$8,2,0),52))=0),"P",""))</f>
        <v/>
      </c>
      <c r="Q117" s="25" t="str">
        <f aca="false">IF($A117="","",IF(AND(N(Actividades!$E59)&gt;0,Q$4&gt;=Actividades!$E59,MOD(Q$4-Actividades!$E59,IFERROR(VLOOKUP(Actividades!$D59,Listas!$A$2:$B$8,2,0),52))=0),"P",""))</f>
        <v/>
      </c>
      <c r="R117" s="25" t="str">
        <f aca="false">IF($A117="","",IF(AND(N(Actividades!$E59)&gt;0,R$4&gt;=Actividades!$E59,MOD(R$4-Actividades!$E59,IFERROR(VLOOKUP(Actividades!$D59,Listas!$A$2:$B$8,2,0),52))=0),"P",""))</f>
        <v/>
      </c>
      <c r="S117" s="25" t="str">
        <f aca="false">IF($A117="","",IF(AND(N(Actividades!$E59)&gt;0,S$4&gt;=Actividades!$E59,MOD(S$4-Actividades!$E59,IFERROR(VLOOKUP(Actividades!$D59,Listas!$A$2:$B$8,2,0),52))=0),"P",""))</f>
        <v/>
      </c>
      <c r="T117" s="25" t="str">
        <f aca="false">IF($A117="","",IF(AND(N(Actividades!$E59)&gt;0,T$4&gt;=Actividades!$E59,MOD(T$4-Actividades!$E59,IFERROR(VLOOKUP(Actividades!$D59,Listas!$A$2:$B$8,2,0),52))=0),"P",""))</f>
        <v/>
      </c>
      <c r="U117" s="25" t="str">
        <f aca="false">IF($A117="","",IF(AND(N(Actividades!$E59)&gt;0,U$4&gt;=Actividades!$E59,MOD(U$4-Actividades!$E59,IFERROR(VLOOKUP(Actividades!$D59,Listas!$A$2:$B$8,2,0),52))=0),"P",""))</f>
        <v/>
      </c>
      <c r="V117" s="25" t="str">
        <f aca="false">IF($A117="","",IF(AND(N(Actividades!$E59)&gt;0,V$4&gt;=Actividades!$E59,MOD(V$4-Actividades!$E59,IFERROR(VLOOKUP(Actividades!$D59,Listas!$A$2:$B$8,2,0),52))=0),"P",""))</f>
        <v/>
      </c>
      <c r="W117" s="25" t="str">
        <f aca="false">IF($A117="","",IF(AND(N(Actividades!$E59)&gt;0,W$4&gt;=Actividades!$E59,MOD(W$4-Actividades!$E59,IFERROR(VLOOKUP(Actividades!$D59,Listas!$A$2:$B$8,2,0),52))=0),"P",""))</f>
        <v/>
      </c>
      <c r="X117" s="25" t="str">
        <f aca="false">IF($A117="","",IF(AND(N(Actividades!$E59)&gt;0,X$4&gt;=Actividades!$E59,MOD(X$4-Actividades!$E59,IFERROR(VLOOKUP(Actividades!$D59,Listas!$A$2:$B$8,2,0),52))=0),"P",""))</f>
        <v/>
      </c>
      <c r="Y117" s="25" t="str">
        <f aca="false">IF($A117="","",IF(AND(N(Actividades!$E59)&gt;0,Y$4&gt;=Actividades!$E59,MOD(Y$4-Actividades!$E59,IFERROR(VLOOKUP(Actividades!$D59,Listas!$A$2:$B$8,2,0),52))=0),"P",""))</f>
        <v/>
      </c>
      <c r="Z117" s="25" t="str">
        <f aca="false">IF($A117="","",IF(AND(N(Actividades!$E59)&gt;0,Z$4&gt;=Actividades!$E59,MOD(Z$4-Actividades!$E59,IFERROR(VLOOKUP(Actividades!$D59,Listas!$A$2:$B$8,2,0),52))=0),"P",""))</f>
        <v/>
      </c>
      <c r="AA117" s="25" t="str">
        <f aca="false">IF($A117="","",IF(AND(N(Actividades!$E59)&gt;0,AA$4&gt;=Actividades!$E59,MOD(AA$4-Actividades!$E59,IFERROR(VLOOKUP(Actividades!$D59,Listas!$A$2:$B$8,2,0),52))=0),"P",""))</f>
        <v/>
      </c>
      <c r="AB117" s="25" t="str">
        <f aca="false">IF($A117="","",IF(AND(N(Actividades!$E59)&gt;0,AB$4&gt;=Actividades!$E59,MOD(AB$4-Actividades!$E59,IFERROR(VLOOKUP(Actividades!$D59,Listas!$A$2:$B$8,2,0),52))=0),"P",""))</f>
        <v/>
      </c>
      <c r="AC117" s="25" t="str">
        <f aca="false">IF($A117="","",IF(AND(N(Actividades!$E59)&gt;0,AC$4&gt;=Actividades!$E59,MOD(AC$4-Actividades!$E59,IFERROR(VLOOKUP(Actividades!$D59,Listas!$A$2:$B$8,2,0),52))=0),"P",""))</f>
        <v/>
      </c>
      <c r="AD117" s="25" t="str">
        <f aca="false">IF($A117="","",IF(AND(N(Actividades!$E59)&gt;0,AD$4&gt;=Actividades!$E59,MOD(AD$4-Actividades!$E59,IFERROR(VLOOKUP(Actividades!$D59,Listas!$A$2:$B$8,2,0),52))=0),"P",""))</f>
        <v/>
      </c>
      <c r="AE117" s="25" t="str">
        <f aca="false">IF($A117="","",IF(AND(N(Actividades!$E59)&gt;0,AE$4&gt;=Actividades!$E59,MOD(AE$4-Actividades!$E59,IFERROR(VLOOKUP(Actividades!$D59,Listas!$A$2:$B$8,2,0),52))=0),"P",""))</f>
        <v/>
      </c>
      <c r="AF117" s="25" t="str">
        <f aca="false">IF($A117="","",IF(AND(N(Actividades!$E59)&gt;0,AF$4&gt;=Actividades!$E59,MOD(AF$4-Actividades!$E59,IFERROR(VLOOKUP(Actividades!$D59,Listas!$A$2:$B$8,2,0),52))=0),"P",""))</f>
        <v/>
      </c>
      <c r="AG117" s="25" t="str">
        <f aca="false">IF($A117="","",IF(AND(N(Actividades!$E59)&gt;0,AG$4&gt;=Actividades!$E59,MOD(AG$4-Actividades!$E59,IFERROR(VLOOKUP(Actividades!$D59,Listas!$A$2:$B$8,2,0),52))=0),"P",""))</f>
        <v/>
      </c>
      <c r="AH117" s="25" t="str">
        <f aca="false">IF($A117="","",IF(AND(N(Actividades!$E59)&gt;0,AH$4&gt;=Actividades!$E59,MOD(AH$4-Actividades!$E59,IFERROR(VLOOKUP(Actividades!$D59,Listas!$A$2:$B$8,2,0),52))=0),"P",""))</f>
        <v/>
      </c>
      <c r="AI117" s="25" t="str">
        <f aca="false">IF($A117="","",IF(AND(N(Actividades!$E59)&gt;0,AI$4&gt;=Actividades!$E59,MOD(AI$4-Actividades!$E59,IFERROR(VLOOKUP(Actividades!$D59,Listas!$A$2:$B$8,2,0),52))=0),"P",""))</f>
        <v/>
      </c>
      <c r="AJ117" s="25" t="str">
        <f aca="false">IF($A117="","",IF(AND(N(Actividades!$E59)&gt;0,AJ$4&gt;=Actividades!$E59,MOD(AJ$4-Actividades!$E59,IFERROR(VLOOKUP(Actividades!$D59,Listas!$A$2:$B$8,2,0),52))=0),"P",""))</f>
        <v/>
      </c>
      <c r="AK117" s="25" t="str">
        <f aca="false">IF($A117="","",IF(AND(N(Actividades!$E59)&gt;0,AK$4&gt;=Actividades!$E59,MOD(AK$4-Actividades!$E59,IFERROR(VLOOKUP(Actividades!$D59,Listas!$A$2:$B$8,2,0),52))=0),"P",""))</f>
        <v/>
      </c>
      <c r="AL117" s="25" t="str">
        <f aca="false">IF($A117="","",IF(AND(N(Actividades!$E59)&gt;0,AL$4&gt;=Actividades!$E59,MOD(AL$4-Actividades!$E59,IFERROR(VLOOKUP(Actividades!$D59,Listas!$A$2:$B$8,2,0),52))=0),"P",""))</f>
        <v/>
      </c>
      <c r="AM117" s="25" t="str">
        <f aca="false">IF($A117="","",IF(AND(N(Actividades!$E59)&gt;0,AM$4&gt;=Actividades!$E59,MOD(AM$4-Actividades!$E59,IFERROR(VLOOKUP(Actividades!$D59,Listas!$A$2:$B$8,2,0),52))=0),"P",""))</f>
        <v/>
      </c>
      <c r="AN117" s="25" t="str">
        <f aca="false">IF($A117="","",IF(AND(N(Actividades!$E59)&gt;0,AN$4&gt;=Actividades!$E59,MOD(AN$4-Actividades!$E59,IFERROR(VLOOKUP(Actividades!$D59,Listas!$A$2:$B$8,2,0),52))=0),"P",""))</f>
        <v/>
      </c>
      <c r="AO117" s="25" t="str">
        <f aca="false">IF($A117="","",IF(AND(N(Actividades!$E59)&gt;0,AO$4&gt;=Actividades!$E59,MOD(AO$4-Actividades!$E59,IFERROR(VLOOKUP(Actividades!$D59,Listas!$A$2:$B$8,2,0),52))=0),"P",""))</f>
        <v/>
      </c>
      <c r="AP117" s="25" t="str">
        <f aca="false">IF($A117="","",IF(AND(N(Actividades!$E59)&gt;0,AP$4&gt;=Actividades!$E59,MOD(AP$4-Actividades!$E59,IFERROR(VLOOKUP(Actividades!$D59,Listas!$A$2:$B$8,2,0),52))=0),"P",""))</f>
        <v/>
      </c>
      <c r="AQ117" s="25" t="str">
        <f aca="false">IF($A117="","",IF(AND(N(Actividades!$E59)&gt;0,AQ$4&gt;=Actividades!$E59,MOD(AQ$4-Actividades!$E59,IFERROR(VLOOKUP(Actividades!$D59,Listas!$A$2:$B$8,2,0),52))=0),"P",""))</f>
        <v/>
      </c>
      <c r="AR117" s="25" t="str">
        <f aca="false">IF($A117="","",IF(AND(N(Actividades!$E59)&gt;0,AR$4&gt;=Actividades!$E59,MOD(AR$4-Actividades!$E59,IFERROR(VLOOKUP(Actividades!$D59,Listas!$A$2:$B$8,2,0),52))=0),"P",""))</f>
        <v/>
      </c>
      <c r="AS117" s="25" t="str">
        <f aca="false">IF($A117="","",IF(AND(N(Actividades!$E59)&gt;0,AS$4&gt;=Actividades!$E59,MOD(AS$4-Actividades!$E59,IFERROR(VLOOKUP(Actividades!$D59,Listas!$A$2:$B$8,2,0),52))=0),"P",""))</f>
        <v/>
      </c>
      <c r="AT117" s="25" t="str">
        <f aca="false">IF($A117="","",IF(AND(N(Actividades!$E59)&gt;0,AT$4&gt;=Actividades!$E59,MOD(AT$4-Actividades!$E59,IFERROR(VLOOKUP(Actividades!$D59,Listas!$A$2:$B$8,2,0),52))=0),"P",""))</f>
        <v/>
      </c>
      <c r="AU117" s="25" t="str">
        <f aca="false">IF($A117="","",IF(AND(N(Actividades!$E59)&gt;0,AU$4&gt;=Actividades!$E59,MOD(AU$4-Actividades!$E59,IFERROR(VLOOKUP(Actividades!$D59,Listas!$A$2:$B$8,2,0),52))=0),"P",""))</f>
        <v/>
      </c>
      <c r="AV117" s="25" t="str">
        <f aca="false">IF($A117="","",IF(AND(N(Actividades!$E59)&gt;0,AV$4&gt;=Actividades!$E59,MOD(AV$4-Actividades!$E59,IFERROR(VLOOKUP(Actividades!$D59,Listas!$A$2:$B$8,2,0),52))=0),"P",""))</f>
        <v/>
      </c>
      <c r="AW117" s="25" t="str">
        <f aca="false">IF($A117="","",IF(AND(N(Actividades!$E59)&gt;0,AW$4&gt;=Actividades!$E59,MOD(AW$4-Actividades!$E59,IFERROR(VLOOKUP(Actividades!$D59,Listas!$A$2:$B$8,2,0),52))=0),"P",""))</f>
        <v/>
      </c>
      <c r="AX117" s="25" t="str">
        <f aca="false">IF($A117="","",IF(AND(N(Actividades!$E59)&gt;0,AX$4&gt;=Actividades!$E59,MOD(AX$4-Actividades!$E59,IFERROR(VLOOKUP(Actividades!$D59,Listas!$A$2:$B$8,2,0),52))=0),"P",""))</f>
        <v/>
      </c>
      <c r="AY117" s="25" t="str">
        <f aca="false">IF($A117="","",IF(AND(N(Actividades!$E59)&gt;0,AY$4&gt;=Actividades!$E59,MOD(AY$4-Actividades!$E59,IFERROR(VLOOKUP(Actividades!$D59,Listas!$A$2:$B$8,2,0),52))=0),"P",""))</f>
        <v/>
      </c>
      <c r="AZ117" s="25" t="str">
        <f aca="false">IF($A117="","",IF(AND(N(Actividades!$E59)&gt;0,AZ$4&gt;=Actividades!$E59,MOD(AZ$4-Actividades!$E59,IFERROR(VLOOKUP(Actividades!$D59,Listas!$A$2:$B$8,2,0),52))=0),"P",""))</f>
        <v/>
      </c>
      <c r="BA117" s="25" t="str">
        <f aca="false">IF($A117="","",IF(AND(N(Actividades!$E59)&gt;0,BA$4&gt;=Actividades!$E59,MOD(BA$4-Actividades!$E59,IFERROR(VLOOKUP(Actividades!$D59,Listas!$A$2:$B$8,2,0),52))=0),"P",""))</f>
        <v/>
      </c>
      <c r="BB117" s="25" t="str">
        <f aca="false">IF($A117="","",IF(AND(N(Actividades!$E59)&gt;0,BB$4&gt;=Actividades!$E59,MOD(BB$4-Actividades!$E59,IFERROR(VLOOKUP(Actividades!$D59,Listas!$A$2:$B$8,2,0),52))=0),"P",""))</f>
        <v/>
      </c>
      <c r="BC117" s="25" t="str">
        <f aca="false">IF($A117="","",IF(AND(N(Actividades!$E59)&gt;0,BC$4&gt;=Actividades!$E59,MOD(BC$4-Actividades!$E59,IFERROR(VLOOKUP(Actividades!$D59,Listas!$A$2:$B$8,2,0),52))=0),"P",""))</f>
        <v/>
      </c>
      <c r="BD117" s="26" t="str">
        <f aca="false">IF($A117="","",COUNTIF(D117:BC117,"P"))</f>
        <v/>
      </c>
      <c r="BE117" s="26" t="str">
        <f aca="false">IF($A117="","",SUMPRODUCT((D117:BC117="P")*(D118:BC118="✓")))</f>
        <v/>
      </c>
      <c r="BF117" s="27" t="str">
        <f aca="false">IF($A117="","",IF(BD117=0,"",BE117/BD117))</f>
        <v/>
      </c>
    </row>
    <row r="118" customFormat="false" ht="15" hidden="false" customHeight="false" outlineLevel="0" collapsed="false">
      <c r="A118" s="28"/>
      <c r="B118" s="28"/>
      <c r="C118" s="28" t="str">
        <f aca="false">IF($A117="","","Real")</f>
        <v/>
      </c>
      <c r="D118" s="29" t="str">
        <f aca="false">IF($A117="","",IF(COUNTIFS(Historial!$B$3:$B$502,$A117,Historial!$C$3:$C$502,$B117,Historial!$G$3:$G$502,D$4,Historial!$H$3:$H$502,$B$2)&gt;0,"✓",""))</f>
        <v/>
      </c>
      <c r="E118" s="29" t="str">
        <f aca="false">IF($A117="","",IF(COUNTIFS(Historial!$B$3:$B$502,$A117,Historial!$C$3:$C$502,$B117,Historial!$G$3:$G$502,E$4,Historial!$H$3:$H$502,$B$2)&gt;0,"✓",""))</f>
        <v/>
      </c>
      <c r="F118" s="29" t="str">
        <f aca="false">IF($A117="","",IF(COUNTIFS(Historial!$B$3:$B$502,$A117,Historial!$C$3:$C$502,$B117,Historial!$G$3:$G$502,F$4,Historial!$H$3:$H$502,$B$2)&gt;0,"✓",""))</f>
        <v/>
      </c>
      <c r="G118" s="29" t="str">
        <f aca="false">IF($A117="","",IF(COUNTIFS(Historial!$B$3:$B$502,$A117,Historial!$C$3:$C$502,$B117,Historial!$G$3:$G$502,G$4,Historial!$H$3:$H$502,$B$2)&gt;0,"✓",""))</f>
        <v/>
      </c>
      <c r="H118" s="29" t="str">
        <f aca="false">IF($A117="","",IF(COUNTIFS(Historial!$B$3:$B$502,$A117,Historial!$C$3:$C$502,$B117,Historial!$G$3:$G$502,H$4,Historial!$H$3:$H$502,$B$2)&gt;0,"✓",""))</f>
        <v/>
      </c>
      <c r="I118" s="29" t="str">
        <f aca="false">IF($A117="","",IF(COUNTIFS(Historial!$B$3:$B$502,$A117,Historial!$C$3:$C$502,$B117,Historial!$G$3:$G$502,I$4,Historial!$H$3:$H$502,$B$2)&gt;0,"✓",""))</f>
        <v/>
      </c>
      <c r="J118" s="29" t="str">
        <f aca="false">IF($A117="","",IF(COUNTIFS(Historial!$B$3:$B$502,$A117,Historial!$C$3:$C$502,$B117,Historial!$G$3:$G$502,J$4,Historial!$H$3:$H$502,$B$2)&gt;0,"✓",""))</f>
        <v/>
      </c>
      <c r="K118" s="29" t="str">
        <f aca="false">IF($A117="","",IF(COUNTIFS(Historial!$B$3:$B$502,$A117,Historial!$C$3:$C$502,$B117,Historial!$G$3:$G$502,K$4,Historial!$H$3:$H$502,$B$2)&gt;0,"✓",""))</f>
        <v/>
      </c>
      <c r="L118" s="29" t="str">
        <f aca="false">IF($A117="","",IF(COUNTIFS(Historial!$B$3:$B$502,$A117,Historial!$C$3:$C$502,$B117,Historial!$G$3:$G$502,L$4,Historial!$H$3:$H$502,$B$2)&gt;0,"✓",""))</f>
        <v/>
      </c>
      <c r="M118" s="29" t="str">
        <f aca="false">IF($A117="","",IF(COUNTIFS(Historial!$B$3:$B$502,$A117,Historial!$C$3:$C$502,$B117,Historial!$G$3:$G$502,M$4,Historial!$H$3:$H$502,$B$2)&gt;0,"✓",""))</f>
        <v/>
      </c>
      <c r="N118" s="29" t="str">
        <f aca="false">IF($A117="","",IF(COUNTIFS(Historial!$B$3:$B$502,$A117,Historial!$C$3:$C$502,$B117,Historial!$G$3:$G$502,N$4,Historial!$H$3:$H$502,$B$2)&gt;0,"✓",""))</f>
        <v/>
      </c>
      <c r="O118" s="29" t="str">
        <f aca="false">IF($A117="","",IF(COUNTIFS(Historial!$B$3:$B$502,$A117,Historial!$C$3:$C$502,$B117,Historial!$G$3:$G$502,O$4,Historial!$H$3:$H$502,$B$2)&gt;0,"✓",""))</f>
        <v/>
      </c>
      <c r="P118" s="29" t="str">
        <f aca="false">IF($A117="","",IF(COUNTIFS(Historial!$B$3:$B$502,$A117,Historial!$C$3:$C$502,$B117,Historial!$G$3:$G$502,P$4,Historial!$H$3:$H$502,$B$2)&gt;0,"✓",""))</f>
        <v/>
      </c>
      <c r="Q118" s="29" t="str">
        <f aca="false">IF($A117="","",IF(COUNTIFS(Historial!$B$3:$B$502,$A117,Historial!$C$3:$C$502,$B117,Historial!$G$3:$G$502,Q$4,Historial!$H$3:$H$502,$B$2)&gt;0,"✓",""))</f>
        <v/>
      </c>
      <c r="R118" s="29" t="str">
        <f aca="false">IF($A117="","",IF(COUNTIFS(Historial!$B$3:$B$502,$A117,Historial!$C$3:$C$502,$B117,Historial!$G$3:$G$502,R$4,Historial!$H$3:$H$502,$B$2)&gt;0,"✓",""))</f>
        <v/>
      </c>
      <c r="S118" s="29" t="str">
        <f aca="false">IF($A117="","",IF(COUNTIFS(Historial!$B$3:$B$502,$A117,Historial!$C$3:$C$502,$B117,Historial!$G$3:$G$502,S$4,Historial!$H$3:$H$502,$B$2)&gt;0,"✓",""))</f>
        <v/>
      </c>
      <c r="T118" s="29" t="str">
        <f aca="false">IF($A117="","",IF(COUNTIFS(Historial!$B$3:$B$502,$A117,Historial!$C$3:$C$502,$B117,Historial!$G$3:$G$502,T$4,Historial!$H$3:$H$502,$B$2)&gt;0,"✓",""))</f>
        <v/>
      </c>
      <c r="U118" s="29" t="str">
        <f aca="false">IF($A117="","",IF(COUNTIFS(Historial!$B$3:$B$502,$A117,Historial!$C$3:$C$502,$B117,Historial!$G$3:$G$502,U$4,Historial!$H$3:$H$502,$B$2)&gt;0,"✓",""))</f>
        <v/>
      </c>
      <c r="V118" s="29" t="str">
        <f aca="false">IF($A117="","",IF(COUNTIFS(Historial!$B$3:$B$502,$A117,Historial!$C$3:$C$502,$B117,Historial!$G$3:$G$502,V$4,Historial!$H$3:$H$502,$B$2)&gt;0,"✓",""))</f>
        <v/>
      </c>
      <c r="W118" s="29" t="str">
        <f aca="false">IF($A117="","",IF(COUNTIFS(Historial!$B$3:$B$502,$A117,Historial!$C$3:$C$502,$B117,Historial!$G$3:$G$502,W$4,Historial!$H$3:$H$502,$B$2)&gt;0,"✓",""))</f>
        <v/>
      </c>
      <c r="X118" s="29" t="str">
        <f aca="false">IF($A117="","",IF(COUNTIFS(Historial!$B$3:$B$502,$A117,Historial!$C$3:$C$502,$B117,Historial!$G$3:$G$502,X$4,Historial!$H$3:$H$502,$B$2)&gt;0,"✓",""))</f>
        <v/>
      </c>
      <c r="Y118" s="29" t="str">
        <f aca="false">IF($A117="","",IF(COUNTIFS(Historial!$B$3:$B$502,$A117,Historial!$C$3:$C$502,$B117,Historial!$G$3:$G$502,Y$4,Historial!$H$3:$H$502,$B$2)&gt;0,"✓",""))</f>
        <v/>
      </c>
      <c r="Z118" s="29" t="str">
        <f aca="false">IF($A117="","",IF(COUNTIFS(Historial!$B$3:$B$502,$A117,Historial!$C$3:$C$502,$B117,Historial!$G$3:$G$502,Z$4,Historial!$H$3:$H$502,$B$2)&gt;0,"✓",""))</f>
        <v/>
      </c>
      <c r="AA118" s="29" t="str">
        <f aca="false">IF($A117="","",IF(COUNTIFS(Historial!$B$3:$B$502,$A117,Historial!$C$3:$C$502,$B117,Historial!$G$3:$G$502,AA$4,Historial!$H$3:$H$502,$B$2)&gt;0,"✓",""))</f>
        <v/>
      </c>
      <c r="AB118" s="29" t="str">
        <f aca="false">IF($A117="","",IF(COUNTIFS(Historial!$B$3:$B$502,$A117,Historial!$C$3:$C$502,$B117,Historial!$G$3:$G$502,AB$4,Historial!$H$3:$H$502,$B$2)&gt;0,"✓",""))</f>
        <v/>
      </c>
      <c r="AC118" s="29" t="str">
        <f aca="false">IF($A117="","",IF(COUNTIFS(Historial!$B$3:$B$502,$A117,Historial!$C$3:$C$502,$B117,Historial!$G$3:$G$502,AC$4,Historial!$H$3:$H$502,$B$2)&gt;0,"✓",""))</f>
        <v/>
      </c>
      <c r="AD118" s="29" t="str">
        <f aca="false">IF($A117="","",IF(COUNTIFS(Historial!$B$3:$B$502,$A117,Historial!$C$3:$C$502,$B117,Historial!$G$3:$G$502,AD$4,Historial!$H$3:$H$502,$B$2)&gt;0,"✓",""))</f>
        <v/>
      </c>
      <c r="AE118" s="29" t="str">
        <f aca="false">IF($A117="","",IF(COUNTIFS(Historial!$B$3:$B$502,$A117,Historial!$C$3:$C$502,$B117,Historial!$G$3:$G$502,AE$4,Historial!$H$3:$H$502,$B$2)&gt;0,"✓",""))</f>
        <v/>
      </c>
      <c r="AF118" s="29" t="str">
        <f aca="false">IF($A117="","",IF(COUNTIFS(Historial!$B$3:$B$502,$A117,Historial!$C$3:$C$502,$B117,Historial!$G$3:$G$502,AF$4,Historial!$H$3:$H$502,$B$2)&gt;0,"✓",""))</f>
        <v/>
      </c>
      <c r="AG118" s="29" t="str">
        <f aca="false">IF($A117="","",IF(COUNTIFS(Historial!$B$3:$B$502,$A117,Historial!$C$3:$C$502,$B117,Historial!$G$3:$G$502,AG$4,Historial!$H$3:$H$502,$B$2)&gt;0,"✓",""))</f>
        <v/>
      </c>
      <c r="AH118" s="29" t="str">
        <f aca="false">IF($A117="","",IF(COUNTIFS(Historial!$B$3:$B$502,$A117,Historial!$C$3:$C$502,$B117,Historial!$G$3:$G$502,AH$4,Historial!$H$3:$H$502,$B$2)&gt;0,"✓",""))</f>
        <v/>
      </c>
      <c r="AI118" s="29" t="str">
        <f aca="false">IF($A117="","",IF(COUNTIFS(Historial!$B$3:$B$502,$A117,Historial!$C$3:$C$502,$B117,Historial!$G$3:$G$502,AI$4,Historial!$H$3:$H$502,$B$2)&gt;0,"✓",""))</f>
        <v/>
      </c>
      <c r="AJ118" s="29" t="str">
        <f aca="false">IF($A117="","",IF(COUNTIFS(Historial!$B$3:$B$502,$A117,Historial!$C$3:$C$502,$B117,Historial!$G$3:$G$502,AJ$4,Historial!$H$3:$H$502,$B$2)&gt;0,"✓",""))</f>
        <v/>
      </c>
      <c r="AK118" s="29" t="str">
        <f aca="false">IF($A117="","",IF(COUNTIFS(Historial!$B$3:$B$502,$A117,Historial!$C$3:$C$502,$B117,Historial!$G$3:$G$502,AK$4,Historial!$H$3:$H$502,$B$2)&gt;0,"✓",""))</f>
        <v/>
      </c>
      <c r="AL118" s="29" t="str">
        <f aca="false">IF($A117="","",IF(COUNTIFS(Historial!$B$3:$B$502,$A117,Historial!$C$3:$C$502,$B117,Historial!$G$3:$G$502,AL$4,Historial!$H$3:$H$502,$B$2)&gt;0,"✓",""))</f>
        <v/>
      </c>
      <c r="AM118" s="29" t="str">
        <f aca="false">IF($A117="","",IF(COUNTIFS(Historial!$B$3:$B$502,$A117,Historial!$C$3:$C$502,$B117,Historial!$G$3:$G$502,AM$4,Historial!$H$3:$H$502,$B$2)&gt;0,"✓",""))</f>
        <v/>
      </c>
      <c r="AN118" s="29" t="str">
        <f aca="false">IF($A117="","",IF(COUNTIFS(Historial!$B$3:$B$502,$A117,Historial!$C$3:$C$502,$B117,Historial!$G$3:$G$502,AN$4,Historial!$H$3:$H$502,$B$2)&gt;0,"✓",""))</f>
        <v/>
      </c>
      <c r="AO118" s="29" t="str">
        <f aca="false">IF($A117="","",IF(COUNTIFS(Historial!$B$3:$B$502,$A117,Historial!$C$3:$C$502,$B117,Historial!$G$3:$G$502,AO$4,Historial!$H$3:$H$502,$B$2)&gt;0,"✓",""))</f>
        <v/>
      </c>
      <c r="AP118" s="29" t="str">
        <f aca="false">IF($A117="","",IF(COUNTIFS(Historial!$B$3:$B$502,$A117,Historial!$C$3:$C$502,$B117,Historial!$G$3:$G$502,AP$4,Historial!$H$3:$H$502,$B$2)&gt;0,"✓",""))</f>
        <v/>
      </c>
      <c r="AQ118" s="29" t="str">
        <f aca="false">IF($A117="","",IF(COUNTIFS(Historial!$B$3:$B$502,$A117,Historial!$C$3:$C$502,$B117,Historial!$G$3:$G$502,AQ$4,Historial!$H$3:$H$502,$B$2)&gt;0,"✓",""))</f>
        <v/>
      </c>
      <c r="AR118" s="29" t="str">
        <f aca="false">IF($A117="","",IF(COUNTIFS(Historial!$B$3:$B$502,$A117,Historial!$C$3:$C$502,$B117,Historial!$G$3:$G$502,AR$4,Historial!$H$3:$H$502,$B$2)&gt;0,"✓",""))</f>
        <v/>
      </c>
      <c r="AS118" s="29" t="str">
        <f aca="false">IF($A117="","",IF(COUNTIFS(Historial!$B$3:$B$502,$A117,Historial!$C$3:$C$502,$B117,Historial!$G$3:$G$502,AS$4,Historial!$H$3:$H$502,$B$2)&gt;0,"✓",""))</f>
        <v/>
      </c>
      <c r="AT118" s="29" t="str">
        <f aca="false">IF($A117="","",IF(COUNTIFS(Historial!$B$3:$B$502,$A117,Historial!$C$3:$C$502,$B117,Historial!$G$3:$G$502,AT$4,Historial!$H$3:$H$502,$B$2)&gt;0,"✓",""))</f>
        <v/>
      </c>
      <c r="AU118" s="29" t="str">
        <f aca="false">IF($A117="","",IF(COUNTIFS(Historial!$B$3:$B$502,$A117,Historial!$C$3:$C$502,$B117,Historial!$G$3:$G$502,AU$4,Historial!$H$3:$H$502,$B$2)&gt;0,"✓",""))</f>
        <v/>
      </c>
      <c r="AV118" s="29" t="str">
        <f aca="false">IF($A117="","",IF(COUNTIFS(Historial!$B$3:$B$502,$A117,Historial!$C$3:$C$502,$B117,Historial!$G$3:$G$502,AV$4,Historial!$H$3:$H$502,$B$2)&gt;0,"✓",""))</f>
        <v/>
      </c>
      <c r="AW118" s="29" t="str">
        <f aca="false">IF($A117="","",IF(COUNTIFS(Historial!$B$3:$B$502,$A117,Historial!$C$3:$C$502,$B117,Historial!$G$3:$G$502,AW$4,Historial!$H$3:$H$502,$B$2)&gt;0,"✓",""))</f>
        <v/>
      </c>
      <c r="AX118" s="29" t="str">
        <f aca="false">IF($A117="","",IF(COUNTIFS(Historial!$B$3:$B$502,$A117,Historial!$C$3:$C$502,$B117,Historial!$G$3:$G$502,AX$4,Historial!$H$3:$H$502,$B$2)&gt;0,"✓",""))</f>
        <v/>
      </c>
      <c r="AY118" s="29" t="str">
        <f aca="false">IF($A117="","",IF(COUNTIFS(Historial!$B$3:$B$502,$A117,Historial!$C$3:$C$502,$B117,Historial!$G$3:$G$502,AY$4,Historial!$H$3:$H$502,$B$2)&gt;0,"✓",""))</f>
        <v/>
      </c>
      <c r="AZ118" s="29" t="str">
        <f aca="false">IF($A117="","",IF(COUNTIFS(Historial!$B$3:$B$502,$A117,Historial!$C$3:$C$502,$B117,Historial!$G$3:$G$502,AZ$4,Historial!$H$3:$H$502,$B$2)&gt;0,"✓",""))</f>
        <v/>
      </c>
      <c r="BA118" s="29" t="str">
        <f aca="false">IF($A117="","",IF(COUNTIFS(Historial!$B$3:$B$502,$A117,Historial!$C$3:$C$502,$B117,Historial!$G$3:$G$502,BA$4,Historial!$H$3:$H$502,$B$2)&gt;0,"✓",""))</f>
        <v/>
      </c>
      <c r="BB118" s="29" t="str">
        <f aca="false">IF($A117="","",IF(COUNTIFS(Historial!$B$3:$B$502,$A117,Historial!$C$3:$C$502,$B117,Historial!$G$3:$G$502,BB$4,Historial!$H$3:$H$502,$B$2)&gt;0,"✓",""))</f>
        <v/>
      </c>
      <c r="BC118" s="29" t="str">
        <f aca="false">IF($A117="","",IF(COUNTIFS(Historial!$B$3:$B$502,$A117,Historial!$C$3:$C$502,$B117,Historial!$G$3:$G$502,BC$4,Historial!$H$3:$H$502,$B$2)&gt;0,"✓",""))</f>
        <v/>
      </c>
      <c r="BD118" s="29"/>
      <c r="BE118" s="29"/>
      <c r="BF118" s="29"/>
    </row>
    <row r="119" customFormat="false" ht="15" hidden="false" customHeight="false" outlineLevel="0" collapsed="false">
      <c r="A119" s="24" t="str">
        <f aca="false">IF(Actividades!$B60="","",Actividades!$B60)</f>
        <v/>
      </c>
      <c r="B119" s="24" t="str">
        <f aca="false">IF(Actividades!$C60="","",Actividades!$C60)</f>
        <v/>
      </c>
      <c r="C119" s="24" t="str">
        <f aca="false">IF($A119="","","Plan")</f>
        <v/>
      </c>
      <c r="D119" s="25" t="str">
        <f aca="false">IF($A119="","",IF(AND(N(Actividades!$E60)&gt;0,D$4&gt;=Actividades!$E60,MOD(D$4-Actividades!$E60,IFERROR(VLOOKUP(Actividades!$D60,Listas!$A$2:$B$8,2,0),52))=0),"P",""))</f>
        <v/>
      </c>
      <c r="E119" s="25" t="str">
        <f aca="false">IF($A119="","",IF(AND(N(Actividades!$E60)&gt;0,E$4&gt;=Actividades!$E60,MOD(E$4-Actividades!$E60,IFERROR(VLOOKUP(Actividades!$D60,Listas!$A$2:$B$8,2,0),52))=0),"P",""))</f>
        <v/>
      </c>
      <c r="F119" s="25" t="str">
        <f aca="false">IF($A119="","",IF(AND(N(Actividades!$E60)&gt;0,F$4&gt;=Actividades!$E60,MOD(F$4-Actividades!$E60,IFERROR(VLOOKUP(Actividades!$D60,Listas!$A$2:$B$8,2,0),52))=0),"P",""))</f>
        <v/>
      </c>
      <c r="G119" s="25" t="str">
        <f aca="false">IF($A119="","",IF(AND(N(Actividades!$E60)&gt;0,G$4&gt;=Actividades!$E60,MOD(G$4-Actividades!$E60,IFERROR(VLOOKUP(Actividades!$D60,Listas!$A$2:$B$8,2,0),52))=0),"P",""))</f>
        <v/>
      </c>
      <c r="H119" s="25" t="str">
        <f aca="false">IF($A119="","",IF(AND(N(Actividades!$E60)&gt;0,H$4&gt;=Actividades!$E60,MOD(H$4-Actividades!$E60,IFERROR(VLOOKUP(Actividades!$D60,Listas!$A$2:$B$8,2,0),52))=0),"P",""))</f>
        <v/>
      </c>
      <c r="I119" s="25" t="str">
        <f aca="false">IF($A119="","",IF(AND(N(Actividades!$E60)&gt;0,I$4&gt;=Actividades!$E60,MOD(I$4-Actividades!$E60,IFERROR(VLOOKUP(Actividades!$D60,Listas!$A$2:$B$8,2,0),52))=0),"P",""))</f>
        <v/>
      </c>
      <c r="J119" s="25" t="str">
        <f aca="false">IF($A119="","",IF(AND(N(Actividades!$E60)&gt;0,J$4&gt;=Actividades!$E60,MOD(J$4-Actividades!$E60,IFERROR(VLOOKUP(Actividades!$D60,Listas!$A$2:$B$8,2,0),52))=0),"P",""))</f>
        <v/>
      </c>
      <c r="K119" s="25" t="str">
        <f aca="false">IF($A119="","",IF(AND(N(Actividades!$E60)&gt;0,K$4&gt;=Actividades!$E60,MOD(K$4-Actividades!$E60,IFERROR(VLOOKUP(Actividades!$D60,Listas!$A$2:$B$8,2,0),52))=0),"P",""))</f>
        <v/>
      </c>
      <c r="L119" s="25" t="str">
        <f aca="false">IF($A119="","",IF(AND(N(Actividades!$E60)&gt;0,L$4&gt;=Actividades!$E60,MOD(L$4-Actividades!$E60,IFERROR(VLOOKUP(Actividades!$D60,Listas!$A$2:$B$8,2,0),52))=0),"P",""))</f>
        <v/>
      </c>
      <c r="M119" s="25" t="str">
        <f aca="false">IF($A119="","",IF(AND(N(Actividades!$E60)&gt;0,M$4&gt;=Actividades!$E60,MOD(M$4-Actividades!$E60,IFERROR(VLOOKUP(Actividades!$D60,Listas!$A$2:$B$8,2,0),52))=0),"P",""))</f>
        <v/>
      </c>
      <c r="N119" s="25" t="str">
        <f aca="false">IF($A119="","",IF(AND(N(Actividades!$E60)&gt;0,N$4&gt;=Actividades!$E60,MOD(N$4-Actividades!$E60,IFERROR(VLOOKUP(Actividades!$D60,Listas!$A$2:$B$8,2,0),52))=0),"P",""))</f>
        <v/>
      </c>
      <c r="O119" s="25" t="str">
        <f aca="false">IF($A119="","",IF(AND(N(Actividades!$E60)&gt;0,O$4&gt;=Actividades!$E60,MOD(O$4-Actividades!$E60,IFERROR(VLOOKUP(Actividades!$D60,Listas!$A$2:$B$8,2,0),52))=0),"P",""))</f>
        <v/>
      </c>
      <c r="P119" s="25" t="str">
        <f aca="false">IF($A119="","",IF(AND(N(Actividades!$E60)&gt;0,P$4&gt;=Actividades!$E60,MOD(P$4-Actividades!$E60,IFERROR(VLOOKUP(Actividades!$D60,Listas!$A$2:$B$8,2,0),52))=0),"P",""))</f>
        <v/>
      </c>
      <c r="Q119" s="25" t="str">
        <f aca="false">IF($A119="","",IF(AND(N(Actividades!$E60)&gt;0,Q$4&gt;=Actividades!$E60,MOD(Q$4-Actividades!$E60,IFERROR(VLOOKUP(Actividades!$D60,Listas!$A$2:$B$8,2,0),52))=0),"P",""))</f>
        <v/>
      </c>
      <c r="R119" s="25" t="str">
        <f aca="false">IF($A119="","",IF(AND(N(Actividades!$E60)&gt;0,R$4&gt;=Actividades!$E60,MOD(R$4-Actividades!$E60,IFERROR(VLOOKUP(Actividades!$D60,Listas!$A$2:$B$8,2,0),52))=0),"P",""))</f>
        <v/>
      </c>
      <c r="S119" s="25" t="str">
        <f aca="false">IF($A119="","",IF(AND(N(Actividades!$E60)&gt;0,S$4&gt;=Actividades!$E60,MOD(S$4-Actividades!$E60,IFERROR(VLOOKUP(Actividades!$D60,Listas!$A$2:$B$8,2,0),52))=0),"P",""))</f>
        <v/>
      </c>
      <c r="T119" s="25" t="str">
        <f aca="false">IF($A119="","",IF(AND(N(Actividades!$E60)&gt;0,T$4&gt;=Actividades!$E60,MOD(T$4-Actividades!$E60,IFERROR(VLOOKUP(Actividades!$D60,Listas!$A$2:$B$8,2,0),52))=0),"P",""))</f>
        <v/>
      </c>
      <c r="U119" s="25" t="str">
        <f aca="false">IF($A119="","",IF(AND(N(Actividades!$E60)&gt;0,U$4&gt;=Actividades!$E60,MOD(U$4-Actividades!$E60,IFERROR(VLOOKUP(Actividades!$D60,Listas!$A$2:$B$8,2,0),52))=0),"P",""))</f>
        <v/>
      </c>
      <c r="V119" s="25" t="str">
        <f aca="false">IF($A119="","",IF(AND(N(Actividades!$E60)&gt;0,V$4&gt;=Actividades!$E60,MOD(V$4-Actividades!$E60,IFERROR(VLOOKUP(Actividades!$D60,Listas!$A$2:$B$8,2,0),52))=0),"P",""))</f>
        <v/>
      </c>
      <c r="W119" s="25" t="str">
        <f aca="false">IF($A119="","",IF(AND(N(Actividades!$E60)&gt;0,W$4&gt;=Actividades!$E60,MOD(W$4-Actividades!$E60,IFERROR(VLOOKUP(Actividades!$D60,Listas!$A$2:$B$8,2,0),52))=0),"P",""))</f>
        <v/>
      </c>
      <c r="X119" s="25" t="str">
        <f aca="false">IF($A119="","",IF(AND(N(Actividades!$E60)&gt;0,X$4&gt;=Actividades!$E60,MOD(X$4-Actividades!$E60,IFERROR(VLOOKUP(Actividades!$D60,Listas!$A$2:$B$8,2,0),52))=0),"P",""))</f>
        <v/>
      </c>
      <c r="Y119" s="25" t="str">
        <f aca="false">IF($A119="","",IF(AND(N(Actividades!$E60)&gt;0,Y$4&gt;=Actividades!$E60,MOD(Y$4-Actividades!$E60,IFERROR(VLOOKUP(Actividades!$D60,Listas!$A$2:$B$8,2,0),52))=0),"P",""))</f>
        <v/>
      </c>
      <c r="Z119" s="25" t="str">
        <f aca="false">IF($A119="","",IF(AND(N(Actividades!$E60)&gt;0,Z$4&gt;=Actividades!$E60,MOD(Z$4-Actividades!$E60,IFERROR(VLOOKUP(Actividades!$D60,Listas!$A$2:$B$8,2,0),52))=0),"P",""))</f>
        <v/>
      </c>
      <c r="AA119" s="25" t="str">
        <f aca="false">IF($A119="","",IF(AND(N(Actividades!$E60)&gt;0,AA$4&gt;=Actividades!$E60,MOD(AA$4-Actividades!$E60,IFERROR(VLOOKUP(Actividades!$D60,Listas!$A$2:$B$8,2,0),52))=0),"P",""))</f>
        <v/>
      </c>
      <c r="AB119" s="25" t="str">
        <f aca="false">IF($A119="","",IF(AND(N(Actividades!$E60)&gt;0,AB$4&gt;=Actividades!$E60,MOD(AB$4-Actividades!$E60,IFERROR(VLOOKUP(Actividades!$D60,Listas!$A$2:$B$8,2,0),52))=0),"P",""))</f>
        <v/>
      </c>
      <c r="AC119" s="25" t="str">
        <f aca="false">IF($A119="","",IF(AND(N(Actividades!$E60)&gt;0,AC$4&gt;=Actividades!$E60,MOD(AC$4-Actividades!$E60,IFERROR(VLOOKUP(Actividades!$D60,Listas!$A$2:$B$8,2,0),52))=0),"P",""))</f>
        <v/>
      </c>
      <c r="AD119" s="25" t="str">
        <f aca="false">IF($A119="","",IF(AND(N(Actividades!$E60)&gt;0,AD$4&gt;=Actividades!$E60,MOD(AD$4-Actividades!$E60,IFERROR(VLOOKUP(Actividades!$D60,Listas!$A$2:$B$8,2,0),52))=0),"P",""))</f>
        <v/>
      </c>
      <c r="AE119" s="25" t="str">
        <f aca="false">IF($A119="","",IF(AND(N(Actividades!$E60)&gt;0,AE$4&gt;=Actividades!$E60,MOD(AE$4-Actividades!$E60,IFERROR(VLOOKUP(Actividades!$D60,Listas!$A$2:$B$8,2,0),52))=0),"P",""))</f>
        <v/>
      </c>
      <c r="AF119" s="25" t="str">
        <f aca="false">IF($A119="","",IF(AND(N(Actividades!$E60)&gt;0,AF$4&gt;=Actividades!$E60,MOD(AF$4-Actividades!$E60,IFERROR(VLOOKUP(Actividades!$D60,Listas!$A$2:$B$8,2,0),52))=0),"P",""))</f>
        <v/>
      </c>
      <c r="AG119" s="25" t="str">
        <f aca="false">IF($A119="","",IF(AND(N(Actividades!$E60)&gt;0,AG$4&gt;=Actividades!$E60,MOD(AG$4-Actividades!$E60,IFERROR(VLOOKUP(Actividades!$D60,Listas!$A$2:$B$8,2,0),52))=0),"P",""))</f>
        <v/>
      </c>
      <c r="AH119" s="25" t="str">
        <f aca="false">IF($A119="","",IF(AND(N(Actividades!$E60)&gt;0,AH$4&gt;=Actividades!$E60,MOD(AH$4-Actividades!$E60,IFERROR(VLOOKUP(Actividades!$D60,Listas!$A$2:$B$8,2,0),52))=0),"P",""))</f>
        <v/>
      </c>
      <c r="AI119" s="25" t="str">
        <f aca="false">IF($A119="","",IF(AND(N(Actividades!$E60)&gt;0,AI$4&gt;=Actividades!$E60,MOD(AI$4-Actividades!$E60,IFERROR(VLOOKUP(Actividades!$D60,Listas!$A$2:$B$8,2,0),52))=0),"P",""))</f>
        <v/>
      </c>
      <c r="AJ119" s="25" t="str">
        <f aca="false">IF($A119="","",IF(AND(N(Actividades!$E60)&gt;0,AJ$4&gt;=Actividades!$E60,MOD(AJ$4-Actividades!$E60,IFERROR(VLOOKUP(Actividades!$D60,Listas!$A$2:$B$8,2,0),52))=0),"P",""))</f>
        <v/>
      </c>
      <c r="AK119" s="25" t="str">
        <f aca="false">IF($A119="","",IF(AND(N(Actividades!$E60)&gt;0,AK$4&gt;=Actividades!$E60,MOD(AK$4-Actividades!$E60,IFERROR(VLOOKUP(Actividades!$D60,Listas!$A$2:$B$8,2,0),52))=0),"P",""))</f>
        <v/>
      </c>
      <c r="AL119" s="25" t="str">
        <f aca="false">IF($A119="","",IF(AND(N(Actividades!$E60)&gt;0,AL$4&gt;=Actividades!$E60,MOD(AL$4-Actividades!$E60,IFERROR(VLOOKUP(Actividades!$D60,Listas!$A$2:$B$8,2,0),52))=0),"P",""))</f>
        <v/>
      </c>
      <c r="AM119" s="25" t="str">
        <f aca="false">IF($A119="","",IF(AND(N(Actividades!$E60)&gt;0,AM$4&gt;=Actividades!$E60,MOD(AM$4-Actividades!$E60,IFERROR(VLOOKUP(Actividades!$D60,Listas!$A$2:$B$8,2,0),52))=0),"P",""))</f>
        <v/>
      </c>
      <c r="AN119" s="25" t="str">
        <f aca="false">IF($A119="","",IF(AND(N(Actividades!$E60)&gt;0,AN$4&gt;=Actividades!$E60,MOD(AN$4-Actividades!$E60,IFERROR(VLOOKUP(Actividades!$D60,Listas!$A$2:$B$8,2,0),52))=0),"P",""))</f>
        <v/>
      </c>
      <c r="AO119" s="25" t="str">
        <f aca="false">IF($A119="","",IF(AND(N(Actividades!$E60)&gt;0,AO$4&gt;=Actividades!$E60,MOD(AO$4-Actividades!$E60,IFERROR(VLOOKUP(Actividades!$D60,Listas!$A$2:$B$8,2,0),52))=0),"P",""))</f>
        <v/>
      </c>
      <c r="AP119" s="25" t="str">
        <f aca="false">IF($A119="","",IF(AND(N(Actividades!$E60)&gt;0,AP$4&gt;=Actividades!$E60,MOD(AP$4-Actividades!$E60,IFERROR(VLOOKUP(Actividades!$D60,Listas!$A$2:$B$8,2,0),52))=0),"P",""))</f>
        <v/>
      </c>
      <c r="AQ119" s="25" t="str">
        <f aca="false">IF($A119="","",IF(AND(N(Actividades!$E60)&gt;0,AQ$4&gt;=Actividades!$E60,MOD(AQ$4-Actividades!$E60,IFERROR(VLOOKUP(Actividades!$D60,Listas!$A$2:$B$8,2,0),52))=0),"P",""))</f>
        <v/>
      </c>
      <c r="AR119" s="25" t="str">
        <f aca="false">IF($A119="","",IF(AND(N(Actividades!$E60)&gt;0,AR$4&gt;=Actividades!$E60,MOD(AR$4-Actividades!$E60,IFERROR(VLOOKUP(Actividades!$D60,Listas!$A$2:$B$8,2,0),52))=0),"P",""))</f>
        <v/>
      </c>
      <c r="AS119" s="25" t="str">
        <f aca="false">IF($A119="","",IF(AND(N(Actividades!$E60)&gt;0,AS$4&gt;=Actividades!$E60,MOD(AS$4-Actividades!$E60,IFERROR(VLOOKUP(Actividades!$D60,Listas!$A$2:$B$8,2,0),52))=0),"P",""))</f>
        <v/>
      </c>
      <c r="AT119" s="25" t="str">
        <f aca="false">IF($A119="","",IF(AND(N(Actividades!$E60)&gt;0,AT$4&gt;=Actividades!$E60,MOD(AT$4-Actividades!$E60,IFERROR(VLOOKUP(Actividades!$D60,Listas!$A$2:$B$8,2,0),52))=0),"P",""))</f>
        <v/>
      </c>
      <c r="AU119" s="25" t="str">
        <f aca="false">IF($A119="","",IF(AND(N(Actividades!$E60)&gt;0,AU$4&gt;=Actividades!$E60,MOD(AU$4-Actividades!$E60,IFERROR(VLOOKUP(Actividades!$D60,Listas!$A$2:$B$8,2,0),52))=0),"P",""))</f>
        <v/>
      </c>
      <c r="AV119" s="25" t="str">
        <f aca="false">IF($A119="","",IF(AND(N(Actividades!$E60)&gt;0,AV$4&gt;=Actividades!$E60,MOD(AV$4-Actividades!$E60,IFERROR(VLOOKUP(Actividades!$D60,Listas!$A$2:$B$8,2,0),52))=0),"P",""))</f>
        <v/>
      </c>
      <c r="AW119" s="25" t="str">
        <f aca="false">IF($A119="","",IF(AND(N(Actividades!$E60)&gt;0,AW$4&gt;=Actividades!$E60,MOD(AW$4-Actividades!$E60,IFERROR(VLOOKUP(Actividades!$D60,Listas!$A$2:$B$8,2,0),52))=0),"P",""))</f>
        <v/>
      </c>
      <c r="AX119" s="25" t="str">
        <f aca="false">IF($A119="","",IF(AND(N(Actividades!$E60)&gt;0,AX$4&gt;=Actividades!$E60,MOD(AX$4-Actividades!$E60,IFERROR(VLOOKUP(Actividades!$D60,Listas!$A$2:$B$8,2,0),52))=0),"P",""))</f>
        <v/>
      </c>
      <c r="AY119" s="25" t="str">
        <f aca="false">IF($A119="","",IF(AND(N(Actividades!$E60)&gt;0,AY$4&gt;=Actividades!$E60,MOD(AY$4-Actividades!$E60,IFERROR(VLOOKUP(Actividades!$D60,Listas!$A$2:$B$8,2,0),52))=0),"P",""))</f>
        <v/>
      </c>
      <c r="AZ119" s="25" t="str">
        <f aca="false">IF($A119="","",IF(AND(N(Actividades!$E60)&gt;0,AZ$4&gt;=Actividades!$E60,MOD(AZ$4-Actividades!$E60,IFERROR(VLOOKUP(Actividades!$D60,Listas!$A$2:$B$8,2,0),52))=0),"P",""))</f>
        <v/>
      </c>
      <c r="BA119" s="25" t="str">
        <f aca="false">IF($A119="","",IF(AND(N(Actividades!$E60)&gt;0,BA$4&gt;=Actividades!$E60,MOD(BA$4-Actividades!$E60,IFERROR(VLOOKUP(Actividades!$D60,Listas!$A$2:$B$8,2,0),52))=0),"P",""))</f>
        <v/>
      </c>
      <c r="BB119" s="25" t="str">
        <f aca="false">IF($A119="","",IF(AND(N(Actividades!$E60)&gt;0,BB$4&gt;=Actividades!$E60,MOD(BB$4-Actividades!$E60,IFERROR(VLOOKUP(Actividades!$D60,Listas!$A$2:$B$8,2,0),52))=0),"P",""))</f>
        <v/>
      </c>
      <c r="BC119" s="25" t="str">
        <f aca="false">IF($A119="","",IF(AND(N(Actividades!$E60)&gt;0,BC$4&gt;=Actividades!$E60,MOD(BC$4-Actividades!$E60,IFERROR(VLOOKUP(Actividades!$D60,Listas!$A$2:$B$8,2,0),52))=0),"P",""))</f>
        <v/>
      </c>
      <c r="BD119" s="26" t="str">
        <f aca="false">IF($A119="","",COUNTIF(D119:BC119,"P"))</f>
        <v/>
      </c>
      <c r="BE119" s="26" t="str">
        <f aca="false">IF($A119="","",SUMPRODUCT((D119:BC119="P")*(D120:BC120="✓")))</f>
        <v/>
      </c>
      <c r="BF119" s="27" t="str">
        <f aca="false">IF($A119="","",IF(BD119=0,"",BE119/BD119))</f>
        <v/>
      </c>
    </row>
    <row r="120" customFormat="false" ht="15" hidden="false" customHeight="false" outlineLevel="0" collapsed="false">
      <c r="A120" s="28"/>
      <c r="B120" s="28"/>
      <c r="C120" s="28" t="str">
        <f aca="false">IF($A119="","","Real")</f>
        <v/>
      </c>
      <c r="D120" s="29" t="str">
        <f aca="false">IF($A119="","",IF(COUNTIFS(Historial!$B$3:$B$502,$A119,Historial!$C$3:$C$502,$B119,Historial!$G$3:$G$502,D$4,Historial!$H$3:$H$502,$B$2)&gt;0,"✓",""))</f>
        <v/>
      </c>
      <c r="E120" s="29" t="str">
        <f aca="false">IF($A119="","",IF(COUNTIFS(Historial!$B$3:$B$502,$A119,Historial!$C$3:$C$502,$B119,Historial!$G$3:$G$502,E$4,Historial!$H$3:$H$502,$B$2)&gt;0,"✓",""))</f>
        <v/>
      </c>
      <c r="F120" s="29" t="str">
        <f aca="false">IF($A119="","",IF(COUNTIFS(Historial!$B$3:$B$502,$A119,Historial!$C$3:$C$502,$B119,Historial!$G$3:$G$502,F$4,Historial!$H$3:$H$502,$B$2)&gt;0,"✓",""))</f>
        <v/>
      </c>
      <c r="G120" s="29" t="str">
        <f aca="false">IF($A119="","",IF(COUNTIFS(Historial!$B$3:$B$502,$A119,Historial!$C$3:$C$502,$B119,Historial!$G$3:$G$502,G$4,Historial!$H$3:$H$502,$B$2)&gt;0,"✓",""))</f>
        <v/>
      </c>
      <c r="H120" s="29" t="str">
        <f aca="false">IF($A119="","",IF(COUNTIFS(Historial!$B$3:$B$502,$A119,Historial!$C$3:$C$502,$B119,Historial!$G$3:$G$502,H$4,Historial!$H$3:$H$502,$B$2)&gt;0,"✓",""))</f>
        <v/>
      </c>
      <c r="I120" s="29" t="str">
        <f aca="false">IF($A119="","",IF(COUNTIFS(Historial!$B$3:$B$502,$A119,Historial!$C$3:$C$502,$B119,Historial!$G$3:$G$502,I$4,Historial!$H$3:$H$502,$B$2)&gt;0,"✓",""))</f>
        <v/>
      </c>
      <c r="J120" s="29" t="str">
        <f aca="false">IF($A119="","",IF(COUNTIFS(Historial!$B$3:$B$502,$A119,Historial!$C$3:$C$502,$B119,Historial!$G$3:$G$502,J$4,Historial!$H$3:$H$502,$B$2)&gt;0,"✓",""))</f>
        <v/>
      </c>
      <c r="K120" s="29" t="str">
        <f aca="false">IF($A119="","",IF(COUNTIFS(Historial!$B$3:$B$502,$A119,Historial!$C$3:$C$502,$B119,Historial!$G$3:$G$502,K$4,Historial!$H$3:$H$502,$B$2)&gt;0,"✓",""))</f>
        <v/>
      </c>
      <c r="L120" s="29" t="str">
        <f aca="false">IF($A119="","",IF(COUNTIFS(Historial!$B$3:$B$502,$A119,Historial!$C$3:$C$502,$B119,Historial!$G$3:$G$502,L$4,Historial!$H$3:$H$502,$B$2)&gt;0,"✓",""))</f>
        <v/>
      </c>
      <c r="M120" s="29" t="str">
        <f aca="false">IF($A119="","",IF(COUNTIFS(Historial!$B$3:$B$502,$A119,Historial!$C$3:$C$502,$B119,Historial!$G$3:$G$502,M$4,Historial!$H$3:$H$502,$B$2)&gt;0,"✓",""))</f>
        <v/>
      </c>
      <c r="N120" s="29" t="str">
        <f aca="false">IF($A119="","",IF(COUNTIFS(Historial!$B$3:$B$502,$A119,Historial!$C$3:$C$502,$B119,Historial!$G$3:$G$502,N$4,Historial!$H$3:$H$502,$B$2)&gt;0,"✓",""))</f>
        <v/>
      </c>
      <c r="O120" s="29" t="str">
        <f aca="false">IF($A119="","",IF(COUNTIFS(Historial!$B$3:$B$502,$A119,Historial!$C$3:$C$502,$B119,Historial!$G$3:$G$502,O$4,Historial!$H$3:$H$502,$B$2)&gt;0,"✓",""))</f>
        <v/>
      </c>
      <c r="P120" s="29" t="str">
        <f aca="false">IF($A119="","",IF(COUNTIFS(Historial!$B$3:$B$502,$A119,Historial!$C$3:$C$502,$B119,Historial!$G$3:$G$502,P$4,Historial!$H$3:$H$502,$B$2)&gt;0,"✓",""))</f>
        <v/>
      </c>
      <c r="Q120" s="29" t="str">
        <f aca="false">IF($A119="","",IF(COUNTIFS(Historial!$B$3:$B$502,$A119,Historial!$C$3:$C$502,$B119,Historial!$G$3:$G$502,Q$4,Historial!$H$3:$H$502,$B$2)&gt;0,"✓",""))</f>
        <v/>
      </c>
      <c r="R120" s="29" t="str">
        <f aca="false">IF($A119="","",IF(COUNTIFS(Historial!$B$3:$B$502,$A119,Historial!$C$3:$C$502,$B119,Historial!$G$3:$G$502,R$4,Historial!$H$3:$H$502,$B$2)&gt;0,"✓",""))</f>
        <v/>
      </c>
      <c r="S120" s="29" t="str">
        <f aca="false">IF($A119="","",IF(COUNTIFS(Historial!$B$3:$B$502,$A119,Historial!$C$3:$C$502,$B119,Historial!$G$3:$G$502,S$4,Historial!$H$3:$H$502,$B$2)&gt;0,"✓",""))</f>
        <v/>
      </c>
      <c r="T120" s="29" t="str">
        <f aca="false">IF($A119="","",IF(COUNTIFS(Historial!$B$3:$B$502,$A119,Historial!$C$3:$C$502,$B119,Historial!$G$3:$G$502,T$4,Historial!$H$3:$H$502,$B$2)&gt;0,"✓",""))</f>
        <v/>
      </c>
      <c r="U120" s="29" t="str">
        <f aca="false">IF($A119="","",IF(COUNTIFS(Historial!$B$3:$B$502,$A119,Historial!$C$3:$C$502,$B119,Historial!$G$3:$G$502,U$4,Historial!$H$3:$H$502,$B$2)&gt;0,"✓",""))</f>
        <v/>
      </c>
      <c r="V120" s="29" t="str">
        <f aca="false">IF($A119="","",IF(COUNTIFS(Historial!$B$3:$B$502,$A119,Historial!$C$3:$C$502,$B119,Historial!$G$3:$G$502,V$4,Historial!$H$3:$H$502,$B$2)&gt;0,"✓",""))</f>
        <v/>
      </c>
      <c r="W120" s="29" t="str">
        <f aca="false">IF($A119="","",IF(COUNTIFS(Historial!$B$3:$B$502,$A119,Historial!$C$3:$C$502,$B119,Historial!$G$3:$G$502,W$4,Historial!$H$3:$H$502,$B$2)&gt;0,"✓",""))</f>
        <v/>
      </c>
      <c r="X120" s="29" t="str">
        <f aca="false">IF($A119="","",IF(COUNTIFS(Historial!$B$3:$B$502,$A119,Historial!$C$3:$C$502,$B119,Historial!$G$3:$G$502,X$4,Historial!$H$3:$H$502,$B$2)&gt;0,"✓",""))</f>
        <v/>
      </c>
      <c r="Y120" s="29" t="str">
        <f aca="false">IF($A119="","",IF(COUNTIFS(Historial!$B$3:$B$502,$A119,Historial!$C$3:$C$502,$B119,Historial!$G$3:$G$502,Y$4,Historial!$H$3:$H$502,$B$2)&gt;0,"✓",""))</f>
        <v/>
      </c>
      <c r="Z120" s="29" t="str">
        <f aca="false">IF($A119="","",IF(COUNTIFS(Historial!$B$3:$B$502,$A119,Historial!$C$3:$C$502,$B119,Historial!$G$3:$G$502,Z$4,Historial!$H$3:$H$502,$B$2)&gt;0,"✓",""))</f>
        <v/>
      </c>
      <c r="AA120" s="29" t="str">
        <f aca="false">IF($A119="","",IF(COUNTIFS(Historial!$B$3:$B$502,$A119,Historial!$C$3:$C$502,$B119,Historial!$G$3:$G$502,AA$4,Historial!$H$3:$H$502,$B$2)&gt;0,"✓",""))</f>
        <v/>
      </c>
      <c r="AB120" s="29" t="str">
        <f aca="false">IF($A119="","",IF(COUNTIFS(Historial!$B$3:$B$502,$A119,Historial!$C$3:$C$502,$B119,Historial!$G$3:$G$502,AB$4,Historial!$H$3:$H$502,$B$2)&gt;0,"✓",""))</f>
        <v/>
      </c>
      <c r="AC120" s="29" t="str">
        <f aca="false">IF($A119="","",IF(COUNTIFS(Historial!$B$3:$B$502,$A119,Historial!$C$3:$C$502,$B119,Historial!$G$3:$G$502,AC$4,Historial!$H$3:$H$502,$B$2)&gt;0,"✓",""))</f>
        <v/>
      </c>
      <c r="AD120" s="29" t="str">
        <f aca="false">IF($A119="","",IF(COUNTIFS(Historial!$B$3:$B$502,$A119,Historial!$C$3:$C$502,$B119,Historial!$G$3:$G$502,AD$4,Historial!$H$3:$H$502,$B$2)&gt;0,"✓",""))</f>
        <v/>
      </c>
      <c r="AE120" s="29" t="str">
        <f aca="false">IF($A119="","",IF(COUNTIFS(Historial!$B$3:$B$502,$A119,Historial!$C$3:$C$502,$B119,Historial!$G$3:$G$502,AE$4,Historial!$H$3:$H$502,$B$2)&gt;0,"✓",""))</f>
        <v/>
      </c>
      <c r="AF120" s="29" t="str">
        <f aca="false">IF($A119="","",IF(COUNTIFS(Historial!$B$3:$B$502,$A119,Historial!$C$3:$C$502,$B119,Historial!$G$3:$G$502,AF$4,Historial!$H$3:$H$502,$B$2)&gt;0,"✓",""))</f>
        <v/>
      </c>
      <c r="AG120" s="29" t="str">
        <f aca="false">IF($A119="","",IF(COUNTIFS(Historial!$B$3:$B$502,$A119,Historial!$C$3:$C$502,$B119,Historial!$G$3:$G$502,AG$4,Historial!$H$3:$H$502,$B$2)&gt;0,"✓",""))</f>
        <v/>
      </c>
      <c r="AH120" s="29" t="str">
        <f aca="false">IF($A119="","",IF(COUNTIFS(Historial!$B$3:$B$502,$A119,Historial!$C$3:$C$502,$B119,Historial!$G$3:$G$502,AH$4,Historial!$H$3:$H$502,$B$2)&gt;0,"✓",""))</f>
        <v/>
      </c>
      <c r="AI120" s="29" t="str">
        <f aca="false">IF($A119="","",IF(COUNTIFS(Historial!$B$3:$B$502,$A119,Historial!$C$3:$C$502,$B119,Historial!$G$3:$G$502,AI$4,Historial!$H$3:$H$502,$B$2)&gt;0,"✓",""))</f>
        <v/>
      </c>
      <c r="AJ120" s="29" t="str">
        <f aca="false">IF($A119="","",IF(COUNTIFS(Historial!$B$3:$B$502,$A119,Historial!$C$3:$C$502,$B119,Historial!$G$3:$G$502,AJ$4,Historial!$H$3:$H$502,$B$2)&gt;0,"✓",""))</f>
        <v/>
      </c>
      <c r="AK120" s="29" t="str">
        <f aca="false">IF($A119="","",IF(COUNTIFS(Historial!$B$3:$B$502,$A119,Historial!$C$3:$C$502,$B119,Historial!$G$3:$G$502,AK$4,Historial!$H$3:$H$502,$B$2)&gt;0,"✓",""))</f>
        <v/>
      </c>
      <c r="AL120" s="29" t="str">
        <f aca="false">IF($A119="","",IF(COUNTIFS(Historial!$B$3:$B$502,$A119,Historial!$C$3:$C$502,$B119,Historial!$G$3:$G$502,AL$4,Historial!$H$3:$H$502,$B$2)&gt;0,"✓",""))</f>
        <v/>
      </c>
      <c r="AM120" s="29" t="str">
        <f aca="false">IF($A119="","",IF(COUNTIFS(Historial!$B$3:$B$502,$A119,Historial!$C$3:$C$502,$B119,Historial!$G$3:$G$502,AM$4,Historial!$H$3:$H$502,$B$2)&gt;0,"✓",""))</f>
        <v/>
      </c>
      <c r="AN120" s="29" t="str">
        <f aca="false">IF($A119="","",IF(COUNTIFS(Historial!$B$3:$B$502,$A119,Historial!$C$3:$C$502,$B119,Historial!$G$3:$G$502,AN$4,Historial!$H$3:$H$502,$B$2)&gt;0,"✓",""))</f>
        <v/>
      </c>
      <c r="AO120" s="29" t="str">
        <f aca="false">IF($A119="","",IF(COUNTIFS(Historial!$B$3:$B$502,$A119,Historial!$C$3:$C$502,$B119,Historial!$G$3:$G$502,AO$4,Historial!$H$3:$H$502,$B$2)&gt;0,"✓",""))</f>
        <v/>
      </c>
      <c r="AP120" s="29" t="str">
        <f aca="false">IF($A119="","",IF(COUNTIFS(Historial!$B$3:$B$502,$A119,Historial!$C$3:$C$502,$B119,Historial!$G$3:$G$502,AP$4,Historial!$H$3:$H$502,$B$2)&gt;0,"✓",""))</f>
        <v/>
      </c>
      <c r="AQ120" s="29" t="str">
        <f aca="false">IF($A119="","",IF(COUNTIFS(Historial!$B$3:$B$502,$A119,Historial!$C$3:$C$502,$B119,Historial!$G$3:$G$502,AQ$4,Historial!$H$3:$H$502,$B$2)&gt;0,"✓",""))</f>
        <v/>
      </c>
      <c r="AR120" s="29" t="str">
        <f aca="false">IF($A119="","",IF(COUNTIFS(Historial!$B$3:$B$502,$A119,Historial!$C$3:$C$502,$B119,Historial!$G$3:$G$502,AR$4,Historial!$H$3:$H$502,$B$2)&gt;0,"✓",""))</f>
        <v/>
      </c>
      <c r="AS120" s="29" t="str">
        <f aca="false">IF($A119="","",IF(COUNTIFS(Historial!$B$3:$B$502,$A119,Historial!$C$3:$C$502,$B119,Historial!$G$3:$G$502,AS$4,Historial!$H$3:$H$502,$B$2)&gt;0,"✓",""))</f>
        <v/>
      </c>
      <c r="AT120" s="29" t="str">
        <f aca="false">IF($A119="","",IF(COUNTIFS(Historial!$B$3:$B$502,$A119,Historial!$C$3:$C$502,$B119,Historial!$G$3:$G$502,AT$4,Historial!$H$3:$H$502,$B$2)&gt;0,"✓",""))</f>
        <v/>
      </c>
      <c r="AU120" s="29" t="str">
        <f aca="false">IF($A119="","",IF(COUNTIFS(Historial!$B$3:$B$502,$A119,Historial!$C$3:$C$502,$B119,Historial!$G$3:$G$502,AU$4,Historial!$H$3:$H$502,$B$2)&gt;0,"✓",""))</f>
        <v/>
      </c>
      <c r="AV120" s="29" t="str">
        <f aca="false">IF($A119="","",IF(COUNTIFS(Historial!$B$3:$B$502,$A119,Historial!$C$3:$C$502,$B119,Historial!$G$3:$G$502,AV$4,Historial!$H$3:$H$502,$B$2)&gt;0,"✓",""))</f>
        <v/>
      </c>
      <c r="AW120" s="29" t="str">
        <f aca="false">IF($A119="","",IF(COUNTIFS(Historial!$B$3:$B$502,$A119,Historial!$C$3:$C$502,$B119,Historial!$G$3:$G$502,AW$4,Historial!$H$3:$H$502,$B$2)&gt;0,"✓",""))</f>
        <v/>
      </c>
      <c r="AX120" s="29" t="str">
        <f aca="false">IF($A119="","",IF(COUNTIFS(Historial!$B$3:$B$502,$A119,Historial!$C$3:$C$502,$B119,Historial!$G$3:$G$502,AX$4,Historial!$H$3:$H$502,$B$2)&gt;0,"✓",""))</f>
        <v/>
      </c>
      <c r="AY120" s="29" t="str">
        <f aca="false">IF($A119="","",IF(COUNTIFS(Historial!$B$3:$B$502,$A119,Historial!$C$3:$C$502,$B119,Historial!$G$3:$G$502,AY$4,Historial!$H$3:$H$502,$B$2)&gt;0,"✓",""))</f>
        <v/>
      </c>
      <c r="AZ120" s="29" t="str">
        <f aca="false">IF($A119="","",IF(COUNTIFS(Historial!$B$3:$B$502,$A119,Historial!$C$3:$C$502,$B119,Historial!$G$3:$G$502,AZ$4,Historial!$H$3:$H$502,$B$2)&gt;0,"✓",""))</f>
        <v/>
      </c>
      <c r="BA120" s="29" t="str">
        <f aca="false">IF($A119="","",IF(COUNTIFS(Historial!$B$3:$B$502,$A119,Historial!$C$3:$C$502,$B119,Historial!$G$3:$G$502,BA$4,Historial!$H$3:$H$502,$B$2)&gt;0,"✓",""))</f>
        <v/>
      </c>
      <c r="BB120" s="29" t="str">
        <f aca="false">IF($A119="","",IF(COUNTIFS(Historial!$B$3:$B$502,$A119,Historial!$C$3:$C$502,$B119,Historial!$G$3:$G$502,BB$4,Historial!$H$3:$H$502,$B$2)&gt;0,"✓",""))</f>
        <v/>
      </c>
      <c r="BC120" s="29" t="str">
        <f aca="false">IF($A119="","",IF(COUNTIFS(Historial!$B$3:$B$502,$A119,Historial!$C$3:$C$502,$B119,Historial!$G$3:$G$502,BC$4,Historial!$H$3:$H$502,$B$2)&gt;0,"✓",""))</f>
        <v/>
      </c>
      <c r="BD120" s="29"/>
      <c r="BE120" s="29"/>
      <c r="BF120" s="29"/>
    </row>
    <row r="121" customFormat="false" ht="15" hidden="false" customHeight="false" outlineLevel="0" collapsed="false">
      <c r="A121" s="24" t="str">
        <f aca="false">IF(Actividades!$B61="","",Actividades!$B61)</f>
        <v/>
      </c>
      <c r="B121" s="24" t="str">
        <f aca="false">IF(Actividades!$C61="","",Actividades!$C61)</f>
        <v/>
      </c>
      <c r="C121" s="24" t="str">
        <f aca="false">IF($A121="","","Plan")</f>
        <v/>
      </c>
      <c r="D121" s="25" t="str">
        <f aca="false">IF($A121="","",IF(AND(N(Actividades!$E61)&gt;0,D$4&gt;=Actividades!$E61,MOD(D$4-Actividades!$E61,IFERROR(VLOOKUP(Actividades!$D61,Listas!$A$2:$B$8,2,0),52))=0),"P",""))</f>
        <v/>
      </c>
      <c r="E121" s="25" t="str">
        <f aca="false">IF($A121="","",IF(AND(N(Actividades!$E61)&gt;0,E$4&gt;=Actividades!$E61,MOD(E$4-Actividades!$E61,IFERROR(VLOOKUP(Actividades!$D61,Listas!$A$2:$B$8,2,0),52))=0),"P",""))</f>
        <v/>
      </c>
      <c r="F121" s="25" t="str">
        <f aca="false">IF($A121="","",IF(AND(N(Actividades!$E61)&gt;0,F$4&gt;=Actividades!$E61,MOD(F$4-Actividades!$E61,IFERROR(VLOOKUP(Actividades!$D61,Listas!$A$2:$B$8,2,0),52))=0),"P",""))</f>
        <v/>
      </c>
      <c r="G121" s="25" t="str">
        <f aca="false">IF($A121="","",IF(AND(N(Actividades!$E61)&gt;0,G$4&gt;=Actividades!$E61,MOD(G$4-Actividades!$E61,IFERROR(VLOOKUP(Actividades!$D61,Listas!$A$2:$B$8,2,0),52))=0),"P",""))</f>
        <v/>
      </c>
      <c r="H121" s="25" t="str">
        <f aca="false">IF($A121="","",IF(AND(N(Actividades!$E61)&gt;0,H$4&gt;=Actividades!$E61,MOD(H$4-Actividades!$E61,IFERROR(VLOOKUP(Actividades!$D61,Listas!$A$2:$B$8,2,0),52))=0),"P",""))</f>
        <v/>
      </c>
      <c r="I121" s="25" t="str">
        <f aca="false">IF($A121="","",IF(AND(N(Actividades!$E61)&gt;0,I$4&gt;=Actividades!$E61,MOD(I$4-Actividades!$E61,IFERROR(VLOOKUP(Actividades!$D61,Listas!$A$2:$B$8,2,0),52))=0),"P",""))</f>
        <v/>
      </c>
      <c r="J121" s="25" t="str">
        <f aca="false">IF($A121="","",IF(AND(N(Actividades!$E61)&gt;0,J$4&gt;=Actividades!$E61,MOD(J$4-Actividades!$E61,IFERROR(VLOOKUP(Actividades!$D61,Listas!$A$2:$B$8,2,0),52))=0),"P",""))</f>
        <v/>
      </c>
      <c r="K121" s="25" t="str">
        <f aca="false">IF($A121="","",IF(AND(N(Actividades!$E61)&gt;0,K$4&gt;=Actividades!$E61,MOD(K$4-Actividades!$E61,IFERROR(VLOOKUP(Actividades!$D61,Listas!$A$2:$B$8,2,0),52))=0),"P",""))</f>
        <v/>
      </c>
      <c r="L121" s="25" t="str">
        <f aca="false">IF($A121="","",IF(AND(N(Actividades!$E61)&gt;0,L$4&gt;=Actividades!$E61,MOD(L$4-Actividades!$E61,IFERROR(VLOOKUP(Actividades!$D61,Listas!$A$2:$B$8,2,0),52))=0),"P",""))</f>
        <v/>
      </c>
      <c r="M121" s="25" t="str">
        <f aca="false">IF($A121="","",IF(AND(N(Actividades!$E61)&gt;0,M$4&gt;=Actividades!$E61,MOD(M$4-Actividades!$E61,IFERROR(VLOOKUP(Actividades!$D61,Listas!$A$2:$B$8,2,0),52))=0),"P",""))</f>
        <v/>
      </c>
      <c r="N121" s="25" t="str">
        <f aca="false">IF($A121="","",IF(AND(N(Actividades!$E61)&gt;0,N$4&gt;=Actividades!$E61,MOD(N$4-Actividades!$E61,IFERROR(VLOOKUP(Actividades!$D61,Listas!$A$2:$B$8,2,0),52))=0),"P",""))</f>
        <v/>
      </c>
      <c r="O121" s="25" t="str">
        <f aca="false">IF($A121="","",IF(AND(N(Actividades!$E61)&gt;0,O$4&gt;=Actividades!$E61,MOD(O$4-Actividades!$E61,IFERROR(VLOOKUP(Actividades!$D61,Listas!$A$2:$B$8,2,0),52))=0),"P",""))</f>
        <v/>
      </c>
      <c r="P121" s="25" t="str">
        <f aca="false">IF($A121="","",IF(AND(N(Actividades!$E61)&gt;0,P$4&gt;=Actividades!$E61,MOD(P$4-Actividades!$E61,IFERROR(VLOOKUP(Actividades!$D61,Listas!$A$2:$B$8,2,0),52))=0),"P",""))</f>
        <v/>
      </c>
      <c r="Q121" s="25" t="str">
        <f aca="false">IF($A121="","",IF(AND(N(Actividades!$E61)&gt;0,Q$4&gt;=Actividades!$E61,MOD(Q$4-Actividades!$E61,IFERROR(VLOOKUP(Actividades!$D61,Listas!$A$2:$B$8,2,0),52))=0),"P",""))</f>
        <v/>
      </c>
      <c r="R121" s="25" t="str">
        <f aca="false">IF($A121="","",IF(AND(N(Actividades!$E61)&gt;0,R$4&gt;=Actividades!$E61,MOD(R$4-Actividades!$E61,IFERROR(VLOOKUP(Actividades!$D61,Listas!$A$2:$B$8,2,0),52))=0),"P",""))</f>
        <v/>
      </c>
      <c r="S121" s="25" t="str">
        <f aca="false">IF($A121="","",IF(AND(N(Actividades!$E61)&gt;0,S$4&gt;=Actividades!$E61,MOD(S$4-Actividades!$E61,IFERROR(VLOOKUP(Actividades!$D61,Listas!$A$2:$B$8,2,0),52))=0),"P",""))</f>
        <v/>
      </c>
      <c r="T121" s="25" t="str">
        <f aca="false">IF($A121="","",IF(AND(N(Actividades!$E61)&gt;0,T$4&gt;=Actividades!$E61,MOD(T$4-Actividades!$E61,IFERROR(VLOOKUP(Actividades!$D61,Listas!$A$2:$B$8,2,0),52))=0),"P",""))</f>
        <v/>
      </c>
      <c r="U121" s="25" t="str">
        <f aca="false">IF($A121="","",IF(AND(N(Actividades!$E61)&gt;0,U$4&gt;=Actividades!$E61,MOD(U$4-Actividades!$E61,IFERROR(VLOOKUP(Actividades!$D61,Listas!$A$2:$B$8,2,0),52))=0),"P",""))</f>
        <v/>
      </c>
      <c r="V121" s="25" t="str">
        <f aca="false">IF($A121="","",IF(AND(N(Actividades!$E61)&gt;0,V$4&gt;=Actividades!$E61,MOD(V$4-Actividades!$E61,IFERROR(VLOOKUP(Actividades!$D61,Listas!$A$2:$B$8,2,0),52))=0),"P",""))</f>
        <v/>
      </c>
      <c r="W121" s="25" t="str">
        <f aca="false">IF($A121="","",IF(AND(N(Actividades!$E61)&gt;0,W$4&gt;=Actividades!$E61,MOD(W$4-Actividades!$E61,IFERROR(VLOOKUP(Actividades!$D61,Listas!$A$2:$B$8,2,0),52))=0),"P",""))</f>
        <v/>
      </c>
      <c r="X121" s="25" t="str">
        <f aca="false">IF($A121="","",IF(AND(N(Actividades!$E61)&gt;0,X$4&gt;=Actividades!$E61,MOD(X$4-Actividades!$E61,IFERROR(VLOOKUP(Actividades!$D61,Listas!$A$2:$B$8,2,0),52))=0),"P",""))</f>
        <v/>
      </c>
      <c r="Y121" s="25" t="str">
        <f aca="false">IF($A121="","",IF(AND(N(Actividades!$E61)&gt;0,Y$4&gt;=Actividades!$E61,MOD(Y$4-Actividades!$E61,IFERROR(VLOOKUP(Actividades!$D61,Listas!$A$2:$B$8,2,0),52))=0),"P",""))</f>
        <v/>
      </c>
      <c r="Z121" s="25" t="str">
        <f aca="false">IF($A121="","",IF(AND(N(Actividades!$E61)&gt;0,Z$4&gt;=Actividades!$E61,MOD(Z$4-Actividades!$E61,IFERROR(VLOOKUP(Actividades!$D61,Listas!$A$2:$B$8,2,0),52))=0),"P",""))</f>
        <v/>
      </c>
      <c r="AA121" s="25" t="str">
        <f aca="false">IF($A121="","",IF(AND(N(Actividades!$E61)&gt;0,AA$4&gt;=Actividades!$E61,MOD(AA$4-Actividades!$E61,IFERROR(VLOOKUP(Actividades!$D61,Listas!$A$2:$B$8,2,0),52))=0),"P",""))</f>
        <v/>
      </c>
      <c r="AB121" s="25" t="str">
        <f aca="false">IF($A121="","",IF(AND(N(Actividades!$E61)&gt;0,AB$4&gt;=Actividades!$E61,MOD(AB$4-Actividades!$E61,IFERROR(VLOOKUP(Actividades!$D61,Listas!$A$2:$B$8,2,0),52))=0),"P",""))</f>
        <v/>
      </c>
      <c r="AC121" s="25" t="str">
        <f aca="false">IF($A121="","",IF(AND(N(Actividades!$E61)&gt;0,AC$4&gt;=Actividades!$E61,MOD(AC$4-Actividades!$E61,IFERROR(VLOOKUP(Actividades!$D61,Listas!$A$2:$B$8,2,0),52))=0),"P",""))</f>
        <v/>
      </c>
      <c r="AD121" s="25" t="str">
        <f aca="false">IF($A121="","",IF(AND(N(Actividades!$E61)&gt;0,AD$4&gt;=Actividades!$E61,MOD(AD$4-Actividades!$E61,IFERROR(VLOOKUP(Actividades!$D61,Listas!$A$2:$B$8,2,0),52))=0),"P",""))</f>
        <v/>
      </c>
      <c r="AE121" s="25" t="str">
        <f aca="false">IF($A121="","",IF(AND(N(Actividades!$E61)&gt;0,AE$4&gt;=Actividades!$E61,MOD(AE$4-Actividades!$E61,IFERROR(VLOOKUP(Actividades!$D61,Listas!$A$2:$B$8,2,0),52))=0),"P",""))</f>
        <v/>
      </c>
      <c r="AF121" s="25" t="str">
        <f aca="false">IF($A121="","",IF(AND(N(Actividades!$E61)&gt;0,AF$4&gt;=Actividades!$E61,MOD(AF$4-Actividades!$E61,IFERROR(VLOOKUP(Actividades!$D61,Listas!$A$2:$B$8,2,0),52))=0),"P",""))</f>
        <v/>
      </c>
      <c r="AG121" s="25" t="str">
        <f aca="false">IF($A121="","",IF(AND(N(Actividades!$E61)&gt;0,AG$4&gt;=Actividades!$E61,MOD(AG$4-Actividades!$E61,IFERROR(VLOOKUP(Actividades!$D61,Listas!$A$2:$B$8,2,0),52))=0),"P",""))</f>
        <v/>
      </c>
      <c r="AH121" s="25" t="str">
        <f aca="false">IF($A121="","",IF(AND(N(Actividades!$E61)&gt;0,AH$4&gt;=Actividades!$E61,MOD(AH$4-Actividades!$E61,IFERROR(VLOOKUP(Actividades!$D61,Listas!$A$2:$B$8,2,0),52))=0),"P",""))</f>
        <v/>
      </c>
      <c r="AI121" s="25" t="str">
        <f aca="false">IF($A121="","",IF(AND(N(Actividades!$E61)&gt;0,AI$4&gt;=Actividades!$E61,MOD(AI$4-Actividades!$E61,IFERROR(VLOOKUP(Actividades!$D61,Listas!$A$2:$B$8,2,0),52))=0),"P",""))</f>
        <v/>
      </c>
      <c r="AJ121" s="25" t="str">
        <f aca="false">IF($A121="","",IF(AND(N(Actividades!$E61)&gt;0,AJ$4&gt;=Actividades!$E61,MOD(AJ$4-Actividades!$E61,IFERROR(VLOOKUP(Actividades!$D61,Listas!$A$2:$B$8,2,0),52))=0),"P",""))</f>
        <v/>
      </c>
      <c r="AK121" s="25" t="str">
        <f aca="false">IF($A121="","",IF(AND(N(Actividades!$E61)&gt;0,AK$4&gt;=Actividades!$E61,MOD(AK$4-Actividades!$E61,IFERROR(VLOOKUP(Actividades!$D61,Listas!$A$2:$B$8,2,0),52))=0),"P",""))</f>
        <v/>
      </c>
      <c r="AL121" s="25" t="str">
        <f aca="false">IF($A121="","",IF(AND(N(Actividades!$E61)&gt;0,AL$4&gt;=Actividades!$E61,MOD(AL$4-Actividades!$E61,IFERROR(VLOOKUP(Actividades!$D61,Listas!$A$2:$B$8,2,0),52))=0),"P",""))</f>
        <v/>
      </c>
      <c r="AM121" s="25" t="str">
        <f aca="false">IF($A121="","",IF(AND(N(Actividades!$E61)&gt;0,AM$4&gt;=Actividades!$E61,MOD(AM$4-Actividades!$E61,IFERROR(VLOOKUP(Actividades!$D61,Listas!$A$2:$B$8,2,0),52))=0),"P",""))</f>
        <v/>
      </c>
      <c r="AN121" s="25" t="str">
        <f aca="false">IF($A121="","",IF(AND(N(Actividades!$E61)&gt;0,AN$4&gt;=Actividades!$E61,MOD(AN$4-Actividades!$E61,IFERROR(VLOOKUP(Actividades!$D61,Listas!$A$2:$B$8,2,0),52))=0),"P",""))</f>
        <v/>
      </c>
      <c r="AO121" s="25" t="str">
        <f aca="false">IF($A121="","",IF(AND(N(Actividades!$E61)&gt;0,AO$4&gt;=Actividades!$E61,MOD(AO$4-Actividades!$E61,IFERROR(VLOOKUP(Actividades!$D61,Listas!$A$2:$B$8,2,0),52))=0),"P",""))</f>
        <v/>
      </c>
      <c r="AP121" s="25" t="str">
        <f aca="false">IF($A121="","",IF(AND(N(Actividades!$E61)&gt;0,AP$4&gt;=Actividades!$E61,MOD(AP$4-Actividades!$E61,IFERROR(VLOOKUP(Actividades!$D61,Listas!$A$2:$B$8,2,0),52))=0),"P",""))</f>
        <v/>
      </c>
      <c r="AQ121" s="25" t="str">
        <f aca="false">IF($A121="","",IF(AND(N(Actividades!$E61)&gt;0,AQ$4&gt;=Actividades!$E61,MOD(AQ$4-Actividades!$E61,IFERROR(VLOOKUP(Actividades!$D61,Listas!$A$2:$B$8,2,0),52))=0),"P",""))</f>
        <v/>
      </c>
      <c r="AR121" s="25" t="str">
        <f aca="false">IF($A121="","",IF(AND(N(Actividades!$E61)&gt;0,AR$4&gt;=Actividades!$E61,MOD(AR$4-Actividades!$E61,IFERROR(VLOOKUP(Actividades!$D61,Listas!$A$2:$B$8,2,0),52))=0),"P",""))</f>
        <v/>
      </c>
      <c r="AS121" s="25" t="str">
        <f aca="false">IF($A121="","",IF(AND(N(Actividades!$E61)&gt;0,AS$4&gt;=Actividades!$E61,MOD(AS$4-Actividades!$E61,IFERROR(VLOOKUP(Actividades!$D61,Listas!$A$2:$B$8,2,0),52))=0),"P",""))</f>
        <v/>
      </c>
      <c r="AT121" s="25" t="str">
        <f aca="false">IF($A121="","",IF(AND(N(Actividades!$E61)&gt;0,AT$4&gt;=Actividades!$E61,MOD(AT$4-Actividades!$E61,IFERROR(VLOOKUP(Actividades!$D61,Listas!$A$2:$B$8,2,0),52))=0),"P",""))</f>
        <v/>
      </c>
      <c r="AU121" s="25" t="str">
        <f aca="false">IF($A121="","",IF(AND(N(Actividades!$E61)&gt;0,AU$4&gt;=Actividades!$E61,MOD(AU$4-Actividades!$E61,IFERROR(VLOOKUP(Actividades!$D61,Listas!$A$2:$B$8,2,0),52))=0),"P",""))</f>
        <v/>
      </c>
      <c r="AV121" s="25" t="str">
        <f aca="false">IF($A121="","",IF(AND(N(Actividades!$E61)&gt;0,AV$4&gt;=Actividades!$E61,MOD(AV$4-Actividades!$E61,IFERROR(VLOOKUP(Actividades!$D61,Listas!$A$2:$B$8,2,0),52))=0),"P",""))</f>
        <v/>
      </c>
      <c r="AW121" s="25" t="str">
        <f aca="false">IF($A121="","",IF(AND(N(Actividades!$E61)&gt;0,AW$4&gt;=Actividades!$E61,MOD(AW$4-Actividades!$E61,IFERROR(VLOOKUP(Actividades!$D61,Listas!$A$2:$B$8,2,0),52))=0),"P",""))</f>
        <v/>
      </c>
      <c r="AX121" s="25" t="str">
        <f aca="false">IF($A121="","",IF(AND(N(Actividades!$E61)&gt;0,AX$4&gt;=Actividades!$E61,MOD(AX$4-Actividades!$E61,IFERROR(VLOOKUP(Actividades!$D61,Listas!$A$2:$B$8,2,0),52))=0),"P",""))</f>
        <v/>
      </c>
      <c r="AY121" s="25" t="str">
        <f aca="false">IF($A121="","",IF(AND(N(Actividades!$E61)&gt;0,AY$4&gt;=Actividades!$E61,MOD(AY$4-Actividades!$E61,IFERROR(VLOOKUP(Actividades!$D61,Listas!$A$2:$B$8,2,0),52))=0),"P",""))</f>
        <v/>
      </c>
      <c r="AZ121" s="25" t="str">
        <f aca="false">IF($A121="","",IF(AND(N(Actividades!$E61)&gt;0,AZ$4&gt;=Actividades!$E61,MOD(AZ$4-Actividades!$E61,IFERROR(VLOOKUP(Actividades!$D61,Listas!$A$2:$B$8,2,0),52))=0),"P",""))</f>
        <v/>
      </c>
      <c r="BA121" s="25" t="str">
        <f aca="false">IF($A121="","",IF(AND(N(Actividades!$E61)&gt;0,BA$4&gt;=Actividades!$E61,MOD(BA$4-Actividades!$E61,IFERROR(VLOOKUP(Actividades!$D61,Listas!$A$2:$B$8,2,0),52))=0),"P",""))</f>
        <v/>
      </c>
      <c r="BB121" s="25" t="str">
        <f aca="false">IF($A121="","",IF(AND(N(Actividades!$E61)&gt;0,BB$4&gt;=Actividades!$E61,MOD(BB$4-Actividades!$E61,IFERROR(VLOOKUP(Actividades!$D61,Listas!$A$2:$B$8,2,0),52))=0),"P",""))</f>
        <v/>
      </c>
      <c r="BC121" s="25" t="str">
        <f aca="false">IF($A121="","",IF(AND(N(Actividades!$E61)&gt;0,BC$4&gt;=Actividades!$E61,MOD(BC$4-Actividades!$E61,IFERROR(VLOOKUP(Actividades!$D61,Listas!$A$2:$B$8,2,0),52))=0),"P",""))</f>
        <v/>
      </c>
      <c r="BD121" s="26" t="str">
        <f aca="false">IF($A121="","",COUNTIF(D121:BC121,"P"))</f>
        <v/>
      </c>
      <c r="BE121" s="26" t="str">
        <f aca="false">IF($A121="","",SUMPRODUCT((D121:BC121="P")*(D122:BC122="✓")))</f>
        <v/>
      </c>
      <c r="BF121" s="27" t="str">
        <f aca="false">IF($A121="","",IF(BD121=0,"",BE121/BD121))</f>
        <v/>
      </c>
    </row>
    <row r="122" customFormat="false" ht="15" hidden="false" customHeight="false" outlineLevel="0" collapsed="false">
      <c r="A122" s="28"/>
      <c r="B122" s="28"/>
      <c r="C122" s="28" t="str">
        <f aca="false">IF($A121="","","Real")</f>
        <v/>
      </c>
      <c r="D122" s="29" t="str">
        <f aca="false">IF($A121="","",IF(COUNTIFS(Historial!$B$3:$B$502,$A121,Historial!$C$3:$C$502,$B121,Historial!$G$3:$G$502,D$4,Historial!$H$3:$H$502,$B$2)&gt;0,"✓",""))</f>
        <v/>
      </c>
      <c r="E122" s="29" t="str">
        <f aca="false">IF($A121="","",IF(COUNTIFS(Historial!$B$3:$B$502,$A121,Historial!$C$3:$C$502,$B121,Historial!$G$3:$G$502,E$4,Historial!$H$3:$H$502,$B$2)&gt;0,"✓",""))</f>
        <v/>
      </c>
      <c r="F122" s="29" t="str">
        <f aca="false">IF($A121="","",IF(COUNTIFS(Historial!$B$3:$B$502,$A121,Historial!$C$3:$C$502,$B121,Historial!$G$3:$G$502,F$4,Historial!$H$3:$H$502,$B$2)&gt;0,"✓",""))</f>
        <v/>
      </c>
      <c r="G122" s="29" t="str">
        <f aca="false">IF($A121="","",IF(COUNTIFS(Historial!$B$3:$B$502,$A121,Historial!$C$3:$C$502,$B121,Historial!$G$3:$G$502,G$4,Historial!$H$3:$H$502,$B$2)&gt;0,"✓",""))</f>
        <v/>
      </c>
      <c r="H122" s="29" t="str">
        <f aca="false">IF($A121="","",IF(COUNTIFS(Historial!$B$3:$B$502,$A121,Historial!$C$3:$C$502,$B121,Historial!$G$3:$G$502,H$4,Historial!$H$3:$H$502,$B$2)&gt;0,"✓",""))</f>
        <v/>
      </c>
      <c r="I122" s="29" t="str">
        <f aca="false">IF($A121="","",IF(COUNTIFS(Historial!$B$3:$B$502,$A121,Historial!$C$3:$C$502,$B121,Historial!$G$3:$G$502,I$4,Historial!$H$3:$H$502,$B$2)&gt;0,"✓",""))</f>
        <v/>
      </c>
      <c r="J122" s="29" t="str">
        <f aca="false">IF($A121="","",IF(COUNTIFS(Historial!$B$3:$B$502,$A121,Historial!$C$3:$C$502,$B121,Historial!$G$3:$G$502,J$4,Historial!$H$3:$H$502,$B$2)&gt;0,"✓",""))</f>
        <v/>
      </c>
      <c r="K122" s="29" t="str">
        <f aca="false">IF($A121="","",IF(COUNTIFS(Historial!$B$3:$B$502,$A121,Historial!$C$3:$C$502,$B121,Historial!$G$3:$G$502,K$4,Historial!$H$3:$H$502,$B$2)&gt;0,"✓",""))</f>
        <v/>
      </c>
      <c r="L122" s="29" t="str">
        <f aca="false">IF($A121="","",IF(COUNTIFS(Historial!$B$3:$B$502,$A121,Historial!$C$3:$C$502,$B121,Historial!$G$3:$G$502,L$4,Historial!$H$3:$H$502,$B$2)&gt;0,"✓",""))</f>
        <v/>
      </c>
      <c r="M122" s="29" t="str">
        <f aca="false">IF($A121="","",IF(COUNTIFS(Historial!$B$3:$B$502,$A121,Historial!$C$3:$C$502,$B121,Historial!$G$3:$G$502,M$4,Historial!$H$3:$H$502,$B$2)&gt;0,"✓",""))</f>
        <v/>
      </c>
      <c r="N122" s="29" t="str">
        <f aca="false">IF($A121="","",IF(COUNTIFS(Historial!$B$3:$B$502,$A121,Historial!$C$3:$C$502,$B121,Historial!$G$3:$G$502,N$4,Historial!$H$3:$H$502,$B$2)&gt;0,"✓",""))</f>
        <v/>
      </c>
      <c r="O122" s="29" t="str">
        <f aca="false">IF($A121="","",IF(COUNTIFS(Historial!$B$3:$B$502,$A121,Historial!$C$3:$C$502,$B121,Historial!$G$3:$G$502,O$4,Historial!$H$3:$H$502,$B$2)&gt;0,"✓",""))</f>
        <v/>
      </c>
      <c r="P122" s="29" t="str">
        <f aca="false">IF($A121="","",IF(COUNTIFS(Historial!$B$3:$B$502,$A121,Historial!$C$3:$C$502,$B121,Historial!$G$3:$G$502,P$4,Historial!$H$3:$H$502,$B$2)&gt;0,"✓",""))</f>
        <v/>
      </c>
      <c r="Q122" s="29" t="str">
        <f aca="false">IF($A121="","",IF(COUNTIFS(Historial!$B$3:$B$502,$A121,Historial!$C$3:$C$502,$B121,Historial!$G$3:$G$502,Q$4,Historial!$H$3:$H$502,$B$2)&gt;0,"✓",""))</f>
        <v/>
      </c>
      <c r="R122" s="29" t="str">
        <f aca="false">IF($A121="","",IF(COUNTIFS(Historial!$B$3:$B$502,$A121,Historial!$C$3:$C$502,$B121,Historial!$G$3:$G$502,R$4,Historial!$H$3:$H$502,$B$2)&gt;0,"✓",""))</f>
        <v/>
      </c>
      <c r="S122" s="29" t="str">
        <f aca="false">IF($A121="","",IF(COUNTIFS(Historial!$B$3:$B$502,$A121,Historial!$C$3:$C$502,$B121,Historial!$G$3:$G$502,S$4,Historial!$H$3:$H$502,$B$2)&gt;0,"✓",""))</f>
        <v/>
      </c>
      <c r="T122" s="29" t="str">
        <f aca="false">IF($A121="","",IF(COUNTIFS(Historial!$B$3:$B$502,$A121,Historial!$C$3:$C$502,$B121,Historial!$G$3:$G$502,T$4,Historial!$H$3:$H$502,$B$2)&gt;0,"✓",""))</f>
        <v/>
      </c>
      <c r="U122" s="29" t="str">
        <f aca="false">IF($A121="","",IF(COUNTIFS(Historial!$B$3:$B$502,$A121,Historial!$C$3:$C$502,$B121,Historial!$G$3:$G$502,U$4,Historial!$H$3:$H$502,$B$2)&gt;0,"✓",""))</f>
        <v/>
      </c>
      <c r="V122" s="29" t="str">
        <f aca="false">IF($A121="","",IF(COUNTIFS(Historial!$B$3:$B$502,$A121,Historial!$C$3:$C$502,$B121,Historial!$G$3:$G$502,V$4,Historial!$H$3:$H$502,$B$2)&gt;0,"✓",""))</f>
        <v/>
      </c>
      <c r="W122" s="29" t="str">
        <f aca="false">IF($A121="","",IF(COUNTIFS(Historial!$B$3:$B$502,$A121,Historial!$C$3:$C$502,$B121,Historial!$G$3:$G$502,W$4,Historial!$H$3:$H$502,$B$2)&gt;0,"✓",""))</f>
        <v/>
      </c>
      <c r="X122" s="29" t="str">
        <f aca="false">IF($A121="","",IF(COUNTIFS(Historial!$B$3:$B$502,$A121,Historial!$C$3:$C$502,$B121,Historial!$G$3:$G$502,X$4,Historial!$H$3:$H$502,$B$2)&gt;0,"✓",""))</f>
        <v/>
      </c>
      <c r="Y122" s="29" t="str">
        <f aca="false">IF($A121="","",IF(COUNTIFS(Historial!$B$3:$B$502,$A121,Historial!$C$3:$C$502,$B121,Historial!$G$3:$G$502,Y$4,Historial!$H$3:$H$502,$B$2)&gt;0,"✓",""))</f>
        <v/>
      </c>
      <c r="Z122" s="29" t="str">
        <f aca="false">IF($A121="","",IF(COUNTIFS(Historial!$B$3:$B$502,$A121,Historial!$C$3:$C$502,$B121,Historial!$G$3:$G$502,Z$4,Historial!$H$3:$H$502,$B$2)&gt;0,"✓",""))</f>
        <v/>
      </c>
      <c r="AA122" s="29" t="str">
        <f aca="false">IF($A121="","",IF(COUNTIFS(Historial!$B$3:$B$502,$A121,Historial!$C$3:$C$502,$B121,Historial!$G$3:$G$502,AA$4,Historial!$H$3:$H$502,$B$2)&gt;0,"✓",""))</f>
        <v/>
      </c>
      <c r="AB122" s="29" t="str">
        <f aca="false">IF($A121="","",IF(COUNTIFS(Historial!$B$3:$B$502,$A121,Historial!$C$3:$C$502,$B121,Historial!$G$3:$G$502,AB$4,Historial!$H$3:$H$502,$B$2)&gt;0,"✓",""))</f>
        <v/>
      </c>
      <c r="AC122" s="29" t="str">
        <f aca="false">IF($A121="","",IF(COUNTIFS(Historial!$B$3:$B$502,$A121,Historial!$C$3:$C$502,$B121,Historial!$G$3:$G$502,AC$4,Historial!$H$3:$H$502,$B$2)&gt;0,"✓",""))</f>
        <v/>
      </c>
      <c r="AD122" s="29" t="str">
        <f aca="false">IF($A121="","",IF(COUNTIFS(Historial!$B$3:$B$502,$A121,Historial!$C$3:$C$502,$B121,Historial!$G$3:$G$502,AD$4,Historial!$H$3:$H$502,$B$2)&gt;0,"✓",""))</f>
        <v/>
      </c>
      <c r="AE122" s="29" t="str">
        <f aca="false">IF($A121="","",IF(COUNTIFS(Historial!$B$3:$B$502,$A121,Historial!$C$3:$C$502,$B121,Historial!$G$3:$G$502,AE$4,Historial!$H$3:$H$502,$B$2)&gt;0,"✓",""))</f>
        <v/>
      </c>
      <c r="AF122" s="29" t="str">
        <f aca="false">IF($A121="","",IF(COUNTIFS(Historial!$B$3:$B$502,$A121,Historial!$C$3:$C$502,$B121,Historial!$G$3:$G$502,AF$4,Historial!$H$3:$H$502,$B$2)&gt;0,"✓",""))</f>
        <v/>
      </c>
      <c r="AG122" s="29" t="str">
        <f aca="false">IF($A121="","",IF(COUNTIFS(Historial!$B$3:$B$502,$A121,Historial!$C$3:$C$502,$B121,Historial!$G$3:$G$502,AG$4,Historial!$H$3:$H$502,$B$2)&gt;0,"✓",""))</f>
        <v/>
      </c>
      <c r="AH122" s="29" t="str">
        <f aca="false">IF($A121="","",IF(COUNTIFS(Historial!$B$3:$B$502,$A121,Historial!$C$3:$C$502,$B121,Historial!$G$3:$G$502,AH$4,Historial!$H$3:$H$502,$B$2)&gt;0,"✓",""))</f>
        <v/>
      </c>
      <c r="AI122" s="29" t="str">
        <f aca="false">IF($A121="","",IF(COUNTIFS(Historial!$B$3:$B$502,$A121,Historial!$C$3:$C$502,$B121,Historial!$G$3:$G$502,AI$4,Historial!$H$3:$H$502,$B$2)&gt;0,"✓",""))</f>
        <v/>
      </c>
      <c r="AJ122" s="29" t="str">
        <f aca="false">IF($A121="","",IF(COUNTIFS(Historial!$B$3:$B$502,$A121,Historial!$C$3:$C$502,$B121,Historial!$G$3:$G$502,AJ$4,Historial!$H$3:$H$502,$B$2)&gt;0,"✓",""))</f>
        <v/>
      </c>
      <c r="AK122" s="29" t="str">
        <f aca="false">IF($A121="","",IF(COUNTIFS(Historial!$B$3:$B$502,$A121,Historial!$C$3:$C$502,$B121,Historial!$G$3:$G$502,AK$4,Historial!$H$3:$H$502,$B$2)&gt;0,"✓",""))</f>
        <v/>
      </c>
      <c r="AL122" s="29" t="str">
        <f aca="false">IF($A121="","",IF(COUNTIFS(Historial!$B$3:$B$502,$A121,Historial!$C$3:$C$502,$B121,Historial!$G$3:$G$502,AL$4,Historial!$H$3:$H$502,$B$2)&gt;0,"✓",""))</f>
        <v/>
      </c>
      <c r="AM122" s="29" t="str">
        <f aca="false">IF($A121="","",IF(COUNTIFS(Historial!$B$3:$B$502,$A121,Historial!$C$3:$C$502,$B121,Historial!$G$3:$G$502,AM$4,Historial!$H$3:$H$502,$B$2)&gt;0,"✓",""))</f>
        <v/>
      </c>
      <c r="AN122" s="29" t="str">
        <f aca="false">IF($A121="","",IF(COUNTIFS(Historial!$B$3:$B$502,$A121,Historial!$C$3:$C$502,$B121,Historial!$G$3:$G$502,AN$4,Historial!$H$3:$H$502,$B$2)&gt;0,"✓",""))</f>
        <v/>
      </c>
      <c r="AO122" s="29" t="str">
        <f aca="false">IF($A121="","",IF(COUNTIFS(Historial!$B$3:$B$502,$A121,Historial!$C$3:$C$502,$B121,Historial!$G$3:$G$502,AO$4,Historial!$H$3:$H$502,$B$2)&gt;0,"✓",""))</f>
        <v/>
      </c>
      <c r="AP122" s="29" t="str">
        <f aca="false">IF($A121="","",IF(COUNTIFS(Historial!$B$3:$B$502,$A121,Historial!$C$3:$C$502,$B121,Historial!$G$3:$G$502,AP$4,Historial!$H$3:$H$502,$B$2)&gt;0,"✓",""))</f>
        <v/>
      </c>
      <c r="AQ122" s="29" t="str">
        <f aca="false">IF($A121="","",IF(COUNTIFS(Historial!$B$3:$B$502,$A121,Historial!$C$3:$C$502,$B121,Historial!$G$3:$G$502,AQ$4,Historial!$H$3:$H$502,$B$2)&gt;0,"✓",""))</f>
        <v/>
      </c>
      <c r="AR122" s="29" t="str">
        <f aca="false">IF($A121="","",IF(COUNTIFS(Historial!$B$3:$B$502,$A121,Historial!$C$3:$C$502,$B121,Historial!$G$3:$G$502,AR$4,Historial!$H$3:$H$502,$B$2)&gt;0,"✓",""))</f>
        <v/>
      </c>
      <c r="AS122" s="29" t="str">
        <f aca="false">IF($A121="","",IF(COUNTIFS(Historial!$B$3:$B$502,$A121,Historial!$C$3:$C$502,$B121,Historial!$G$3:$G$502,AS$4,Historial!$H$3:$H$502,$B$2)&gt;0,"✓",""))</f>
        <v/>
      </c>
      <c r="AT122" s="29" t="str">
        <f aca="false">IF($A121="","",IF(COUNTIFS(Historial!$B$3:$B$502,$A121,Historial!$C$3:$C$502,$B121,Historial!$G$3:$G$502,AT$4,Historial!$H$3:$H$502,$B$2)&gt;0,"✓",""))</f>
        <v/>
      </c>
      <c r="AU122" s="29" t="str">
        <f aca="false">IF($A121="","",IF(COUNTIFS(Historial!$B$3:$B$502,$A121,Historial!$C$3:$C$502,$B121,Historial!$G$3:$G$502,AU$4,Historial!$H$3:$H$502,$B$2)&gt;0,"✓",""))</f>
        <v/>
      </c>
      <c r="AV122" s="29" t="str">
        <f aca="false">IF($A121="","",IF(COUNTIFS(Historial!$B$3:$B$502,$A121,Historial!$C$3:$C$502,$B121,Historial!$G$3:$G$502,AV$4,Historial!$H$3:$H$502,$B$2)&gt;0,"✓",""))</f>
        <v/>
      </c>
      <c r="AW122" s="29" t="str">
        <f aca="false">IF($A121="","",IF(COUNTIFS(Historial!$B$3:$B$502,$A121,Historial!$C$3:$C$502,$B121,Historial!$G$3:$G$502,AW$4,Historial!$H$3:$H$502,$B$2)&gt;0,"✓",""))</f>
        <v/>
      </c>
      <c r="AX122" s="29" t="str">
        <f aca="false">IF($A121="","",IF(COUNTIFS(Historial!$B$3:$B$502,$A121,Historial!$C$3:$C$502,$B121,Historial!$G$3:$G$502,AX$4,Historial!$H$3:$H$502,$B$2)&gt;0,"✓",""))</f>
        <v/>
      </c>
      <c r="AY122" s="29" t="str">
        <f aca="false">IF($A121="","",IF(COUNTIFS(Historial!$B$3:$B$502,$A121,Historial!$C$3:$C$502,$B121,Historial!$G$3:$G$502,AY$4,Historial!$H$3:$H$502,$B$2)&gt;0,"✓",""))</f>
        <v/>
      </c>
      <c r="AZ122" s="29" t="str">
        <f aca="false">IF($A121="","",IF(COUNTIFS(Historial!$B$3:$B$502,$A121,Historial!$C$3:$C$502,$B121,Historial!$G$3:$G$502,AZ$4,Historial!$H$3:$H$502,$B$2)&gt;0,"✓",""))</f>
        <v/>
      </c>
      <c r="BA122" s="29" t="str">
        <f aca="false">IF($A121="","",IF(COUNTIFS(Historial!$B$3:$B$502,$A121,Historial!$C$3:$C$502,$B121,Historial!$G$3:$G$502,BA$4,Historial!$H$3:$H$502,$B$2)&gt;0,"✓",""))</f>
        <v/>
      </c>
      <c r="BB122" s="29" t="str">
        <f aca="false">IF($A121="","",IF(COUNTIFS(Historial!$B$3:$B$502,$A121,Historial!$C$3:$C$502,$B121,Historial!$G$3:$G$502,BB$4,Historial!$H$3:$H$502,$B$2)&gt;0,"✓",""))</f>
        <v/>
      </c>
      <c r="BC122" s="29" t="str">
        <f aca="false">IF($A121="","",IF(COUNTIFS(Historial!$B$3:$B$502,$A121,Historial!$C$3:$C$502,$B121,Historial!$G$3:$G$502,BC$4,Historial!$H$3:$H$502,$B$2)&gt;0,"✓",""))</f>
        <v/>
      </c>
      <c r="BD122" s="29"/>
      <c r="BE122" s="29"/>
      <c r="BF122" s="29"/>
    </row>
    <row r="123" customFormat="false" ht="15" hidden="false" customHeight="false" outlineLevel="0" collapsed="false">
      <c r="A123" s="24" t="str">
        <f aca="false">IF(Actividades!$B62="","",Actividades!$B62)</f>
        <v/>
      </c>
      <c r="B123" s="24" t="str">
        <f aca="false">IF(Actividades!$C62="","",Actividades!$C62)</f>
        <v/>
      </c>
      <c r="C123" s="24" t="str">
        <f aca="false">IF($A123="","","Plan")</f>
        <v/>
      </c>
      <c r="D123" s="25" t="str">
        <f aca="false">IF($A123="","",IF(AND(N(Actividades!$E62)&gt;0,D$4&gt;=Actividades!$E62,MOD(D$4-Actividades!$E62,IFERROR(VLOOKUP(Actividades!$D62,Listas!$A$2:$B$8,2,0),52))=0),"P",""))</f>
        <v/>
      </c>
      <c r="E123" s="25" t="str">
        <f aca="false">IF($A123="","",IF(AND(N(Actividades!$E62)&gt;0,E$4&gt;=Actividades!$E62,MOD(E$4-Actividades!$E62,IFERROR(VLOOKUP(Actividades!$D62,Listas!$A$2:$B$8,2,0),52))=0),"P",""))</f>
        <v/>
      </c>
      <c r="F123" s="25" t="str">
        <f aca="false">IF($A123="","",IF(AND(N(Actividades!$E62)&gt;0,F$4&gt;=Actividades!$E62,MOD(F$4-Actividades!$E62,IFERROR(VLOOKUP(Actividades!$D62,Listas!$A$2:$B$8,2,0),52))=0),"P",""))</f>
        <v/>
      </c>
      <c r="G123" s="25" t="str">
        <f aca="false">IF($A123="","",IF(AND(N(Actividades!$E62)&gt;0,G$4&gt;=Actividades!$E62,MOD(G$4-Actividades!$E62,IFERROR(VLOOKUP(Actividades!$D62,Listas!$A$2:$B$8,2,0),52))=0),"P",""))</f>
        <v/>
      </c>
      <c r="H123" s="25" t="str">
        <f aca="false">IF($A123="","",IF(AND(N(Actividades!$E62)&gt;0,H$4&gt;=Actividades!$E62,MOD(H$4-Actividades!$E62,IFERROR(VLOOKUP(Actividades!$D62,Listas!$A$2:$B$8,2,0),52))=0),"P",""))</f>
        <v/>
      </c>
      <c r="I123" s="25" t="str">
        <f aca="false">IF($A123="","",IF(AND(N(Actividades!$E62)&gt;0,I$4&gt;=Actividades!$E62,MOD(I$4-Actividades!$E62,IFERROR(VLOOKUP(Actividades!$D62,Listas!$A$2:$B$8,2,0),52))=0),"P",""))</f>
        <v/>
      </c>
      <c r="J123" s="25" t="str">
        <f aca="false">IF($A123="","",IF(AND(N(Actividades!$E62)&gt;0,J$4&gt;=Actividades!$E62,MOD(J$4-Actividades!$E62,IFERROR(VLOOKUP(Actividades!$D62,Listas!$A$2:$B$8,2,0),52))=0),"P",""))</f>
        <v/>
      </c>
      <c r="K123" s="25" t="str">
        <f aca="false">IF($A123="","",IF(AND(N(Actividades!$E62)&gt;0,K$4&gt;=Actividades!$E62,MOD(K$4-Actividades!$E62,IFERROR(VLOOKUP(Actividades!$D62,Listas!$A$2:$B$8,2,0),52))=0),"P",""))</f>
        <v/>
      </c>
      <c r="L123" s="25" t="str">
        <f aca="false">IF($A123="","",IF(AND(N(Actividades!$E62)&gt;0,L$4&gt;=Actividades!$E62,MOD(L$4-Actividades!$E62,IFERROR(VLOOKUP(Actividades!$D62,Listas!$A$2:$B$8,2,0),52))=0),"P",""))</f>
        <v/>
      </c>
      <c r="M123" s="25" t="str">
        <f aca="false">IF($A123="","",IF(AND(N(Actividades!$E62)&gt;0,M$4&gt;=Actividades!$E62,MOD(M$4-Actividades!$E62,IFERROR(VLOOKUP(Actividades!$D62,Listas!$A$2:$B$8,2,0),52))=0),"P",""))</f>
        <v/>
      </c>
      <c r="N123" s="25" t="str">
        <f aca="false">IF($A123="","",IF(AND(N(Actividades!$E62)&gt;0,N$4&gt;=Actividades!$E62,MOD(N$4-Actividades!$E62,IFERROR(VLOOKUP(Actividades!$D62,Listas!$A$2:$B$8,2,0),52))=0),"P",""))</f>
        <v/>
      </c>
      <c r="O123" s="25" t="str">
        <f aca="false">IF($A123="","",IF(AND(N(Actividades!$E62)&gt;0,O$4&gt;=Actividades!$E62,MOD(O$4-Actividades!$E62,IFERROR(VLOOKUP(Actividades!$D62,Listas!$A$2:$B$8,2,0),52))=0),"P",""))</f>
        <v/>
      </c>
      <c r="P123" s="25" t="str">
        <f aca="false">IF($A123="","",IF(AND(N(Actividades!$E62)&gt;0,P$4&gt;=Actividades!$E62,MOD(P$4-Actividades!$E62,IFERROR(VLOOKUP(Actividades!$D62,Listas!$A$2:$B$8,2,0),52))=0),"P",""))</f>
        <v/>
      </c>
      <c r="Q123" s="25" t="str">
        <f aca="false">IF($A123="","",IF(AND(N(Actividades!$E62)&gt;0,Q$4&gt;=Actividades!$E62,MOD(Q$4-Actividades!$E62,IFERROR(VLOOKUP(Actividades!$D62,Listas!$A$2:$B$8,2,0),52))=0),"P",""))</f>
        <v/>
      </c>
      <c r="R123" s="25" t="str">
        <f aca="false">IF($A123="","",IF(AND(N(Actividades!$E62)&gt;0,R$4&gt;=Actividades!$E62,MOD(R$4-Actividades!$E62,IFERROR(VLOOKUP(Actividades!$D62,Listas!$A$2:$B$8,2,0),52))=0),"P",""))</f>
        <v/>
      </c>
      <c r="S123" s="25" t="str">
        <f aca="false">IF($A123="","",IF(AND(N(Actividades!$E62)&gt;0,S$4&gt;=Actividades!$E62,MOD(S$4-Actividades!$E62,IFERROR(VLOOKUP(Actividades!$D62,Listas!$A$2:$B$8,2,0),52))=0),"P",""))</f>
        <v/>
      </c>
      <c r="T123" s="25" t="str">
        <f aca="false">IF($A123="","",IF(AND(N(Actividades!$E62)&gt;0,T$4&gt;=Actividades!$E62,MOD(T$4-Actividades!$E62,IFERROR(VLOOKUP(Actividades!$D62,Listas!$A$2:$B$8,2,0),52))=0),"P",""))</f>
        <v/>
      </c>
      <c r="U123" s="25" t="str">
        <f aca="false">IF($A123="","",IF(AND(N(Actividades!$E62)&gt;0,U$4&gt;=Actividades!$E62,MOD(U$4-Actividades!$E62,IFERROR(VLOOKUP(Actividades!$D62,Listas!$A$2:$B$8,2,0),52))=0),"P",""))</f>
        <v/>
      </c>
      <c r="V123" s="25" t="str">
        <f aca="false">IF($A123="","",IF(AND(N(Actividades!$E62)&gt;0,V$4&gt;=Actividades!$E62,MOD(V$4-Actividades!$E62,IFERROR(VLOOKUP(Actividades!$D62,Listas!$A$2:$B$8,2,0),52))=0),"P",""))</f>
        <v/>
      </c>
      <c r="W123" s="25" t="str">
        <f aca="false">IF($A123="","",IF(AND(N(Actividades!$E62)&gt;0,W$4&gt;=Actividades!$E62,MOD(W$4-Actividades!$E62,IFERROR(VLOOKUP(Actividades!$D62,Listas!$A$2:$B$8,2,0),52))=0),"P",""))</f>
        <v/>
      </c>
      <c r="X123" s="25" t="str">
        <f aca="false">IF($A123="","",IF(AND(N(Actividades!$E62)&gt;0,X$4&gt;=Actividades!$E62,MOD(X$4-Actividades!$E62,IFERROR(VLOOKUP(Actividades!$D62,Listas!$A$2:$B$8,2,0),52))=0),"P",""))</f>
        <v/>
      </c>
      <c r="Y123" s="25" t="str">
        <f aca="false">IF($A123="","",IF(AND(N(Actividades!$E62)&gt;0,Y$4&gt;=Actividades!$E62,MOD(Y$4-Actividades!$E62,IFERROR(VLOOKUP(Actividades!$D62,Listas!$A$2:$B$8,2,0),52))=0),"P",""))</f>
        <v/>
      </c>
      <c r="Z123" s="25" t="str">
        <f aca="false">IF($A123="","",IF(AND(N(Actividades!$E62)&gt;0,Z$4&gt;=Actividades!$E62,MOD(Z$4-Actividades!$E62,IFERROR(VLOOKUP(Actividades!$D62,Listas!$A$2:$B$8,2,0),52))=0),"P",""))</f>
        <v/>
      </c>
      <c r="AA123" s="25" t="str">
        <f aca="false">IF($A123="","",IF(AND(N(Actividades!$E62)&gt;0,AA$4&gt;=Actividades!$E62,MOD(AA$4-Actividades!$E62,IFERROR(VLOOKUP(Actividades!$D62,Listas!$A$2:$B$8,2,0),52))=0),"P",""))</f>
        <v/>
      </c>
      <c r="AB123" s="25" t="str">
        <f aca="false">IF($A123="","",IF(AND(N(Actividades!$E62)&gt;0,AB$4&gt;=Actividades!$E62,MOD(AB$4-Actividades!$E62,IFERROR(VLOOKUP(Actividades!$D62,Listas!$A$2:$B$8,2,0),52))=0),"P",""))</f>
        <v/>
      </c>
      <c r="AC123" s="25" t="str">
        <f aca="false">IF($A123="","",IF(AND(N(Actividades!$E62)&gt;0,AC$4&gt;=Actividades!$E62,MOD(AC$4-Actividades!$E62,IFERROR(VLOOKUP(Actividades!$D62,Listas!$A$2:$B$8,2,0),52))=0),"P",""))</f>
        <v/>
      </c>
      <c r="AD123" s="25" t="str">
        <f aca="false">IF($A123="","",IF(AND(N(Actividades!$E62)&gt;0,AD$4&gt;=Actividades!$E62,MOD(AD$4-Actividades!$E62,IFERROR(VLOOKUP(Actividades!$D62,Listas!$A$2:$B$8,2,0),52))=0),"P",""))</f>
        <v/>
      </c>
      <c r="AE123" s="25" t="str">
        <f aca="false">IF($A123="","",IF(AND(N(Actividades!$E62)&gt;0,AE$4&gt;=Actividades!$E62,MOD(AE$4-Actividades!$E62,IFERROR(VLOOKUP(Actividades!$D62,Listas!$A$2:$B$8,2,0),52))=0),"P",""))</f>
        <v/>
      </c>
      <c r="AF123" s="25" t="str">
        <f aca="false">IF($A123="","",IF(AND(N(Actividades!$E62)&gt;0,AF$4&gt;=Actividades!$E62,MOD(AF$4-Actividades!$E62,IFERROR(VLOOKUP(Actividades!$D62,Listas!$A$2:$B$8,2,0),52))=0),"P",""))</f>
        <v/>
      </c>
      <c r="AG123" s="25" t="str">
        <f aca="false">IF($A123="","",IF(AND(N(Actividades!$E62)&gt;0,AG$4&gt;=Actividades!$E62,MOD(AG$4-Actividades!$E62,IFERROR(VLOOKUP(Actividades!$D62,Listas!$A$2:$B$8,2,0),52))=0),"P",""))</f>
        <v/>
      </c>
      <c r="AH123" s="25" t="str">
        <f aca="false">IF($A123="","",IF(AND(N(Actividades!$E62)&gt;0,AH$4&gt;=Actividades!$E62,MOD(AH$4-Actividades!$E62,IFERROR(VLOOKUP(Actividades!$D62,Listas!$A$2:$B$8,2,0),52))=0),"P",""))</f>
        <v/>
      </c>
      <c r="AI123" s="25" t="str">
        <f aca="false">IF($A123="","",IF(AND(N(Actividades!$E62)&gt;0,AI$4&gt;=Actividades!$E62,MOD(AI$4-Actividades!$E62,IFERROR(VLOOKUP(Actividades!$D62,Listas!$A$2:$B$8,2,0),52))=0),"P",""))</f>
        <v/>
      </c>
      <c r="AJ123" s="25" t="str">
        <f aca="false">IF($A123="","",IF(AND(N(Actividades!$E62)&gt;0,AJ$4&gt;=Actividades!$E62,MOD(AJ$4-Actividades!$E62,IFERROR(VLOOKUP(Actividades!$D62,Listas!$A$2:$B$8,2,0),52))=0),"P",""))</f>
        <v/>
      </c>
      <c r="AK123" s="25" t="str">
        <f aca="false">IF($A123="","",IF(AND(N(Actividades!$E62)&gt;0,AK$4&gt;=Actividades!$E62,MOD(AK$4-Actividades!$E62,IFERROR(VLOOKUP(Actividades!$D62,Listas!$A$2:$B$8,2,0),52))=0),"P",""))</f>
        <v/>
      </c>
      <c r="AL123" s="25" t="str">
        <f aca="false">IF($A123="","",IF(AND(N(Actividades!$E62)&gt;0,AL$4&gt;=Actividades!$E62,MOD(AL$4-Actividades!$E62,IFERROR(VLOOKUP(Actividades!$D62,Listas!$A$2:$B$8,2,0),52))=0),"P",""))</f>
        <v/>
      </c>
      <c r="AM123" s="25" t="str">
        <f aca="false">IF($A123="","",IF(AND(N(Actividades!$E62)&gt;0,AM$4&gt;=Actividades!$E62,MOD(AM$4-Actividades!$E62,IFERROR(VLOOKUP(Actividades!$D62,Listas!$A$2:$B$8,2,0),52))=0),"P",""))</f>
        <v/>
      </c>
      <c r="AN123" s="25" t="str">
        <f aca="false">IF($A123="","",IF(AND(N(Actividades!$E62)&gt;0,AN$4&gt;=Actividades!$E62,MOD(AN$4-Actividades!$E62,IFERROR(VLOOKUP(Actividades!$D62,Listas!$A$2:$B$8,2,0),52))=0),"P",""))</f>
        <v/>
      </c>
      <c r="AO123" s="25" t="str">
        <f aca="false">IF($A123="","",IF(AND(N(Actividades!$E62)&gt;0,AO$4&gt;=Actividades!$E62,MOD(AO$4-Actividades!$E62,IFERROR(VLOOKUP(Actividades!$D62,Listas!$A$2:$B$8,2,0),52))=0),"P",""))</f>
        <v/>
      </c>
      <c r="AP123" s="25" t="str">
        <f aca="false">IF($A123="","",IF(AND(N(Actividades!$E62)&gt;0,AP$4&gt;=Actividades!$E62,MOD(AP$4-Actividades!$E62,IFERROR(VLOOKUP(Actividades!$D62,Listas!$A$2:$B$8,2,0),52))=0),"P",""))</f>
        <v/>
      </c>
      <c r="AQ123" s="25" t="str">
        <f aca="false">IF($A123="","",IF(AND(N(Actividades!$E62)&gt;0,AQ$4&gt;=Actividades!$E62,MOD(AQ$4-Actividades!$E62,IFERROR(VLOOKUP(Actividades!$D62,Listas!$A$2:$B$8,2,0),52))=0),"P",""))</f>
        <v/>
      </c>
      <c r="AR123" s="25" t="str">
        <f aca="false">IF($A123="","",IF(AND(N(Actividades!$E62)&gt;0,AR$4&gt;=Actividades!$E62,MOD(AR$4-Actividades!$E62,IFERROR(VLOOKUP(Actividades!$D62,Listas!$A$2:$B$8,2,0),52))=0),"P",""))</f>
        <v/>
      </c>
      <c r="AS123" s="25" t="str">
        <f aca="false">IF($A123="","",IF(AND(N(Actividades!$E62)&gt;0,AS$4&gt;=Actividades!$E62,MOD(AS$4-Actividades!$E62,IFERROR(VLOOKUP(Actividades!$D62,Listas!$A$2:$B$8,2,0),52))=0),"P",""))</f>
        <v/>
      </c>
      <c r="AT123" s="25" t="str">
        <f aca="false">IF($A123="","",IF(AND(N(Actividades!$E62)&gt;0,AT$4&gt;=Actividades!$E62,MOD(AT$4-Actividades!$E62,IFERROR(VLOOKUP(Actividades!$D62,Listas!$A$2:$B$8,2,0),52))=0),"P",""))</f>
        <v/>
      </c>
      <c r="AU123" s="25" t="str">
        <f aca="false">IF($A123="","",IF(AND(N(Actividades!$E62)&gt;0,AU$4&gt;=Actividades!$E62,MOD(AU$4-Actividades!$E62,IFERROR(VLOOKUP(Actividades!$D62,Listas!$A$2:$B$8,2,0),52))=0),"P",""))</f>
        <v/>
      </c>
      <c r="AV123" s="25" t="str">
        <f aca="false">IF($A123="","",IF(AND(N(Actividades!$E62)&gt;0,AV$4&gt;=Actividades!$E62,MOD(AV$4-Actividades!$E62,IFERROR(VLOOKUP(Actividades!$D62,Listas!$A$2:$B$8,2,0),52))=0),"P",""))</f>
        <v/>
      </c>
      <c r="AW123" s="25" t="str">
        <f aca="false">IF($A123="","",IF(AND(N(Actividades!$E62)&gt;0,AW$4&gt;=Actividades!$E62,MOD(AW$4-Actividades!$E62,IFERROR(VLOOKUP(Actividades!$D62,Listas!$A$2:$B$8,2,0),52))=0),"P",""))</f>
        <v/>
      </c>
      <c r="AX123" s="25" t="str">
        <f aca="false">IF($A123="","",IF(AND(N(Actividades!$E62)&gt;0,AX$4&gt;=Actividades!$E62,MOD(AX$4-Actividades!$E62,IFERROR(VLOOKUP(Actividades!$D62,Listas!$A$2:$B$8,2,0),52))=0),"P",""))</f>
        <v/>
      </c>
      <c r="AY123" s="25" t="str">
        <f aca="false">IF($A123="","",IF(AND(N(Actividades!$E62)&gt;0,AY$4&gt;=Actividades!$E62,MOD(AY$4-Actividades!$E62,IFERROR(VLOOKUP(Actividades!$D62,Listas!$A$2:$B$8,2,0),52))=0),"P",""))</f>
        <v/>
      </c>
      <c r="AZ123" s="25" t="str">
        <f aca="false">IF($A123="","",IF(AND(N(Actividades!$E62)&gt;0,AZ$4&gt;=Actividades!$E62,MOD(AZ$4-Actividades!$E62,IFERROR(VLOOKUP(Actividades!$D62,Listas!$A$2:$B$8,2,0),52))=0),"P",""))</f>
        <v/>
      </c>
      <c r="BA123" s="25" t="str">
        <f aca="false">IF($A123="","",IF(AND(N(Actividades!$E62)&gt;0,BA$4&gt;=Actividades!$E62,MOD(BA$4-Actividades!$E62,IFERROR(VLOOKUP(Actividades!$D62,Listas!$A$2:$B$8,2,0),52))=0),"P",""))</f>
        <v/>
      </c>
      <c r="BB123" s="25" t="str">
        <f aca="false">IF($A123="","",IF(AND(N(Actividades!$E62)&gt;0,BB$4&gt;=Actividades!$E62,MOD(BB$4-Actividades!$E62,IFERROR(VLOOKUP(Actividades!$D62,Listas!$A$2:$B$8,2,0),52))=0),"P",""))</f>
        <v/>
      </c>
      <c r="BC123" s="25" t="str">
        <f aca="false">IF($A123="","",IF(AND(N(Actividades!$E62)&gt;0,BC$4&gt;=Actividades!$E62,MOD(BC$4-Actividades!$E62,IFERROR(VLOOKUP(Actividades!$D62,Listas!$A$2:$B$8,2,0),52))=0),"P",""))</f>
        <v/>
      </c>
      <c r="BD123" s="26" t="str">
        <f aca="false">IF($A123="","",COUNTIF(D123:BC123,"P"))</f>
        <v/>
      </c>
      <c r="BE123" s="26" t="str">
        <f aca="false">IF($A123="","",SUMPRODUCT((D123:BC123="P")*(D124:BC124="✓")))</f>
        <v/>
      </c>
      <c r="BF123" s="27" t="str">
        <f aca="false">IF($A123="","",IF(BD123=0,"",BE123/BD123))</f>
        <v/>
      </c>
    </row>
    <row r="124" customFormat="false" ht="15" hidden="false" customHeight="false" outlineLevel="0" collapsed="false">
      <c r="A124" s="28"/>
      <c r="B124" s="28"/>
      <c r="C124" s="28" t="str">
        <f aca="false">IF($A123="","","Real")</f>
        <v/>
      </c>
      <c r="D124" s="29" t="str">
        <f aca="false">IF($A123="","",IF(COUNTIFS(Historial!$B$3:$B$502,$A123,Historial!$C$3:$C$502,$B123,Historial!$G$3:$G$502,D$4,Historial!$H$3:$H$502,$B$2)&gt;0,"✓",""))</f>
        <v/>
      </c>
      <c r="E124" s="29" t="str">
        <f aca="false">IF($A123="","",IF(COUNTIFS(Historial!$B$3:$B$502,$A123,Historial!$C$3:$C$502,$B123,Historial!$G$3:$G$502,E$4,Historial!$H$3:$H$502,$B$2)&gt;0,"✓",""))</f>
        <v/>
      </c>
      <c r="F124" s="29" t="str">
        <f aca="false">IF($A123="","",IF(COUNTIFS(Historial!$B$3:$B$502,$A123,Historial!$C$3:$C$502,$B123,Historial!$G$3:$G$502,F$4,Historial!$H$3:$H$502,$B$2)&gt;0,"✓",""))</f>
        <v/>
      </c>
      <c r="G124" s="29" t="str">
        <f aca="false">IF($A123="","",IF(COUNTIFS(Historial!$B$3:$B$502,$A123,Historial!$C$3:$C$502,$B123,Historial!$G$3:$G$502,G$4,Historial!$H$3:$H$502,$B$2)&gt;0,"✓",""))</f>
        <v/>
      </c>
      <c r="H124" s="29" t="str">
        <f aca="false">IF($A123="","",IF(COUNTIFS(Historial!$B$3:$B$502,$A123,Historial!$C$3:$C$502,$B123,Historial!$G$3:$G$502,H$4,Historial!$H$3:$H$502,$B$2)&gt;0,"✓",""))</f>
        <v/>
      </c>
      <c r="I124" s="29" t="str">
        <f aca="false">IF($A123="","",IF(COUNTIFS(Historial!$B$3:$B$502,$A123,Historial!$C$3:$C$502,$B123,Historial!$G$3:$G$502,I$4,Historial!$H$3:$H$502,$B$2)&gt;0,"✓",""))</f>
        <v/>
      </c>
      <c r="J124" s="29" t="str">
        <f aca="false">IF($A123="","",IF(COUNTIFS(Historial!$B$3:$B$502,$A123,Historial!$C$3:$C$502,$B123,Historial!$G$3:$G$502,J$4,Historial!$H$3:$H$502,$B$2)&gt;0,"✓",""))</f>
        <v/>
      </c>
      <c r="K124" s="29" t="str">
        <f aca="false">IF($A123="","",IF(COUNTIFS(Historial!$B$3:$B$502,$A123,Historial!$C$3:$C$502,$B123,Historial!$G$3:$G$502,K$4,Historial!$H$3:$H$502,$B$2)&gt;0,"✓",""))</f>
        <v/>
      </c>
      <c r="L124" s="29" t="str">
        <f aca="false">IF($A123="","",IF(COUNTIFS(Historial!$B$3:$B$502,$A123,Historial!$C$3:$C$502,$B123,Historial!$G$3:$G$502,L$4,Historial!$H$3:$H$502,$B$2)&gt;0,"✓",""))</f>
        <v/>
      </c>
      <c r="M124" s="29" t="str">
        <f aca="false">IF($A123="","",IF(COUNTIFS(Historial!$B$3:$B$502,$A123,Historial!$C$3:$C$502,$B123,Historial!$G$3:$G$502,M$4,Historial!$H$3:$H$502,$B$2)&gt;0,"✓",""))</f>
        <v/>
      </c>
      <c r="N124" s="29" t="str">
        <f aca="false">IF($A123="","",IF(COUNTIFS(Historial!$B$3:$B$502,$A123,Historial!$C$3:$C$502,$B123,Historial!$G$3:$G$502,N$4,Historial!$H$3:$H$502,$B$2)&gt;0,"✓",""))</f>
        <v/>
      </c>
      <c r="O124" s="29" t="str">
        <f aca="false">IF($A123="","",IF(COUNTIFS(Historial!$B$3:$B$502,$A123,Historial!$C$3:$C$502,$B123,Historial!$G$3:$G$502,O$4,Historial!$H$3:$H$502,$B$2)&gt;0,"✓",""))</f>
        <v/>
      </c>
      <c r="P124" s="29" t="str">
        <f aca="false">IF($A123="","",IF(COUNTIFS(Historial!$B$3:$B$502,$A123,Historial!$C$3:$C$502,$B123,Historial!$G$3:$G$502,P$4,Historial!$H$3:$H$502,$B$2)&gt;0,"✓",""))</f>
        <v/>
      </c>
      <c r="Q124" s="29" t="str">
        <f aca="false">IF($A123="","",IF(COUNTIFS(Historial!$B$3:$B$502,$A123,Historial!$C$3:$C$502,$B123,Historial!$G$3:$G$502,Q$4,Historial!$H$3:$H$502,$B$2)&gt;0,"✓",""))</f>
        <v/>
      </c>
      <c r="R124" s="29" t="str">
        <f aca="false">IF($A123="","",IF(COUNTIFS(Historial!$B$3:$B$502,$A123,Historial!$C$3:$C$502,$B123,Historial!$G$3:$G$502,R$4,Historial!$H$3:$H$502,$B$2)&gt;0,"✓",""))</f>
        <v/>
      </c>
      <c r="S124" s="29" t="str">
        <f aca="false">IF($A123="","",IF(COUNTIFS(Historial!$B$3:$B$502,$A123,Historial!$C$3:$C$502,$B123,Historial!$G$3:$G$502,S$4,Historial!$H$3:$H$502,$B$2)&gt;0,"✓",""))</f>
        <v/>
      </c>
      <c r="T124" s="29" t="str">
        <f aca="false">IF($A123="","",IF(COUNTIFS(Historial!$B$3:$B$502,$A123,Historial!$C$3:$C$502,$B123,Historial!$G$3:$G$502,T$4,Historial!$H$3:$H$502,$B$2)&gt;0,"✓",""))</f>
        <v/>
      </c>
      <c r="U124" s="29" t="str">
        <f aca="false">IF($A123="","",IF(COUNTIFS(Historial!$B$3:$B$502,$A123,Historial!$C$3:$C$502,$B123,Historial!$G$3:$G$502,U$4,Historial!$H$3:$H$502,$B$2)&gt;0,"✓",""))</f>
        <v/>
      </c>
      <c r="V124" s="29" t="str">
        <f aca="false">IF($A123="","",IF(COUNTIFS(Historial!$B$3:$B$502,$A123,Historial!$C$3:$C$502,$B123,Historial!$G$3:$G$502,V$4,Historial!$H$3:$H$502,$B$2)&gt;0,"✓",""))</f>
        <v/>
      </c>
      <c r="W124" s="29" t="str">
        <f aca="false">IF($A123="","",IF(COUNTIFS(Historial!$B$3:$B$502,$A123,Historial!$C$3:$C$502,$B123,Historial!$G$3:$G$502,W$4,Historial!$H$3:$H$502,$B$2)&gt;0,"✓",""))</f>
        <v/>
      </c>
      <c r="X124" s="29" t="str">
        <f aca="false">IF($A123="","",IF(COUNTIFS(Historial!$B$3:$B$502,$A123,Historial!$C$3:$C$502,$B123,Historial!$G$3:$G$502,X$4,Historial!$H$3:$H$502,$B$2)&gt;0,"✓",""))</f>
        <v/>
      </c>
      <c r="Y124" s="29" t="str">
        <f aca="false">IF($A123="","",IF(COUNTIFS(Historial!$B$3:$B$502,$A123,Historial!$C$3:$C$502,$B123,Historial!$G$3:$G$502,Y$4,Historial!$H$3:$H$502,$B$2)&gt;0,"✓",""))</f>
        <v/>
      </c>
      <c r="Z124" s="29" t="str">
        <f aca="false">IF($A123="","",IF(COUNTIFS(Historial!$B$3:$B$502,$A123,Historial!$C$3:$C$502,$B123,Historial!$G$3:$G$502,Z$4,Historial!$H$3:$H$502,$B$2)&gt;0,"✓",""))</f>
        <v/>
      </c>
      <c r="AA124" s="29" t="str">
        <f aca="false">IF($A123="","",IF(COUNTIFS(Historial!$B$3:$B$502,$A123,Historial!$C$3:$C$502,$B123,Historial!$G$3:$G$502,AA$4,Historial!$H$3:$H$502,$B$2)&gt;0,"✓",""))</f>
        <v/>
      </c>
      <c r="AB124" s="29" t="str">
        <f aca="false">IF($A123="","",IF(COUNTIFS(Historial!$B$3:$B$502,$A123,Historial!$C$3:$C$502,$B123,Historial!$G$3:$G$502,AB$4,Historial!$H$3:$H$502,$B$2)&gt;0,"✓",""))</f>
        <v/>
      </c>
      <c r="AC124" s="29" t="str">
        <f aca="false">IF($A123="","",IF(COUNTIFS(Historial!$B$3:$B$502,$A123,Historial!$C$3:$C$502,$B123,Historial!$G$3:$G$502,AC$4,Historial!$H$3:$H$502,$B$2)&gt;0,"✓",""))</f>
        <v/>
      </c>
      <c r="AD124" s="29" t="str">
        <f aca="false">IF($A123="","",IF(COUNTIFS(Historial!$B$3:$B$502,$A123,Historial!$C$3:$C$502,$B123,Historial!$G$3:$G$502,AD$4,Historial!$H$3:$H$502,$B$2)&gt;0,"✓",""))</f>
        <v/>
      </c>
      <c r="AE124" s="29" t="str">
        <f aca="false">IF($A123="","",IF(COUNTIFS(Historial!$B$3:$B$502,$A123,Historial!$C$3:$C$502,$B123,Historial!$G$3:$G$502,AE$4,Historial!$H$3:$H$502,$B$2)&gt;0,"✓",""))</f>
        <v/>
      </c>
      <c r="AF124" s="29" t="str">
        <f aca="false">IF($A123="","",IF(COUNTIFS(Historial!$B$3:$B$502,$A123,Historial!$C$3:$C$502,$B123,Historial!$G$3:$G$502,AF$4,Historial!$H$3:$H$502,$B$2)&gt;0,"✓",""))</f>
        <v/>
      </c>
      <c r="AG124" s="29" t="str">
        <f aca="false">IF($A123="","",IF(COUNTIFS(Historial!$B$3:$B$502,$A123,Historial!$C$3:$C$502,$B123,Historial!$G$3:$G$502,AG$4,Historial!$H$3:$H$502,$B$2)&gt;0,"✓",""))</f>
        <v/>
      </c>
      <c r="AH124" s="29" t="str">
        <f aca="false">IF($A123="","",IF(COUNTIFS(Historial!$B$3:$B$502,$A123,Historial!$C$3:$C$502,$B123,Historial!$G$3:$G$502,AH$4,Historial!$H$3:$H$502,$B$2)&gt;0,"✓",""))</f>
        <v/>
      </c>
      <c r="AI124" s="29" t="str">
        <f aca="false">IF($A123="","",IF(COUNTIFS(Historial!$B$3:$B$502,$A123,Historial!$C$3:$C$502,$B123,Historial!$G$3:$G$502,AI$4,Historial!$H$3:$H$502,$B$2)&gt;0,"✓",""))</f>
        <v/>
      </c>
      <c r="AJ124" s="29" t="str">
        <f aca="false">IF($A123="","",IF(COUNTIFS(Historial!$B$3:$B$502,$A123,Historial!$C$3:$C$502,$B123,Historial!$G$3:$G$502,AJ$4,Historial!$H$3:$H$502,$B$2)&gt;0,"✓",""))</f>
        <v/>
      </c>
      <c r="AK124" s="29" t="str">
        <f aca="false">IF($A123="","",IF(COUNTIFS(Historial!$B$3:$B$502,$A123,Historial!$C$3:$C$502,$B123,Historial!$G$3:$G$502,AK$4,Historial!$H$3:$H$502,$B$2)&gt;0,"✓",""))</f>
        <v/>
      </c>
      <c r="AL124" s="29" t="str">
        <f aca="false">IF($A123="","",IF(COUNTIFS(Historial!$B$3:$B$502,$A123,Historial!$C$3:$C$502,$B123,Historial!$G$3:$G$502,AL$4,Historial!$H$3:$H$502,$B$2)&gt;0,"✓",""))</f>
        <v/>
      </c>
      <c r="AM124" s="29" t="str">
        <f aca="false">IF($A123="","",IF(COUNTIFS(Historial!$B$3:$B$502,$A123,Historial!$C$3:$C$502,$B123,Historial!$G$3:$G$502,AM$4,Historial!$H$3:$H$502,$B$2)&gt;0,"✓",""))</f>
        <v/>
      </c>
      <c r="AN124" s="29" t="str">
        <f aca="false">IF($A123="","",IF(COUNTIFS(Historial!$B$3:$B$502,$A123,Historial!$C$3:$C$502,$B123,Historial!$G$3:$G$502,AN$4,Historial!$H$3:$H$502,$B$2)&gt;0,"✓",""))</f>
        <v/>
      </c>
      <c r="AO124" s="29" t="str">
        <f aca="false">IF($A123="","",IF(COUNTIFS(Historial!$B$3:$B$502,$A123,Historial!$C$3:$C$502,$B123,Historial!$G$3:$G$502,AO$4,Historial!$H$3:$H$502,$B$2)&gt;0,"✓",""))</f>
        <v/>
      </c>
      <c r="AP124" s="29" t="str">
        <f aca="false">IF($A123="","",IF(COUNTIFS(Historial!$B$3:$B$502,$A123,Historial!$C$3:$C$502,$B123,Historial!$G$3:$G$502,AP$4,Historial!$H$3:$H$502,$B$2)&gt;0,"✓",""))</f>
        <v/>
      </c>
      <c r="AQ124" s="29" t="str">
        <f aca="false">IF($A123="","",IF(COUNTIFS(Historial!$B$3:$B$502,$A123,Historial!$C$3:$C$502,$B123,Historial!$G$3:$G$502,AQ$4,Historial!$H$3:$H$502,$B$2)&gt;0,"✓",""))</f>
        <v/>
      </c>
      <c r="AR124" s="29" t="str">
        <f aca="false">IF($A123="","",IF(COUNTIFS(Historial!$B$3:$B$502,$A123,Historial!$C$3:$C$502,$B123,Historial!$G$3:$G$502,AR$4,Historial!$H$3:$H$502,$B$2)&gt;0,"✓",""))</f>
        <v/>
      </c>
      <c r="AS124" s="29" t="str">
        <f aca="false">IF($A123="","",IF(COUNTIFS(Historial!$B$3:$B$502,$A123,Historial!$C$3:$C$502,$B123,Historial!$G$3:$G$502,AS$4,Historial!$H$3:$H$502,$B$2)&gt;0,"✓",""))</f>
        <v/>
      </c>
      <c r="AT124" s="29" t="str">
        <f aca="false">IF($A123="","",IF(COUNTIFS(Historial!$B$3:$B$502,$A123,Historial!$C$3:$C$502,$B123,Historial!$G$3:$G$502,AT$4,Historial!$H$3:$H$502,$B$2)&gt;0,"✓",""))</f>
        <v/>
      </c>
      <c r="AU124" s="29" t="str">
        <f aca="false">IF($A123="","",IF(COUNTIFS(Historial!$B$3:$B$502,$A123,Historial!$C$3:$C$502,$B123,Historial!$G$3:$G$502,AU$4,Historial!$H$3:$H$502,$B$2)&gt;0,"✓",""))</f>
        <v/>
      </c>
      <c r="AV124" s="29" t="str">
        <f aca="false">IF($A123="","",IF(COUNTIFS(Historial!$B$3:$B$502,$A123,Historial!$C$3:$C$502,$B123,Historial!$G$3:$G$502,AV$4,Historial!$H$3:$H$502,$B$2)&gt;0,"✓",""))</f>
        <v/>
      </c>
      <c r="AW124" s="29" t="str">
        <f aca="false">IF($A123="","",IF(COUNTIFS(Historial!$B$3:$B$502,$A123,Historial!$C$3:$C$502,$B123,Historial!$G$3:$G$502,AW$4,Historial!$H$3:$H$502,$B$2)&gt;0,"✓",""))</f>
        <v/>
      </c>
      <c r="AX124" s="29" t="str">
        <f aca="false">IF($A123="","",IF(COUNTIFS(Historial!$B$3:$B$502,$A123,Historial!$C$3:$C$502,$B123,Historial!$G$3:$G$502,AX$4,Historial!$H$3:$H$502,$B$2)&gt;0,"✓",""))</f>
        <v/>
      </c>
      <c r="AY124" s="29" t="str">
        <f aca="false">IF($A123="","",IF(COUNTIFS(Historial!$B$3:$B$502,$A123,Historial!$C$3:$C$502,$B123,Historial!$G$3:$G$502,AY$4,Historial!$H$3:$H$502,$B$2)&gt;0,"✓",""))</f>
        <v/>
      </c>
      <c r="AZ124" s="29" t="str">
        <f aca="false">IF($A123="","",IF(COUNTIFS(Historial!$B$3:$B$502,$A123,Historial!$C$3:$C$502,$B123,Historial!$G$3:$G$502,AZ$4,Historial!$H$3:$H$502,$B$2)&gt;0,"✓",""))</f>
        <v/>
      </c>
      <c r="BA124" s="29" t="str">
        <f aca="false">IF($A123="","",IF(COUNTIFS(Historial!$B$3:$B$502,$A123,Historial!$C$3:$C$502,$B123,Historial!$G$3:$G$502,BA$4,Historial!$H$3:$H$502,$B$2)&gt;0,"✓",""))</f>
        <v/>
      </c>
      <c r="BB124" s="29" t="str">
        <f aca="false">IF($A123="","",IF(COUNTIFS(Historial!$B$3:$B$502,$A123,Historial!$C$3:$C$502,$B123,Historial!$G$3:$G$502,BB$4,Historial!$H$3:$H$502,$B$2)&gt;0,"✓",""))</f>
        <v/>
      </c>
      <c r="BC124" s="29" t="str">
        <f aca="false">IF($A123="","",IF(COUNTIFS(Historial!$B$3:$B$502,$A123,Historial!$C$3:$C$502,$B123,Historial!$G$3:$G$502,BC$4,Historial!$H$3:$H$502,$B$2)&gt;0,"✓",""))</f>
        <v/>
      </c>
      <c r="BD124" s="29"/>
      <c r="BE124" s="29"/>
      <c r="BF124" s="29"/>
    </row>
  </sheetData>
  <sheetProtection sheet="true" formatCells="false" formatColumns="false" formatRows="false" insertRows="false" sort="false" autoFilter="false"/>
  <mergeCells count="2">
    <mergeCell ref="B1:BC1"/>
    <mergeCell ref="BD1:BF1"/>
  </mergeCells>
  <conditionalFormatting sqref="D5:BC124">
    <cfRule type="expression" priority="2" aboveAverage="0" equalAverage="0" bottom="0" percent="0" rank="0" text="" dxfId="8">
      <formula>AND(D5="P",$B$2=YEAR(TODAY()),D$4&lt;WEEKNUM(TODAY(),1),D6="")</formula>
    </cfRule>
    <cfRule type="cellIs" priority="3" operator="equal" aboveAverage="0" equalAverage="0" bottom="0" percent="0" rank="0" text="" dxfId="9">
      <formula>"P"</formula>
    </cfRule>
    <cfRule type="cellIs" priority="4" operator="equal" aboveAverage="0" equalAverage="0" bottom="0" percent="0" rank="0" text="" dxfId="10">
      <formula>"✓"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43.5" hidden="false" customHeight="true" outlineLevel="0" collapsed="false">
      <c r="A1" s="1"/>
      <c r="B1" s="2" t="s">
        <v>118</v>
      </c>
      <c r="C1" s="2"/>
      <c r="D1" s="2"/>
      <c r="E1" s="2"/>
      <c r="F1" s="3" t="s">
        <v>1</v>
      </c>
      <c r="G1" s="3"/>
      <c r="H1" s="3"/>
    </row>
    <row r="2" customFormat="false" ht="27.75" hidden="false" customHeight="true" outlineLevel="0" collapsed="false">
      <c r="A2" s="14" t="s">
        <v>119</v>
      </c>
      <c r="B2" s="14" t="s">
        <v>31</v>
      </c>
      <c r="C2" s="14" t="s">
        <v>96</v>
      </c>
      <c r="D2" s="14" t="s">
        <v>120</v>
      </c>
      <c r="E2" s="14" t="s">
        <v>121</v>
      </c>
      <c r="F2" s="14" t="s">
        <v>122</v>
      </c>
      <c r="G2" s="14" t="s">
        <v>123</v>
      </c>
      <c r="H2" s="14" t="s">
        <v>124</v>
      </c>
    </row>
    <row r="3" customFormat="false" ht="15" hidden="false" customHeight="false" outlineLevel="0" collapsed="false">
      <c r="A3" s="30" t="n">
        <v>46027</v>
      </c>
      <c r="B3" s="15" t="s">
        <v>90</v>
      </c>
      <c r="C3" s="15" t="s">
        <v>101</v>
      </c>
      <c r="D3" s="15" t="s">
        <v>103</v>
      </c>
      <c r="E3" s="15" t="n">
        <v>2</v>
      </c>
      <c r="F3" s="15" t="s">
        <v>125</v>
      </c>
      <c r="G3" s="16" t="n">
        <f aca="false">IF($A3="","",WEEKNUM($A3,1))</f>
        <v>2</v>
      </c>
      <c r="H3" s="16" t="n">
        <f aca="false">IF($A3="","",YEAR($A3))</f>
        <v>2026</v>
      </c>
    </row>
    <row r="4" customFormat="false" ht="15" hidden="false" customHeight="false" outlineLevel="0" collapsed="false">
      <c r="A4" s="30"/>
      <c r="B4" s="15"/>
      <c r="C4" s="15"/>
      <c r="D4" s="15"/>
      <c r="E4" s="15"/>
      <c r="F4" s="15"/>
      <c r="G4" s="16" t="str">
        <f aca="false">IF($A4="","",WEEKNUM($A4,1))</f>
        <v/>
      </c>
      <c r="H4" s="16" t="str">
        <f aca="false">IF($A4="","",YEAR($A4))</f>
        <v/>
      </c>
    </row>
    <row r="5" customFormat="false" ht="15" hidden="false" customHeight="false" outlineLevel="0" collapsed="false">
      <c r="A5" s="30"/>
      <c r="B5" s="15"/>
      <c r="C5" s="15"/>
      <c r="D5" s="15"/>
      <c r="E5" s="15"/>
      <c r="F5" s="15"/>
      <c r="G5" s="16" t="str">
        <f aca="false">IF($A5="","",WEEKNUM($A5,1))</f>
        <v/>
      </c>
      <c r="H5" s="16" t="str">
        <f aca="false">IF($A5="","",YEAR($A5))</f>
        <v/>
      </c>
    </row>
    <row r="6" customFormat="false" ht="15" hidden="false" customHeight="false" outlineLevel="0" collapsed="false">
      <c r="A6" s="30"/>
      <c r="B6" s="15"/>
      <c r="C6" s="15"/>
      <c r="D6" s="15"/>
      <c r="E6" s="15"/>
      <c r="F6" s="15"/>
      <c r="G6" s="16" t="str">
        <f aca="false">IF($A6="","",WEEKNUM($A6,1))</f>
        <v/>
      </c>
      <c r="H6" s="16" t="str">
        <f aca="false">IF($A6="","",YEAR($A6))</f>
        <v/>
      </c>
    </row>
    <row r="7" customFormat="false" ht="15" hidden="false" customHeight="false" outlineLevel="0" collapsed="false">
      <c r="A7" s="30"/>
      <c r="B7" s="15"/>
      <c r="C7" s="15"/>
      <c r="D7" s="15"/>
      <c r="E7" s="15"/>
      <c r="F7" s="15"/>
      <c r="G7" s="16" t="str">
        <f aca="false">IF($A7="","",WEEKNUM($A7,1))</f>
        <v/>
      </c>
      <c r="H7" s="16" t="str">
        <f aca="false">IF($A7="","",YEAR($A7))</f>
        <v/>
      </c>
    </row>
    <row r="8" customFormat="false" ht="15" hidden="false" customHeight="false" outlineLevel="0" collapsed="false">
      <c r="A8" s="30"/>
      <c r="B8" s="15"/>
      <c r="C8" s="15"/>
      <c r="D8" s="15"/>
      <c r="E8" s="15"/>
      <c r="F8" s="15"/>
      <c r="G8" s="16" t="str">
        <f aca="false">IF($A8="","",WEEKNUM($A8,1))</f>
        <v/>
      </c>
      <c r="H8" s="16" t="str">
        <f aca="false">IF($A8="","",YEAR($A8))</f>
        <v/>
      </c>
    </row>
    <row r="9" customFormat="false" ht="15" hidden="false" customHeight="false" outlineLevel="0" collapsed="false">
      <c r="A9" s="30"/>
      <c r="B9" s="15"/>
      <c r="C9" s="15"/>
      <c r="D9" s="15"/>
      <c r="E9" s="15"/>
      <c r="F9" s="15"/>
      <c r="G9" s="16" t="str">
        <f aca="false">IF($A9="","",WEEKNUM($A9,1))</f>
        <v/>
      </c>
      <c r="H9" s="16" t="str">
        <f aca="false">IF($A9="","",YEAR($A9))</f>
        <v/>
      </c>
    </row>
    <row r="10" customFormat="false" ht="15" hidden="false" customHeight="false" outlineLevel="0" collapsed="false">
      <c r="A10" s="30"/>
      <c r="B10" s="15"/>
      <c r="C10" s="15"/>
      <c r="D10" s="15"/>
      <c r="E10" s="15"/>
      <c r="F10" s="15"/>
      <c r="G10" s="16" t="str">
        <f aca="false">IF($A10="","",WEEKNUM($A10,1))</f>
        <v/>
      </c>
      <c r="H10" s="16" t="str">
        <f aca="false">IF($A10="","",YEAR($A10))</f>
        <v/>
      </c>
    </row>
    <row r="11" customFormat="false" ht="15" hidden="false" customHeight="false" outlineLevel="0" collapsed="false">
      <c r="A11" s="30"/>
      <c r="B11" s="15"/>
      <c r="C11" s="15"/>
      <c r="D11" s="15"/>
      <c r="E11" s="15"/>
      <c r="F11" s="15"/>
      <c r="G11" s="16" t="str">
        <f aca="false">IF($A11="","",WEEKNUM($A11,1))</f>
        <v/>
      </c>
      <c r="H11" s="16" t="str">
        <f aca="false">IF($A11="","",YEAR($A11))</f>
        <v/>
      </c>
    </row>
    <row r="12" customFormat="false" ht="15" hidden="false" customHeight="false" outlineLevel="0" collapsed="false">
      <c r="A12" s="30"/>
      <c r="B12" s="15"/>
      <c r="C12" s="15"/>
      <c r="D12" s="15"/>
      <c r="E12" s="15"/>
      <c r="F12" s="15"/>
      <c r="G12" s="16" t="str">
        <f aca="false">IF($A12="","",WEEKNUM($A12,1))</f>
        <v/>
      </c>
      <c r="H12" s="16" t="str">
        <f aca="false">IF($A12="","",YEAR($A12))</f>
        <v/>
      </c>
    </row>
    <row r="13" customFormat="false" ht="15" hidden="false" customHeight="false" outlineLevel="0" collapsed="false">
      <c r="A13" s="30"/>
      <c r="B13" s="15"/>
      <c r="C13" s="15"/>
      <c r="D13" s="15"/>
      <c r="E13" s="15"/>
      <c r="F13" s="15"/>
      <c r="G13" s="16" t="str">
        <f aca="false">IF($A13="","",WEEKNUM($A13,1))</f>
        <v/>
      </c>
      <c r="H13" s="16" t="str">
        <f aca="false">IF($A13="","",YEAR($A13))</f>
        <v/>
      </c>
    </row>
    <row r="14" customFormat="false" ht="15" hidden="false" customHeight="false" outlineLevel="0" collapsed="false">
      <c r="A14" s="30"/>
      <c r="B14" s="15"/>
      <c r="C14" s="15"/>
      <c r="D14" s="15"/>
      <c r="E14" s="15"/>
      <c r="F14" s="15"/>
      <c r="G14" s="16" t="str">
        <f aca="false">IF($A14="","",WEEKNUM($A14,1))</f>
        <v/>
      </c>
      <c r="H14" s="16" t="str">
        <f aca="false">IF($A14="","",YEAR($A14))</f>
        <v/>
      </c>
    </row>
    <row r="15" customFormat="false" ht="15" hidden="false" customHeight="false" outlineLevel="0" collapsed="false">
      <c r="A15" s="30"/>
      <c r="B15" s="15"/>
      <c r="C15" s="15"/>
      <c r="D15" s="15"/>
      <c r="E15" s="15"/>
      <c r="F15" s="15"/>
      <c r="G15" s="16" t="str">
        <f aca="false">IF($A15="","",WEEKNUM($A15,1))</f>
        <v/>
      </c>
      <c r="H15" s="16" t="str">
        <f aca="false">IF($A15="","",YEAR($A15))</f>
        <v/>
      </c>
    </row>
    <row r="16" customFormat="false" ht="15" hidden="false" customHeight="false" outlineLevel="0" collapsed="false">
      <c r="A16" s="30"/>
      <c r="B16" s="15"/>
      <c r="C16" s="15"/>
      <c r="D16" s="15"/>
      <c r="E16" s="15"/>
      <c r="F16" s="15"/>
      <c r="G16" s="16" t="str">
        <f aca="false">IF($A16="","",WEEKNUM($A16,1))</f>
        <v/>
      </c>
      <c r="H16" s="16" t="str">
        <f aca="false">IF($A16="","",YEAR($A16))</f>
        <v/>
      </c>
    </row>
    <row r="17" customFormat="false" ht="15" hidden="false" customHeight="false" outlineLevel="0" collapsed="false">
      <c r="A17" s="30"/>
      <c r="B17" s="15"/>
      <c r="C17" s="15"/>
      <c r="D17" s="15"/>
      <c r="E17" s="15"/>
      <c r="F17" s="15"/>
      <c r="G17" s="16" t="str">
        <f aca="false">IF($A17="","",WEEKNUM($A17,1))</f>
        <v/>
      </c>
      <c r="H17" s="16" t="str">
        <f aca="false">IF($A17="","",YEAR($A17))</f>
        <v/>
      </c>
    </row>
    <row r="18" customFormat="false" ht="15" hidden="false" customHeight="false" outlineLevel="0" collapsed="false">
      <c r="A18" s="30"/>
      <c r="B18" s="15"/>
      <c r="C18" s="15"/>
      <c r="D18" s="15"/>
      <c r="E18" s="15"/>
      <c r="F18" s="15"/>
      <c r="G18" s="16" t="str">
        <f aca="false">IF($A18="","",WEEKNUM($A18,1))</f>
        <v/>
      </c>
      <c r="H18" s="16" t="str">
        <f aca="false">IF($A18="","",YEAR($A18))</f>
        <v/>
      </c>
    </row>
    <row r="19" customFormat="false" ht="15" hidden="false" customHeight="false" outlineLevel="0" collapsed="false">
      <c r="A19" s="30"/>
      <c r="B19" s="15"/>
      <c r="C19" s="15"/>
      <c r="D19" s="15"/>
      <c r="E19" s="15"/>
      <c r="F19" s="15"/>
      <c r="G19" s="16" t="str">
        <f aca="false">IF($A19="","",WEEKNUM($A19,1))</f>
        <v/>
      </c>
      <c r="H19" s="16" t="str">
        <f aca="false">IF($A19="","",YEAR($A19))</f>
        <v/>
      </c>
    </row>
    <row r="20" customFormat="false" ht="15" hidden="false" customHeight="false" outlineLevel="0" collapsed="false">
      <c r="A20" s="30"/>
      <c r="B20" s="15"/>
      <c r="C20" s="15"/>
      <c r="D20" s="15"/>
      <c r="E20" s="15"/>
      <c r="F20" s="15"/>
      <c r="G20" s="16" t="str">
        <f aca="false">IF($A20="","",WEEKNUM($A20,1))</f>
        <v/>
      </c>
      <c r="H20" s="16" t="str">
        <f aca="false">IF($A20="","",YEAR($A20))</f>
        <v/>
      </c>
    </row>
    <row r="21" customFormat="false" ht="15" hidden="false" customHeight="false" outlineLevel="0" collapsed="false">
      <c r="A21" s="30"/>
      <c r="B21" s="15"/>
      <c r="C21" s="15"/>
      <c r="D21" s="15"/>
      <c r="E21" s="15"/>
      <c r="F21" s="15"/>
      <c r="G21" s="16" t="str">
        <f aca="false">IF($A21="","",WEEKNUM($A21,1))</f>
        <v/>
      </c>
      <c r="H21" s="16" t="str">
        <f aca="false">IF($A21="","",YEAR($A21))</f>
        <v/>
      </c>
    </row>
    <row r="22" customFormat="false" ht="15" hidden="false" customHeight="false" outlineLevel="0" collapsed="false">
      <c r="A22" s="30"/>
      <c r="B22" s="15"/>
      <c r="C22" s="15"/>
      <c r="D22" s="15"/>
      <c r="E22" s="15"/>
      <c r="F22" s="15"/>
      <c r="G22" s="16" t="str">
        <f aca="false">IF($A22="","",WEEKNUM($A22,1))</f>
        <v/>
      </c>
      <c r="H22" s="16" t="str">
        <f aca="false">IF($A22="","",YEAR($A22))</f>
        <v/>
      </c>
    </row>
    <row r="23" customFormat="false" ht="15" hidden="false" customHeight="false" outlineLevel="0" collapsed="false">
      <c r="A23" s="30"/>
      <c r="B23" s="15"/>
      <c r="C23" s="15"/>
      <c r="D23" s="15"/>
      <c r="E23" s="15"/>
      <c r="F23" s="15"/>
      <c r="G23" s="16" t="str">
        <f aca="false">IF($A23="","",WEEKNUM($A23,1))</f>
        <v/>
      </c>
      <c r="H23" s="16" t="str">
        <f aca="false">IF($A23="","",YEAR($A23))</f>
        <v/>
      </c>
    </row>
    <row r="24" customFormat="false" ht="15" hidden="false" customHeight="false" outlineLevel="0" collapsed="false">
      <c r="A24" s="30"/>
      <c r="B24" s="15"/>
      <c r="C24" s="15"/>
      <c r="D24" s="15"/>
      <c r="E24" s="15"/>
      <c r="F24" s="15"/>
      <c r="G24" s="16" t="str">
        <f aca="false">IF($A24="","",WEEKNUM($A24,1))</f>
        <v/>
      </c>
      <c r="H24" s="16" t="str">
        <f aca="false">IF($A24="","",YEAR($A24))</f>
        <v/>
      </c>
    </row>
    <row r="25" customFormat="false" ht="15" hidden="false" customHeight="false" outlineLevel="0" collapsed="false">
      <c r="A25" s="30"/>
      <c r="B25" s="15"/>
      <c r="C25" s="15"/>
      <c r="D25" s="15"/>
      <c r="E25" s="15"/>
      <c r="F25" s="15"/>
      <c r="G25" s="16" t="str">
        <f aca="false">IF($A25="","",WEEKNUM($A25,1))</f>
        <v/>
      </c>
      <c r="H25" s="16" t="str">
        <f aca="false">IF($A25="","",YEAR($A25))</f>
        <v/>
      </c>
    </row>
    <row r="26" customFormat="false" ht="15" hidden="false" customHeight="false" outlineLevel="0" collapsed="false">
      <c r="A26" s="30"/>
      <c r="B26" s="15"/>
      <c r="C26" s="15"/>
      <c r="D26" s="15"/>
      <c r="E26" s="15"/>
      <c r="F26" s="15"/>
      <c r="G26" s="16" t="str">
        <f aca="false">IF($A26="","",WEEKNUM($A26,1))</f>
        <v/>
      </c>
      <c r="H26" s="16" t="str">
        <f aca="false">IF($A26="","",YEAR($A26))</f>
        <v/>
      </c>
    </row>
    <row r="27" customFormat="false" ht="15" hidden="false" customHeight="false" outlineLevel="0" collapsed="false">
      <c r="A27" s="30"/>
      <c r="B27" s="15"/>
      <c r="C27" s="15"/>
      <c r="D27" s="15"/>
      <c r="E27" s="15"/>
      <c r="F27" s="15"/>
      <c r="G27" s="16" t="str">
        <f aca="false">IF($A27="","",WEEKNUM($A27,1))</f>
        <v/>
      </c>
      <c r="H27" s="16" t="str">
        <f aca="false">IF($A27="","",YEAR($A27))</f>
        <v/>
      </c>
    </row>
    <row r="28" customFormat="false" ht="15" hidden="false" customHeight="false" outlineLevel="0" collapsed="false">
      <c r="A28" s="30"/>
      <c r="B28" s="15"/>
      <c r="C28" s="15"/>
      <c r="D28" s="15"/>
      <c r="E28" s="15"/>
      <c r="F28" s="15"/>
      <c r="G28" s="16" t="str">
        <f aca="false">IF($A28="","",WEEKNUM($A28,1))</f>
        <v/>
      </c>
      <c r="H28" s="16" t="str">
        <f aca="false">IF($A28="","",YEAR($A28))</f>
        <v/>
      </c>
    </row>
    <row r="29" customFormat="false" ht="15" hidden="false" customHeight="false" outlineLevel="0" collapsed="false">
      <c r="A29" s="30"/>
      <c r="B29" s="15"/>
      <c r="C29" s="15"/>
      <c r="D29" s="15"/>
      <c r="E29" s="15"/>
      <c r="F29" s="15"/>
      <c r="G29" s="16" t="str">
        <f aca="false">IF($A29="","",WEEKNUM($A29,1))</f>
        <v/>
      </c>
      <c r="H29" s="16" t="str">
        <f aca="false">IF($A29="","",YEAR($A29))</f>
        <v/>
      </c>
    </row>
    <row r="30" customFormat="false" ht="15" hidden="false" customHeight="false" outlineLevel="0" collapsed="false">
      <c r="A30" s="30"/>
      <c r="B30" s="15"/>
      <c r="C30" s="15"/>
      <c r="D30" s="15"/>
      <c r="E30" s="15"/>
      <c r="F30" s="15"/>
      <c r="G30" s="16" t="str">
        <f aca="false">IF($A30="","",WEEKNUM($A30,1))</f>
        <v/>
      </c>
      <c r="H30" s="16" t="str">
        <f aca="false">IF($A30="","",YEAR($A30))</f>
        <v/>
      </c>
    </row>
    <row r="31" customFormat="false" ht="15" hidden="false" customHeight="false" outlineLevel="0" collapsed="false">
      <c r="A31" s="30"/>
      <c r="B31" s="15"/>
      <c r="C31" s="15"/>
      <c r="D31" s="15"/>
      <c r="E31" s="15"/>
      <c r="F31" s="15"/>
      <c r="G31" s="16" t="str">
        <f aca="false">IF($A31="","",WEEKNUM($A31,1))</f>
        <v/>
      </c>
      <c r="H31" s="16" t="str">
        <f aca="false">IF($A31="","",YEAR($A31))</f>
        <v/>
      </c>
    </row>
    <row r="32" customFormat="false" ht="15" hidden="false" customHeight="false" outlineLevel="0" collapsed="false">
      <c r="A32" s="30"/>
      <c r="B32" s="15"/>
      <c r="C32" s="15"/>
      <c r="D32" s="15"/>
      <c r="E32" s="15"/>
      <c r="F32" s="15"/>
      <c r="G32" s="16" t="str">
        <f aca="false">IF($A32="","",WEEKNUM($A32,1))</f>
        <v/>
      </c>
      <c r="H32" s="16" t="str">
        <f aca="false">IF($A32="","",YEAR($A32))</f>
        <v/>
      </c>
    </row>
    <row r="33" customFormat="false" ht="15" hidden="false" customHeight="false" outlineLevel="0" collapsed="false">
      <c r="A33" s="30"/>
      <c r="B33" s="15"/>
      <c r="C33" s="15"/>
      <c r="D33" s="15"/>
      <c r="E33" s="15"/>
      <c r="F33" s="15"/>
      <c r="G33" s="16" t="str">
        <f aca="false">IF($A33="","",WEEKNUM($A33,1))</f>
        <v/>
      </c>
      <c r="H33" s="16" t="str">
        <f aca="false">IF($A33="","",YEAR($A33))</f>
        <v/>
      </c>
    </row>
    <row r="34" customFormat="false" ht="15" hidden="false" customHeight="false" outlineLevel="0" collapsed="false">
      <c r="A34" s="30"/>
      <c r="B34" s="15"/>
      <c r="C34" s="15"/>
      <c r="D34" s="15"/>
      <c r="E34" s="15"/>
      <c r="F34" s="15"/>
      <c r="G34" s="16" t="str">
        <f aca="false">IF($A34="","",WEEKNUM($A34,1))</f>
        <v/>
      </c>
      <c r="H34" s="16" t="str">
        <f aca="false">IF($A34="","",YEAR($A34))</f>
        <v/>
      </c>
    </row>
    <row r="35" customFormat="false" ht="15" hidden="false" customHeight="false" outlineLevel="0" collapsed="false">
      <c r="A35" s="30"/>
      <c r="B35" s="15"/>
      <c r="C35" s="15"/>
      <c r="D35" s="15"/>
      <c r="E35" s="15"/>
      <c r="F35" s="15"/>
      <c r="G35" s="16" t="str">
        <f aca="false">IF($A35="","",WEEKNUM($A35,1))</f>
        <v/>
      </c>
      <c r="H35" s="16" t="str">
        <f aca="false">IF($A35="","",YEAR($A35))</f>
        <v/>
      </c>
    </row>
    <row r="36" customFormat="false" ht="15" hidden="false" customHeight="false" outlineLevel="0" collapsed="false">
      <c r="A36" s="30"/>
      <c r="B36" s="15"/>
      <c r="C36" s="15"/>
      <c r="D36" s="15"/>
      <c r="E36" s="15"/>
      <c r="F36" s="15"/>
      <c r="G36" s="16" t="str">
        <f aca="false">IF($A36="","",WEEKNUM($A36,1))</f>
        <v/>
      </c>
      <c r="H36" s="16" t="str">
        <f aca="false">IF($A36="","",YEAR($A36))</f>
        <v/>
      </c>
    </row>
    <row r="37" customFormat="false" ht="15" hidden="false" customHeight="false" outlineLevel="0" collapsed="false">
      <c r="A37" s="30"/>
      <c r="B37" s="15"/>
      <c r="C37" s="15"/>
      <c r="D37" s="15"/>
      <c r="E37" s="15"/>
      <c r="F37" s="15"/>
      <c r="G37" s="16" t="str">
        <f aca="false">IF($A37="","",WEEKNUM($A37,1))</f>
        <v/>
      </c>
      <c r="H37" s="16" t="str">
        <f aca="false">IF($A37="","",YEAR($A37))</f>
        <v/>
      </c>
    </row>
    <row r="38" customFormat="false" ht="15" hidden="false" customHeight="false" outlineLevel="0" collapsed="false">
      <c r="A38" s="30"/>
      <c r="B38" s="15"/>
      <c r="C38" s="15"/>
      <c r="D38" s="15"/>
      <c r="E38" s="15"/>
      <c r="F38" s="15"/>
      <c r="G38" s="16" t="str">
        <f aca="false">IF($A38="","",WEEKNUM($A38,1))</f>
        <v/>
      </c>
      <c r="H38" s="16" t="str">
        <f aca="false">IF($A38="","",YEAR($A38))</f>
        <v/>
      </c>
    </row>
    <row r="39" customFormat="false" ht="15" hidden="false" customHeight="false" outlineLevel="0" collapsed="false">
      <c r="A39" s="30"/>
      <c r="B39" s="15"/>
      <c r="C39" s="15"/>
      <c r="D39" s="15"/>
      <c r="E39" s="15"/>
      <c r="F39" s="15"/>
      <c r="G39" s="16" t="str">
        <f aca="false">IF($A39="","",WEEKNUM($A39,1))</f>
        <v/>
      </c>
      <c r="H39" s="16" t="str">
        <f aca="false">IF($A39="","",YEAR($A39))</f>
        <v/>
      </c>
    </row>
    <row r="40" customFormat="false" ht="15" hidden="false" customHeight="false" outlineLevel="0" collapsed="false">
      <c r="A40" s="30"/>
      <c r="B40" s="15"/>
      <c r="C40" s="15"/>
      <c r="D40" s="15"/>
      <c r="E40" s="15"/>
      <c r="F40" s="15"/>
      <c r="G40" s="16" t="str">
        <f aca="false">IF($A40="","",WEEKNUM($A40,1))</f>
        <v/>
      </c>
      <c r="H40" s="16" t="str">
        <f aca="false">IF($A40="","",YEAR($A40))</f>
        <v/>
      </c>
    </row>
    <row r="41" customFormat="false" ht="15" hidden="false" customHeight="false" outlineLevel="0" collapsed="false">
      <c r="A41" s="30"/>
      <c r="B41" s="15"/>
      <c r="C41" s="15"/>
      <c r="D41" s="15"/>
      <c r="E41" s="15"/>
      <c r="F41" s="15"/>
      <c r="G41" s="16" t="str">
        <f aca="false">IF($A41="","",WEEKNUM($A41,1))</f>
        <v/>
      </c>
      <c r="H41" s="16" t="str">
        <f aca="false">IF($A41="","",YEAR($A41))</f>
        <v/>
      </c>
    </row>
    <row r="42" customFormat="false" ht="15" hidden="false" customHeight="false" outlineLevel="0" collapsed="false">
      <c r="A42" s="30"/>
      <c r="B42" s="15"/>
      <c r="C42" s="15"/>
      <c r="D42" s="15"/>
      <c r="E42" s="15"/>
      <c r="F42" s="15"/>
      <c r="G42" s="16" t="str">
        <f aca="false">IF($A42="","",WEEKNUM($A42,1))</f>
        <v/>
      </c>
      <c r="H42" s="16" t="str">
        <f aca="false">IF($A42="","",YEAR($A42))</f>
        <v/>
      </c>
    </row>
    <row r="43" customFormat="false" ht="15" hidden="false" customHeight="false" outlineLevel="0" collapsed="false">
      <c r="A43" s="30"/>
      <c r="B43" s="15"/>
      <c r="C43" s="15"/>
      <c r="D43" s="15"/>
      <c r="E43" s="15"/>
      <c r="F43" s="15"/>
      <c r="G43" s="16" t="str">
        <f aca="false">IF($A43="","",WEEKNUM($A43,1))</f>
        <v/>
      </c>
      <c r="H43" s="16" t="str">
        <f aca="false">IF($A43="","",YEAR($A43))</f>
        <v/>
      </c>
    </row>
    <row r="44" customFormat="false" ht="15" hidden="false" customHeight="false" outlineLevel="0" collapsed="false">
      <c r="A44" s="30"/>
      <c r="B44" s="15"/>
      <c r="C44" s="15"/>
      <c r="D44" s="15"/>
      <c r="E44" s="15"/>
      <c r="F44" s="15"/>
      <c r="G44" s="16" t="str">
        <f aca="false">IF($A44="","",WEEKNUM($A44,1))</f>
        <v/>
      </c>
      <c r="H44" s="16" t="str">
        <f aca="false">IF($A44="","",YEAR($A44))</f>
        <v/>
      </c>
    </row>
    <row r="45" customFormat="false" ht="15" hidden="false" customHeight="false" outlineLevel="0" collapsed="false">
      <c r="A45" s="30"/>
      <c r="B45" s="15"/>
      <c r="C45" s="15"/>
      <c r="D45" s="15"/>
      <c r="E45" s="15"/>
      <c r="F45" s="15"/>
      <c r="G45" s="16" t="str">
        <f aca="false">IF($A45="","",WEEKNUM($A45,1))</f>
        <v/>
      </c>
      <c r="H45" s="16" t="str">
        <f aca="false">IF($A45="","",YEAR($A45))</f>
        <v/>
      </c>
    </row>
    <row r="46" customFormat="false" ht="15" hidden="false" customHeight="false" outlineLevel="0" collapsed="false">
      <c r="A46" s="30"/>
      <c r="B46" s="15"/>
      <c r="C46" s="15"/>
      <c r="D46" s="15"/>
      <c r="E46" s="15"/>
      <c r="F46" s="15"/>
      <c r="G46" s="16" t="str">
        <f aca="false">IF($A46="","",WEEKNUM($A46,1))</f>
        <v/>
      </c>
      <c r="H46" s="16" t="str">
        <f aca="false">IF($A46="","",YEAR($A46))</f>
        <v/>
      </c>
    </row>
    <row r="47" customFormat="false" ht="15" hidden="false" customHeight="false" outlineLevel="0" collapsed="false">
      <c r="A47" s="30"/>
      <c r="B47" s="15"/>
      <c r="C47" s="15"/>
      <c r="D47" s="15"/>
      <c r="E47" s="15"/>
      <c r="F47" s="15"/>
      <c r="G47" s="16" t="str">
        <f aca="false">IF($A47="","",WEEKNUM($A47,1))</f>
        <v/>
      </c>
      <c r="H47" s="16" t="str">
        <f aca="false">IF($A47="","",YEAR($A47))</f>
        <v/>
      </c>
    </row>
    <row r="48" customFormat="false" ht="15" hidden="false" customHeight="false" outlineLevel="0" collapsed="false">
      <c r="A48" s="30"/>
      <c r="B48" s="15"/>
      <c r="C48" s="15"/>
      <c r="D48" s="15"/>
      <c r="E48" s="15"/>
      <c r="F48" s="15"/>
      <c r="G48" s="16" t="str">
        <f aca="false">IF($A48="","",WEEKNUM($A48,1))</f>
        <v/>
      </c>
      <c r="H48" s="16" t="str">
        <f aca="false">IF($A48="","",YEAR($A48))</f>
        <v/>
      </c>
    </row>
    <row r="49" customFormat="false" ht="15" hidden="false" customHeight="false" outlineLevel="0" collapsed="false">
      <c r="A49" s="30"/>
      <c r="B49" s="15"/>
      <c r="C49" s="15"/>
      <c r="D49" s="15"/>
      <c r="E49" s="15"/>
      <c r="F49" s="15"/>
      <c r="G49" s="16" t="str">
        <f aca="false">IF($A49="","",WEEKNUM($A49,1))</f>
        <v/>
      </c>
      <c r="H49" s="16" t="str">
        <f aca="false">IF($A49="","",YEAR($A49))</f>
        <v/>
      </c>
    </row>
    <row r="50" customFormat="false" ht="15" hidden="false" customHeight="false" outlineLevel="0" collapsed="false">
      <c r="A50" s="30"/>
      <c r="B50" s="15"/>
      <c r="C50" s="15"/>
      <c r="D50" s="15"/>
      <c r="E50" s="15"/>
      <c r="F50" s="15"/>
      <c r="G50" s="16" t="str">
        <f aca="false">IF($A50="","",WEEKNUM($A50,1))</f>
        <v/>
      </c>
      <c r="H50" s="16" t="str">
        <f aca="false">IF($A50="","",YEAR($A50))</f>
        <v/>
      </c>
    </row>
    <row r="51" customFormat="false" ht="15" hidden="false" customHeight="false" outlineLevel="0" collapsed="false">
      <c r="A51" s="30"/>
      <c r="B51" s="15"/>
      <c r="C51" s="15"/>
      <c r="D51" s="15"/>
      <c r="E51" s="15"/>
      <c r="F51" s="15"/>
      <c r="G51" s="16" t="str">
        <f aca="false">IF($A51="","",WEEKNUM($A51,1))</f>
        <v/>
      </c>
      <c r="H51" s="16" t="str">
        <f aca="false">IF($A51="","",YEAR($A51))</f>
        <v/>
      </c>
    </row>
    <row r="52" customFormat="false" ht="15" hidden="false" customHeight="false" outlineLevel="0" collapsed="false">
      <c r="A52" s="30"/>
      <c r="B52" s="15"/>
      <c r="C52" s="15"/>
      <c r="D52" s="15"/>
      <c r="E52" s="15"/>
      <c r="F52" s="15"/>
      <c r="G52" s="16" t="str">
        <f aca="false">IF($A52="","",WEEKNUM($A52,1))</f>
        <v/>
      </c>
      <c r="H52" s="16" t="str">
        <f aca="false">IF($A52="","",YEAR($A52))</f>
        <v/>
      </c>
    </row>
    <row r="53" customFormat="false" ht="15" hidden="false" customHeight="false" outlineLevel="0" collapsed="false">
      <c r="A53" s="30"/>
      <c r="B53" s="15"/>
      <c r="C53" s="15"/>
      <c r="D53" s="15"/>
      <c r="E53" s="15"/>
      <c r="F53" s="15"/>
      <c r="G53" s="16" t="str">
        <f aca="false">IF($A53="","",WEEKNUM($A53,1))</f>
        <v/>
      </c>
      <c r="H53" s="16" t="str">
        <f aca="false">IF($A53="","",YEAR($A53))</f>
        <v/>
      </c>
    </row>
    <row r="54" customFormat="false" ht="15" hidden="false" customHeight="false" outlineLevel="0" collapsed="false">
      <c r="A54" s="30"/>
      <c r="B54" s="15"/>
      <c r="C54" s="15"/>
      <c r="D54" s="15"/>
      <c r="E54" s="15"/>
      <c r="F54" s="15"/>
      <c r="G54" s="16" t="str">
        <f aca="false">IF($A54="","",WEEKNUM($A54,1))</f>
        <v/>
      </c>
      <c r="H54" s="16" t="str">
        <f aca="false">IF($A54="","",YEAR($A54))</f>
        <v/>
      </c>
    </row>
    <row r="55" customFormat="false" ht="15" hidden="false" customHeight="false" outlineLevel="0" collapsed="false">
      <c r="A55" s="30"/>
      <c r="B55" s="15"/>
      <c r="C55" s="15"/>
      <c r="D55" s="15"/>
      <c r="E55" s="15"/>
      <c r="F55" s="15"/>
      <c r="G55" s="16" t="str">
        <f aca="false">IF($A55="","",WEEKNUM($A55,1))</f>
        <v/>
      </c>
      <c r="H55" s="16" t="str">
        <f aca="false">IF($A55="","",YEAR($A55))</f>
        <v/>
      </c>
    </row>
    <row r="56" customFormat="false" ht="15" hidden="false" customHeight="false" outlineLevel="0" collapsed="false">
      <c r="A56" s="30"/>
      <c r="B56" s="15"/>
      <c r="C56" s="15"/>
      <c r="D56" s="15"/>
      <c r="E56" s="15"/>
      <c r="F56" s="15"/>
      <c r="G56" s="16" t="str">
        <f aca="false">IF($A56="","",WEEKNUM($A56,1))</f>
        <v/>
      </c>
      <c r="H56" s="16" t="str">
        <f aca="false">IF($A56="","",YEAR($A56))</f>
        <v/>
      </c>
    </row>
    <row r="57" customFormat="false" ht="15" hidden="false" customHeight="false" outlineLevel="0" collapsed="false">
      <c r="A57" s="30"/>
      <c r="B57" s="15"/>
      <c r="C57" s="15"/>
      <c r="D57" s="15"/>
      <c r="E57" s="15"/>
      <c r="F57" s="15"/>
      <c r="G57" s="16" t="str">
        <f aca="false">IF($A57="","",WEEKNUM($A57,1))</f>
        <v/>
      </c>
      <c r="H57" s="16" t="str">
        <f aca="false">IF($A57="","",YEAR($A57))</f>
        <v/>
      </c>
    </row>
    <row r="58" customFormat="false" ht="15" hidden="false" customHeight="false" outlineLevel="0" collapsed="false">
      <c r="A58" s="30"/>
      <c r="B58" s="15"/>
      <c r="C58" s="15"/>
      <c r="D58" s="15"/>
      <c r="E58" s="15"/>
      <c r="F58" s="15"/>
      <c r="G58" s="16" t="str">
        <f aca="false">IF($A58="","",WEEKNUM($A58,1))</f>
        <v/>
      </c>
      <c r="H58" s="16" t="str">
        <f aca="false">IF($A58="","",YEAR($A58))</f>
        <v/>
      </c>
    </row>
    <row r="59" customFormat="false" ht="15" hidden="false" customHeight="false" outlineLevel="0" collapsed="false">
      <c r="A59" s="30"/>
      <c r="B59" s="15"/>
      <c r="C59" s="15"/>
      <c r="D59" s="15"/>
      <c r="E59" s="15"/>
      <c r="F59" s="15"/>
      <c r="G59" s="16" t="str">
        <f aca="false">IF($A59="","",WEEKNUM($A59,1))</f>
        <v/>
      </c>
      <c r="H59" s="16" t="str">
        <f aca="false">IF($A59="","",YEAR($A59))</f>
        <v/>
      </c>
    </row>
    <row r="60" customFormat="false" ht="15" hidden="false" customHeight="false" outlineLevel="0" collapsed="false">
      <c r="A60" s="30"/>
      <c r="B60" s="15"/>
      <c r="C60" s="15"/>
      <c r="D60" s="15"/>
      <c r="E60" s="15"/>
      <c r="F60" s="15"/>
      <c r="G60" s="16" t="str">
        <f aca="false">IF($A60="","",WEEKNUM($A60,1))</f>
        <v/>
      </c>
      <c r="H60" s="16" t="str">
        <f aca="false">IF($A60="","",YEAR($A60))</f>
        <v/>
      </c>
    </row>
    <row r="61" customFormat="false" ht="15" hidden="false" customHeight="false" outlineLevel="0" collapsed="false">
      <c r="A61" s="30"/>
      <c r="B61" s="15"/>
      <c r="C61" s="15"/>
      <c r="D61" s="15"/>
      <c r="E61" s="15"/>
      <c r="F61" s="15"/>
      <c r="G61" s="16" t="str">
        <f aca="false">IF($A61="","",WEEKNUM($A61,1))</f>
        <v/>
      </c>
      <c r="H61" s="16" t="str">
        <f aca="false">IF($A61="","",YEAR($A61))</f>
        <v/>
      </c>
    </row>
    <row r="62" customFormat="false" ht="15" hidden="false" customHeight="false" outlineLevel="0" collapsed="false">
      <c r="A62" s="30"/>
      <c r="B62" s="15"/>
      <c r="C62" s="15"/>
      <c r="D62" s="15"/>
      <c r="E62" s="15"/>
      <c r="F62" s="15"/>
      <c r="G62" s="16" t="str">
        <f aca="false">IF($A62="","",WEEKNUM($A62,1))</f>
        <v/>
      </c>
      <c r="H62" s="16" t="str">
        <f aca="false">IF($A62="","",YEAR($A62))</f>
        <v/>
      </c>
    </row>
    <row r="63" customFormat="false" ht="15" hidden="false" customHeight="false" outlineLevel="0" collapsed="false">
      <c r="A63" s="30"/>
      <c r="B63" s="15"/>
      <c r="C63" s="15"/>
      <c r="D63" s="15"/>
      <c r="E63" s="15"/>
      <c r="F63" s="15"/>
      <c r="G63" s="16" t="str">
        <f aca="false">IF($A63="","",WEEKNUM($A63,1))</f>
        <v/>
      </c>
      <c r="H63" s="16" t="str">
        <f aca="false">IF($A63="","",YEAR($A63))</f>
        <v/>
      </c>
    </row>
    <row r="64" customFormat="false" ht="15" hidden="false" customHeight="false" outlineLevel="0" collapsed="false">
      <c r="A64" s="30"/>
      <c r="B64" s="15"/>
      <c r="C64" s="15"/>
      <c r="D64" s="15"/>
      <c r="E64" s="15"/>
      <c r="F64" s="15"/>
      <c r="G64" s="16" t="str">
        <f aca="false">IF($A64="","",WEEKNUM($A64,1))</f>
        <v/>
      </c>
      <c r="H64" s="16" t="str">
        <f aca="false">IF($A64="","",YEAR($A64))</f>
        <v/>
      </c>
    </row>
    <row r="65" customFormat="false" ht="15" hidden="false" customHeight="false" outlineLevel="0" collapsed="false">
      <c r="A65" s="30"/>
      <c r="B65" s="15"/>
      <c r="C65" s="15"/>
      <c r="D65" s="15"/>
      <c r="E65" s="15"/>
      <c r="F65" s="15"/>
      <c r="G65" s="16" t="str">
        <f aca="false">IF($A65="","",WEEKNUM($A65,1))</f>
        <v/>
      </c>
      <c r="H65" s="16" t="str">
        <f aca="false">IF($A65="","",YEAR($A65))</f>
        <v/>
      </c>
    </row>
    <row r="66" customFormat="false" ht="15" hidden="false" customHeight="false" outlineLevel="0" collapsed="false">
      <c r="A66" s="30"/>
      <c r="B66" s="15"/>
      <c r="C66" s="15"/>
      <c r="D66" s="15"/>
      <c r="E66" s="15"/>
      <c r="F66" s="15"/>
      <c r="G66" s="16" t="str">
        <f aca="false">IF($A66="","",WEEKNUM($A66,1))</f>
        <v/>
      </c>
      <c r="H66" s="16" t="str">
        <f aca="false">IF($A66="","",YEAR($A66))</f>
        <v/>
      </c>
    </row>
    <row r="67" customFormat="false" ht="15" hidden="false" customHeight="false" outlineLevel="0" collapsed="false">
      <c r="A67" s="30"/>
      <c r="B67" s="15"/>
      <c r="C67" s="15"/>
      <c r="D67" s="15"/>
      <c r="E67" s="15"/>
      <c r="F67" s="15"/>
      <c r="G67" s="16" t="str">
        <f aca="false">IF($A67="","",WEEKNUM($A67,1))</f>
        <v/>
      </c>
      <c r="H67" s="16" t="str">
        <f aca="false">IF($A67="","",YEAR($A67))</f>
        <v/>
      </c>
    </row>
    <row r="68" customFormat="false" ht="15" hidden="false" customHeight="false" outlineLevel="0" collapsed="false">
      <c r="A68" s="30"/>
      <c r="B68" s="15"/>
      <c r="C68" s="15"/>
      <c r="D68" s="15"/>
      <c r="E68" s="15"/>
      <c r="F68" s="15"/>
      <c r="G68" s="16" t="str">
        <f aca="false">IF($A68="","",WEEKNUM($A68,1))</f>
        <v/>
      </c>
      <c r="H68" s="16" t="str">
        <f aca="false">IF($A68="","",YEAR($A68))</f>
        <v/>
      </c>
    </row>
    <row r="69" customFormat="false" ht="15" hidden="false" customHeight="false" outlineLevel="0" collapsed="false">
      <c r="A69" s="30"/>
      <c r="B69" s="15"/>
      <c r="C69" s="15"/>
      <c r="D69" s="15"/>
      <c r="E69" s="15"/>
      <c r="F69" s="15"/>
      <c r="G69" s="16" t="str">
        <f aca="false">IF($A69="","",WEEKNUM($A69,1))</f>
        <v/>
      </c>
      <c r="H69" s="16" t="str">
        <f aca="false">IF($A69="","",YEAR($A69))</f>
        <v/>
      </c>
    </row>
    <row r="70" customFormat="false" ht="15" hidden="false" customHeight="false" outlineLevel="0" collapsed="false">
      <c r="A70" s="30"/>
      <c r="B70" s="15"/>
      <c r="C70" s="15"/>
      <c r="D70" s="15"/>
      <c r="E70" s="15"/>
      <c r="F70" s="15"/>
      <c r="G70" s="16" t="str">
        <f aca="false">IF($A70="","",WEEKNUM($A70,1))</f>
        <v/>
      </c>
      <c r="H70" s="16" t="str">
        <f aca="false">IF($A70="","",YEAR($A70))</f>
        <v/>
      </c>
    </row>
    <row r="71" customFormat="false" ht="15" hidden="false" customHeight="false" outlineLevel="0" collapsed="false">
      <c r="A71" s="30"/>
      <c r="B71" s="15"/>
      <c r="C71" s="15"/>
      <c r="D71" s="15"/>
      <c r="E71" s="15"/>
      <c r="F71" s="15"/>
      <c r="G71" s="16" t="str">
        <f aca="false">IF($A71="","",WEEKNUM($A71,1))</f>
        <v/>
      </c>
      <c r="H71" s="16" t="str">
        <f aca="false">IF($A71="","",YEAR($A71))</f>
        <v/>
      </c>
    </row>
    <row r="72" customFormat="false" ht="15" hidden="false" customHeight="false" outlineLevel="0" collapsed="false">
      <c r="A72" s="30"/>
      <c r="B72" s="15"/>
      <c r="C72" s="15"/>
      <c r="D72" s="15"/>
      <c r="E72" s="15"/>
      <c r="F72" s="15"/>
      <c r="G72" s="16" t="str">
        <f aca="false">IF($A72="","",WEEKNUM($A72,1))</f>
        <v/>
      </c>
      <c r="H72" s="16" t="str">
        <f aca="false">IF($A72="","",YEAR($A72))</f>
        <v/>
      </c>
    </row>
    <row r="73" customFormat="false" ht="15" hidden="false" customHeight="false" outlineLevel="0" collapsed="false">
      <c r="A73" s="30"/>
      <c r="B73" s="15"/>
      <c r="C73" s="15"/>
      <c r="D73" s="15"/>
      <c r="E73" s="15"/>
      <c r="F73" s="15"/>
      <c r="G73" s="16" t="str">
        <f aca="false">IF($A73="","",WEEKNUM($A73,1))</f>
        <v/>
      </c>
      <c r="H73" s="16" t="str">
        <f aca="false">IF($A73="","",YEAR($A73))</f>
        <v/>
      </c>
    </row>
    <row r="74" customFormat="false" ht="15" hidden="false" customHeight="false" outlineLevel="0" collapsed="false">
      <c r="A74" s="30"/>
      <c r="B74" s="15"/>
      <c r="C74" s="15"/>
      <c r="D74" s="15"/>
      <c r="E74" s="15"/>
      <c r="F74" s="15"/>
      <c r="G74" s="16" t="str">
        <f aca="false">IF($A74="","",WEEKNUM($A74,1))</f>
        <v/>
      </c>
      <c r="H74" s="16" t="str">
        <f aca="false">IF($A74="","",YEAR($A74))</f>
        <v/>
      </c>
    </row>
    <row r="75" customFormat="false" ht="15" hidden="false" customHeight="false" outlineLevel="0" collapsed="false">
      <c r="A75" s="30"/>
      <c r="B75" s="15"/>
      <c r="C75" s="15"/>
      <c r="D75" s="15"/>
      <c r="E75" s="15"/>
      <c r="F75" s="15"/>
      <c r="G75" s="16" t="str">
        <f aca="false">IF($A75="","",WEEKNUM($A75,1))</f>
        <v/>
      </c>
      <c r="H75" s="16" t="str">
        <f aca="false">IF($A75="","",YEAR($A75))</f>
        <v/>
      </c>
    </row>
    <row r="76" customFormat="false" ht="15" hidden="false" customHeight="false" outlineLevel="0" collapsed="false">
      <c r="A76" s="30"/>
      <c r="B76" s="15"/>
      <c r="C76" s="15"/>
      <c r="D76" s="15"/>
      <c r="E76" s="15"/>
      <c r="F76" s="15"/>
      <c r="G76" s="16" t="str">
        <f aca="false">IF($A76="","",WEEKNUM($A76,1))</f>
        <v/>
      </c>
      <c r="H76" s="16" t="str">
        <f aca="false">IF($A76="","",YEAR($A76))</f>
        <v/>
      </c>
    </row>
    <row r="77" customFormat="false" ht="15" hidden="false" customHeight="false" outlineLevel="0" collapsed="false">
      <c r="A77" s="30"/>
      <c r="B77" s="15"/>
      <c r="C77" s="15"/>
      <c r="D77" s="15"/>
      <c r="E77" s="15"/>
      <c r="F77" s="15"/>
      <c r="G77" s="16" t="str">
        <f aca="false">IF($A77="","",WEEKNUM($A77,1))</f>
        <v/>
      </c>
      <c r="H77" s="16" t="str">
        <f aca="false">IF($A77="","",YEAR($A77))</f>
        <v/>
      </c>
    </row>
    <row r="78" customFormat="false" ht="15" hidden="false" customHeight="false" outlineLevel="0" collapsed="false">
      <c r="A78" s="30"/>
      <c r="B78" s="15"/>
      <c r="C78" s="15"/>
      <c r="D78" s="15"/>
      <c r="E78" s="15"/>
      <c r="F78" s="15"/>
      <c r="G78" s="16" t="str">
        <f aca="false">IF($A78="","",WEEKNUM($A78,1))</f>
        <v/>
      </c>
      <c r="H78" s="16" t="str">
        <f aca="false">IF($A78="","",YEAR($A78))</f>
        <v/>
      </c>
    </row>
    <row r="79" customFormat="false" ht="15" hidden="false" customHeight="false" outlineLevel="0" collapsed="false">
      <c r="A79" s="30"/>
      <c r="B79" s="15"/>
      <c r="C79" s="15"/>
      <c r="D79" s="15"/>
      <c r="E79" s="15"/>
      <c r="F79" s="15"/>
      <c r="G79" s="16" t="str">
        <f aca="false">IF($A79="","",WEEKNUM($A79,1))</f>
        <v/>
      </c>
      <c r="H79" s="16" t="str">
        <f aca="false">IF($A79="","",YEAR($A79))</f>
        <v/>
      </c>
    </row>
    <row r="80" customFormat="false" ht="15" hidden="false" customHeight="false" outlineLevel="0" collapsed="false">
      <c r="A80" s="30"/>
      <c r="B80" s="15"/>
      <c r="C80" s="15"/>
      <c r="D80" s="15"/>
      <c r="E80" s="15"/>
      <c r="F80" s="15"/>
      <c r="G80" s="16" t="str">
        <f aca="false">IF($A80="","",WEEKNUM($A80,1))</f>
        <v/>
      </c>
      <c r="H80" s="16" t="str">
        <f aca="false">IF($A80="","",YEAR($A80))</f>
        <v/>
      </c>
    </row>
    <row r="81" customFormat="false" ht="15" hidden="false" customHeight="false" outlineLevel="0" collapsed="false">
      <c r="A81" s="30"/>
      <c r="B81" s="15"/>
      <c r="C81" s="15"/>
      <c r="D81" s="15"/>
      <c r="E81" s="15"/>
      <c r="F81" s="15"/>
      <c r="G81" s="16" t="str">
        <f aca="false">IF($A81="","",WEEKNUM($A81,1))</f>
        <v/>
      </c>
      <c r="H81" s="16" t="str">
        <f aca="false">IF($A81="","",YEAR($A81))</f>
        <v/>
      </c>
    </row>
    <row r="82" customFormat="false" ht="15" hidden="false" customHeight="false" outlineLevel="0" collapsed="false">
      <c r="A82" s="30"/>
      <c r="B82" s="15"/>
      <c r="C82" s="15"/>
      <c r="D82" s="15"/>
      <c r="E82" s="15"/>
      <c r="F82" s="15"/>
      <c r="G82" s="16" t="str">
        <f aca="false">IF($A82="","",WEEKNUM($A82,1))</f>
        <v/>
      </c>
      <c r="H82" s="16" t="str">
        <f aca="false">IF($A82="","",YEAR($A82))</f>
        <v/>
      </c>
    </row>
    <row r="83" customFormat="false" ht="15" hidden="false" customHeight="false" outlineLevel="0" collapsed="false">
      <c r="A83" s="30"/>
      <c r="B83" s="15"/>
      <c r="C83" s="15"/>
      <c r="D83" s="15"/>
      <c r="E83" s="15"/>
      <c r="F83" s="15"/>
      <c r="G83" s="16" t="str">
        <f aca="false">IF($A83="","",WEEKNUM($A83,1))</f>
        <v/>
      </c>
      <c r="H83" s="16" t="str">
        <f aca="false">IF($A83="","",YEAR($A83))</f>
        <v/>
      </c>
    </row>
    <row r="84" customFormat="false" ht="15" hidden="false" customHeight="false" outlineLevel="0" collapsed="false">
      <c r="A84" s="30"/>
      <c r="B84" s="15"/>
      <c r="C84" s="15"/>
      <c r="D84" s="15"/>
      <c r="E84" s="15"/>
      <c r="F84" s="15"/>
      <c r="G84" s="16" t="str">
        <f aca="false">IF($A84="","",WEEKNUM($A84,1))</f>
        <v/>
      </c>
      <c r="H84" s="16" t="str">
        <f aca="false">IF($A84="","",YEAR($A84))</f>
        <v/>
      </c>
    </row>
    <row r="85" customFormat="false" ht="15" hidden="false" customHeight="false" outlineLevel="0" collapsed="false">
      <c r="A85" s="30"/>
      <c r="B85" s="15"/>
      <c r="C85" s="15"/>
      <c r="D85" s="15"/>
      <c r="E85" s="15"/>
      <c r="F85" s="15"/>
      <c r="G85" s="16" t="str">
        <f aca="false">IF($A85="","",WEEKNUM($A85,1))</f>
        <v/>
      </c>
      <c r="H85" s="16" t="str">
        <f aca="false">IF($A85="","",YEAR($A85))</f>
        <v/>
      </c>
    </row>
    <row r="86" customFormat="false" ht="15" hidden="false" customHeight="false" outlineLevel="0" collapsed="false">
      <c r="A86" s="30"/>
      <c r="B86" s="15"/>
      <c r="C86" s="15"/>
      <c r="D86" s="15"/>
      <c r="E86" s="15"/>
      <c r="F86" s="15"/>
      <c r="G86" s="16" t="str">
        <f aca="false">IF($A86="","",WEEKNUM($A86,1))</f>
        <v/>
      </c>
      <c r="H86" s="16" t="str">
        <f aca="false">IF($A86="","",YEAR($A86))</f>
        <v/>
      </c>
    </row>
    <row r="87" customFormat="false" ht="15" hidden="false" customHeight="false" outlineLevel="0" collapsed="false">
      <c r="A87" s="30"/>
      <c r="B87" s="15"/>
      <c r="C87" s="15"/>
      <c r="D87" s="15"/>
      <c r="E87" s="15"/>
      <c r="F87" s="15"/>
      <c r="G87" s="16" t="str">
        <f aca="false">IF($A87="","",WEEKNUM($A87,1))</f>
        <v/>
      </c>
      <c r="H87" s="16" t="str">
        <f aca="false">IF($A87="","",YEAR($A87))</f>
        <v/>
      </c>
    </row>
    <row r="88" customFormat="false" ht="15" hidden="false" customHeight="false" outlineLevel="0" collapsed="false">
      <c r="A88" s="30"/>
      <c r="B88" s="15"/>
      <c r="C88" s="15"/>
      <c r="D88" s="15"/>
      <c r="E88" s="15"/>
      <c r="F88" s="15"/>
      <c r="G88" s="16" t="str">
        <f aca="false">IF($A88="","",WEEKNUM($A88,1))</f>
        <v/>
      </c>
      <c r="H88" s="16" t="str">
        <f aca="false">IF($A88="","",YEAR($A88))</f>
        <v/>
      </c>
    </row>
    <row r="89" customFormat="false" ht="15" hidden="false" customHeight="false" outlineLevel="0" collapsed="false">
      <c r="A89" s="30"/>
      <c r="B89" s="15"/>
      <c r="C89" s="15"/>
      <c r="D89" s="15"/>
      <c r="E89" s="15"/>
      <c r="F89" s="15"/>
      <c r="G89" s="16" t="str">
        <f aca="false">IF($A89="","",WEEKNUM($A89,1))</f>
        <v/>
      </c>
      <c r="H89" s="16" t="str">
        <f aca="false">IF($A89="","",YEAR($A89))</f>
        <v/>
      </c>
    </row>
    <row r="90" customFormat="false" ht="15" hidden="false" customHeight="false" outlineLevel="0" collapsed="false">
      <c r="A90" s="30"/>
      <c r="B90" s="15"/>
      <c r="C90" s="15"/>
      <c r="D90" s="15"/>
      <c r="E90" s="15"/>
      <c r="F90" s="15"/>
      <c r="G90" s="16" t="str">
        <f aca="false">IF($A90="","",WEEKNUM($A90,1))</f>
        <v/>
      </c>
      <c r="H90" s="16" t="str">
        <f aca="false">IF($A90="","",YEAR($A90))</f>
        <v/>
      </c>
    </row>
    <row r="91" customFormat="false" ht="15" hidden="false" customHeight="false" outlineLevel="0" collapsed="false">
      <c r="A91" s="30"/>
      <c r="B91" s="15"/>
      <c r="C91" s="15"/>
      <c r="D91" s="15"/>
      <c r="E91" s="15"/>
      <c r="F91" s="15"/>
      <c r="G91" s="16" t="str">
        <f aca="false">IF($A91="","",WEEKNUM($A91,1))</f>
        <v/>
      </c>
      <c r="H91" s="16" t="str">
        <f aca="false">IF($A91="","",YEAR($A91))</f>
        <v/>
      </c>
    </row>
    <row r="92" customFormat="false" ht="15" hidden="false" customHeight="false" outlineLevel="0" collapsed="false">
      <c r="A92" s="30"/>
      <c r="B92" s="15"/>
      <c r="C92" s="15"/>
      <c r="D92" s="15"/>
      <c r="E92" s="15"/>
      <c r="F92" s="15"/>
      <c r="G92" s="16" t="str">
        <f aca="false">IF($A92="","",WEEKNUM($A92,1))</f>
        <v/>
      </c>
      <c r="H92" s="16" t="str">
        <f aca="false">IF($A92="","",YEAR($A92))</f>
        <v/>
      </c>
    </row>
    <row r="93" customFormat="false" ht="15" hidden="false" customHeight="false" outlineLevel="0" collapsed="false">
      <c r="A93" s="30"/>
      <c r="B93" s="15"/>
      <c r="C93" s="15"/>
      <c r="D93" s="15"/>
      <c r="E93" s="15"/>
      <c r="F93" s="15"/>
      <c r="G93" s="16" t="str">
        <f aca="false">IF($A93="","",WEEKNUM($A93,1))</f>
        <v/>
      </c>
      <c r="H93" s="16" t="str">
        <f aca="false">IF($A93="","",YEAR($A93))</f>
        <v/>
      </c>
    </row>
    <row r="94" customFormat="false" ht="15" hidden="false" customHeight="false" outlineLevel="0" collapsed="false">
      <c r="A94" s="30"/>
      <c r="B94" s="15"/>
      <c r="C94" s="15"/>
      <c r="D94" s="15"/>
      <c r="E94" s="15"/>
      <c r="F94" s="15"/>
      <c r="G94" s="16" t="str">
        <f aca="false">IF($A94="","",WEEKNUM($A94,1))</f>
        <v/>
      </c>
      <c r="H94" s="16" t="str">
        <f aca="false">IF($A94="","",YEAR($A94))</f>
        <v/>
      </c>
    </row>
    <row r="95" customFormat="false" ht="15" hidden="false" customHeight="false" outlineLevel="0" collapsed="false">
      <c r="A95" s="30"/>
      <c r="B95" s="15"/>
      <c r="C95" s="15"/>
      <c r="D95" s="15"/>
      <c r="E95" s="15"/>
      <c r="F95" s="15"/>
      <c r="G95" s="16" t="str">
        <f aca="false">IF($A95="","",WEEKNUM($A95,1))</f>
        <v/>
      </c>
      <c r="H95" s="16" t="str">
        <f aca="false">IF($A95="","",YEAR($A95))</f>
        <v/>
      </c>
    </row>
    <row r="96" customFormat="false" ht="15" hidden="false" customHeight="false" outlineLevel="0" collapsed="false">
      <c r="A96" s="30"/>
      <c r="B96" s="15"/>
      <c r="C96" s="15"/>
      <c r="D96" s="15"/>
      <c r="E96" s="15"/>
      <c r="F96" s="15"/>
      <c r="G96" s="16" t="str">
        <f aca="false">IF($A96="","",WEEKNUM($A96,1))</f>
        <v/>
      </c>
      <c r="H96" s="16" t="str">
        <f aca="false">IF($A96="","",YEAR($A96))</f>
        <v/>
      </c>
    </row>
    <row r="97" customFormat="false" ht="15" hidden="false" customHeight="false" outlineLevel="0" collapsed="false">
      <c r="A97" s="30"/>
      <c r="B97" s="15"/>
      <c r="C97" s="15"/>
      <c r="D97" s="15"/>
      <c r="E97" s="15"/>
      <c r="F97" s="15"/>
      <c r="G97" s="16" t="str">
        <f aca="false">IF($A97="","",WEEKNUM($A97,1))</f>
        <v/>
      </c>
      <c r="H97" s="16" t="str">
        <f aca="false">IF($A97="","",YEAR($A97))</f>
        <v/>
      </c>
    </row>
    <row r="98" customFormat="false" ht="15" hidden="false" customHeight="false" outlineLevel="0" collapsed="false">
      <c r="A98" s="30"/>
      <c r="B98" s="15"/>
      <c r="C98" s="15"/>
      <c r="D98" s="15"/>
      <c r="E98" s="15"/>
      <c r="F98" s="15"/>
      <c r="G98" s="16" t="str">
        <f aca="false">IF($A98="","",WEEKNUM($A98,1))</f>
        <v/>
      </c>
      <c r="H98" s="16" t="str">
        <f aca="false">IF($A98="","",YEAR($A98))</f>
        <v/>
      </c>
    </row>
    <row r="99" customFormat="false" ht="15" hidden="false" customHeight="false" outlineLevel="0" collapsed="false">
      <c r="A99" s="30"/>
      <c r="B99" s="15"/>
      <c r="C99" s="15"/>
      <c r="D99" s="15"/>
      <c r="E99" s="15"/>
      <c r="F99" s="15"/>
      <c r="G99" s="16" t="str">
        <f aca="false">IF($A99="","",WEEKNUM($A99,1))</f>
        <v/>
      </c>
      <c r="H99" s="16" t="str">
        <f aca="false">IF($A99="","",YEAR($A99))</f>
        <v/>
      </c>
    </row>
    <row r="100" customFormat="false" ht="15" hidden="false" customHeight="false" outlineLevel="0" collapsed="false">
      <c r="A100" s="30"/>
      <c r="B100" s="15"/>
      <c r="C100" s="15"/>
      <c r="D100" s="15"/>
      <c r="E100" s="15"/>
      <c r="F100" s="15"/>
      <c r="G100" s="16" t="str">
        <f aca="false">IF($A100="","",WEEKNUM($A100,1))</f>
        <v/>
      </c>
      <c r="H100" s="16" t="str">
        <f aca="false">IF($A100="","",YEAR($A100))</f>
        <v/>
      </c>
    </row>
    <row r="101" customFormat="false" ht="15" hidden="false" customHeight="false" outlineLevel="0" collapsed="false">
      <c r="A101" s="30"/>
      <c r="B101" s="15"/>
      <c r="C101" s="15"/>
      <c r="D101" s="15"/>
      <c r="E101" s="15"/>
      <c r="F101" s="15"/>
      <c r="G101" s="16" t="str">
        <f aca="false">IF($A101="","",WEEKNUM($A101,1))</f>
        <v/>
      </c>
      <c r="H101" s="16" t="str">
        <f aca="false">IF($A101="","",YEAR($A101))</f>
        <v/>
      </c>
    </row>
    <row r="102" customFormat="false" ht="15" hidden="false" customHeight="false" outlineLevel="0" collapsed="false">
      <c r="A102" s="30"/>
      <c r="B102" s="15"/>
      <c r="C102" s="15"/>
      <c r="D102" s="15"/>
      <c r="E102" s="15"/>
      <c r="F102" s="15"/>
      <c r="G102" s="16" t="str">
        <f aca="false">IF($A102="","",WEEKNUM($A102,1))</f>
        <v/>
      </c>
      <c r="H102" s="16" t="str">
        <f aca="false">IF($A102="","",YEAR($A102))</f>
        <v/>
      </c>
    </row>
    <row r="103" customFormat="false" ht="15" hidden="false" customHeight="false" outlineLevel="0" collapsed="false">
      <c r="A103" s="30"/>
      <c r="B103" s="15"/>
      <c r="C103" s="15"/>
      <c r="D103" s="15"/>
      <c r="E103" s="15"/>
      <c r="F103" s="15"/>
      <c r="G103" s="16" t="str">
        <f aca="false">IF($A103="","",WEEKNUM($A103,1))</f>
        <v/>
      </c>
      <c r="H103" s="16" t="str">
        <f aca="false">IF($A103="","",YEAR($A103))</f>
        <v/>
      </c>
    </row>
    <row r="104" customFormat="false" ht="15" hidden="false" customHeight="false" outlineLevel="0" collapsed="false">
      <c r="A104" s="30"/>
      <c r="B104" s="15"/>
      <c r="C104" s="15"/>
      <c r="D104" s="15"/>
      <c r="E104" s="15"/>
      <c r="F104" s="15"/>
      <c r="G104" s="16" t="str">
        <f aca="false">IF($A104="","",WEEKNUM($A104,1))</f>
        <v/>
      </c>
      <c r="H104" s="16" t="str">
        <f aca="false">IF($A104="","",YEAR($A104))</f>
        <v/>
      </c>
    </row>
    <row r="105" customFormat="false" ht="15" hidden="false" customHeight="false" outlineLevel="0" collapsed="false">
      <c r="A105" s="30"/>
      <c r="B105" s="15"/>
      <c r="C105" s="15"/>
      <c r="D105" s="15"/>
      <c r="E105" s="15"/>
      <c r="F105" s="15"/>
      <c r="G105" s="16" t="str">
        <f aca="false">IF($A105="","",WEEKNUM($A105,1))</f>
        <v/>
      </c>
      <c r="H105" s="16" t="str">
        <f aca="false">IF($A105="","",YEAR($A105))</f>
        <v/>
      </c>
    </row>
    <row r="106" customFormat="false" ht="15" hidden="false" customHeight="false" outlineLevel="0" collapsed="false">
      <c r="A106" s="30"/>
      <c r="B106" s="15"/>
      <c r="C106" s="15"/>
      <c r="D106" s="15"/>
      <c r="E106" s="15"/>
      <c r="F106" s="15"/>
      <c r="G106" s="16" t="str">
        <f aca="false">IF($A106="","",WEEKNUM($A106,1))</f>
        <v/>
      </c>
      <c r="H106" s="16" t="str">
        <f aca="false">IF($A106="","",YEAR($A106))</f>
        <v/>
      </c>
    </row>
    <row r="107" customFormat="false" ht="15" hidden="false" customHeight="false" outlineLevel="0" collapsed="false">
      <c r="A107" s="30"/>
      <c r="B107" s="15"/>
      <c r="C107" s="15"/>
      <c r="D107" s="15"/>
      <c r="E107" s="15"/>
      <c r="F107" s="15"/>
      <c r="G107" s="16" t="str">
        <f aca="false">IF($A107="","",WEEKNUM($A107,1))</f>
        <v/>
      </c>
      <c r="H107" s="16" t="str">
        <f aca="false">IF($A107="","",YEAR($A107))</f>
        <v/>
      </c>
    </row>
    <row r="108" customFormat="false" ht="15" hidden="false" customHeight="false" outlineLevel="0" collapsed="false">
      <c r="A108" s="30"/>
      <c r="B108" s="15"/>
      <c r="C108" s="15"/>
      <c r="D108" s="15"/>
      <c r="E108" s="15"/>
      <c r="F108" s="15"/>
      <c r="G108" s="16" t="str">
        <f aca="false">IF($A108="","",WEEKNUM($A108,1))</f>
        <v/>
      </c>
      <c r="H108" s="16" t="str">
        <f aca="false">IF($A108="","",YEAR($A108))</f>
        <v/>
      </c>
    </row>
    <row r="109" customFormat="false" ht="15" hidden="false" customHeight="false" outlineLevel="0" collapsed="false">
      <c r="A109" s="30"/>
      <c r="B109" s="15"/>
      <c r="C109" s="15"/>
      <c r="D109" s="15"/>
      <c r="E109" s="15"/>
      <c r="F109" s="15"/>
      <c r="G109" s="16" t="str">
        <f aca="false">IF($A109="","",WEEKNUM($A109,1))</f>
        <v/>
      </c>
      <c r="H109" s="16" t="str">
        <f aca="false">IF($A109="","",YEAR($A109))</f>
        <v/>
      </c>
    </row>
    <row r="110" customFormat="false" ht="15" hidden="false" customHeight="false" outlineLevel="0" collapsed="false">
      <c r="A110" s="30"/>
      <c r="B110" s="15"/>
      <c r="C110" s="15"/>
      <c r="D110" s="15"/>
      <c r="E110" s="15"/>
      <c r="F110" s="15"/>
      <c r="G110" s="16" t="str">
        <f aca="false">IF($A110="","",WEEKNUM($A110,1))</f>
        <v/>
      </c>
      <c r="H110" s="16" t="str">
        <f aca="false">IF($A110="","",YEAR($A110))</f>
        <v/>
      </c>
    </row>
    <row r="111" customFormat="false" ht="15" hidden="false" customHeight="false" outlineLevel="0" collapsed="false">
      <c r="A111" s="30"/>
      <c r="B111" s="15"/>
      <c r="C111" s="15"/>
      <c r="D111" s="15"/>
      <c r="E111" s="15"/>
      <c r="F111" s="15"/>
      <c r="G111" s="16" t="str">
        <f aca="false">IF($A111="","",WEEKNUM($A111,1))</f>
        <v/>
      </c>
      <c r="H111" s="16" t="str">
        <f aca="false">IF($A111="","",YEAR($A111))</f>
        <v/>
      </c>
    </row>
    <row r="112" customFormat="false" ht="15" hidden="false" customHeight="false" outlineLevel="0" collapsed="false">
      <c r="A112" s="30"/>
      <c r="B112" s="15"/>
      <c r="C112" s="15"/>
      <c r="D112" s="15"/>
      <c r="E112" s="15"/>
      <c r="F112" s="15"/>
      <c r="G112" s="16" t="str">
        <f aca="false">IF($A112="","",WEEKNUM($A112,1))</f>
        <v/>
      </c>
      <c r="H112" s="16" t="str">
        <f aca="false">IF($A112="","",YEAR($A112))</f>
        <v/>
      </c>
    </row>
    <row r="113" customFormat="false" ht="15" hidden="false" customHeight="false" outlineLevel="0" collapsed="false">
      <c r="A113" s="30"/>
      <c r="B113" s="15"/>
      <c r="C113" s="15"/>
      <c r="D113" s="15"/>
      <c r="E113" s="15"/>
      <c r="F113" s="15"/>
      <c r="G113" s="16" t="str">
        <f aca="false">IF($A113="","",WEEKNUM($A113,1))</f>
        <v/>
      </c>
      <c r="H113" s="16" t="str">
        <f aca="false">IF($A113="","",YEAR($A113))</f>
        <v/>
      </c>
    </row>
    <row r="114" customFormat="false" ht="15" hidden="false" customHeight="false" outlineLevel="0" collapsed="false">
      <c r="A114" s="30"/>
      <c r="B114" s="15"/>
      <c r="C114" s="15"/>
      <c r="D114" s="15"/>
      <c r="E114" s="15"/>
      <c r="F114" s="15"/>
      <c r="G114" s="16" t="str">
        <f aca="false">IF($A114="","",WEEKNUM($A114,1))</f>
        <v/>
      </c>
      <c r="H114" s="16" t="str">
        <f aca="false">IF($A114="","",YEAR($A114))</f>
        <v/>
      </c>
    </row>
    <row r="115" customFormat="false" ht="15" hidden="false" customHeight="false" outlineLevel="0" collapsed="false">
      <c r="A115" s="30"/>
      <c r="B115" s="15"/>
      <c r="C115" s="15"/>
      <c r="D115" s="15"/>
      <c r="E115" s="15"/>
      <c r="F115" s="15"/>
      <c r="G115" s="16" t="str">
        <f aca="false">IF($A115="","",WEEKNUM($A115,1))</f>
        <v/>
      </c>
      <c r="H115" s="16" t="str">
        <f aca="false">IF($A115="","",YEAR($A115))</f>
        <v/>
      </c>
    </row>
    <row r="116" customFormat="false" ht="15" hidden="false" customHeight="false" outlineLevel="0" collapsed="false">
      <c r="A116" s="30"/>
      <c r="B116" s="15"/>
      <c r="C116" s="15"/>
      <c r="D116" s="15"/>
      <c r="E116" s="15"/>
      <c r="F116" s="15"/>
      <c r="G116" s="16" t="str">
        <f aca="false">IF($A116="","",WEEKNUM($A116,1))</f>
        <v/>
      </c>
      <c r="H116" s="16" t="str">
        <f aca="false">IF($A116="","",YEAR($A116))</f>
        <v/>
      </c>
    </row>
    <row r="117" customFormat="false" ht="15" hidden="false" customHeight="false" outlineLevel="0" collapsed="false">
      <c r="A117" s="30"/>
      <c r="B117" s="15"/>
      <c r="C117" s="15"/>
      <c r="D117" s="15"/>
      <c r="E117" s="15"/>
      <c r="F117" s="15"/>
      <c r="G117" s="16" t="str">
        <f aca="false">IF($A117="","",WEEKNUM($A117,1))</f>
        <v/>
      </c>
      <c r="H117" s="16" t="str">
        <f aca="false">IF($A117="","",YEAR($A117))</f>
        <v/>
      </c>
    </row>
    <row r="118" customFormat="false" ht="15" hidden="false" customHeight="false" outlineLevel="0" collapsed="false">
      <c r="A118" s="30"/>
      <c r="B118" s="15"/>
      <c r="C118" s="15"/>
      <c r="D118" s="15"/>
      <c r="E118" s="15"/>
      <c r="F118" s="15"/>
      <c r="G118" s="16" t="str">
        <f aca="false">IF($A118="","",WEEKNUM($A118,1))</f>
        <v/>
      </c>
      <c r="H118" s="16" t="str">
        <f aca="false">IF($A118="","",YEAR($A118))</f>
        <v/>
      </c>
    </row>
    <row r="119" customFormat="false" ht="15" hidden="false" customHeight="false" outlineLevel="0" collapsed="false">
      <c r="A119" s="30"/>
      <c r="B119" s="15"/>
      <c r="C119" s="15"/>
      <c r="D119" s="15"/>
      <c r="E119" s="15"/>
      <c r="F119" s="15"/>
      <c r="G119" s="16" t="str">
        <f aca="false">IF($A119="","",WEEKNUM($A119,1))</f>
        <v/>
      </c>
      <c r="H119" s="16" t="str">
        <f aca="false">IF($A119="","",YEAR($A119))</f>
        <v/>
      </c>
    </row>
    <row r="120" customFormat="false" ht="15" hidden="false" customHeight="false" outlineLevel="0" collapsed="false">
      <c r="A120" s="30"/>
      <c r="B120" s="15"/>
      <c r="C120" s="15"/>
      <c r="D120" s="15"/>
      <c r="E120" s="15"/>
      <c r="F120" s="15"/>
      <c r="G120" s="16" t="str">
        <f aca="false">IF($A120="","",WEEKNUM($A120,1))</f>
        <v/>
      </c>
      <c r="H120" s="16" t="str">
        <f aca="false">IF($A120="","",YEAR($A120))</f>
        <v/>
      </c>
    </row>
    <row r="121" customFormat="false" ht="15" hidden="false" customHeight="false" outlineLevel="0" collapsed="false">
      <c r="A121" s="30"/>
      <c r="B121" s="15"/>
      <c r="C121" s="15"/>
      <c r="D121" s="15"/>
      <c r="E121" s="15"/>
      <c r="F121" s="15"/>
      <c r="G121" s="16" t="str">
        <f aca="false">IF($A121="","",WEEKNUM($A121,1))</f>
        <v/>
      </c>
      <c r="H121" s="16" t="str">
        <f aca="false">IF($A121="","",YEAR($A121))</f>
        <v/>
      </c>
    </row>
    <row r="122" customFormat="false" ht="15" hidden="false" customHeight="false" outlineLevel="0" collapsed="false">
      <c r="A122" s="30"/>
      <c r="B122" s="15"/>
      <c r="C122" s="15"/>
      <c r="D122" s="15"/>
      <c r="E122" s="15"/>
      <c r="F122" s="15"/>
      <c r="G122" s="16" t="str">
        <f aca="false">IF($A122="","",WEEKNUM($A122,1))</f>
        <v/>
      </c>
      <c r="H122" s="16" t="str">
        <f aca="false">IF($A122="","",YEAR($A122))</f>
        <v/>
      </c>
    </row>
    <row r="123" customFormat="false" ht="15" hidden="false" customHeight="false" outlineLevel="0" collapsed="false">
      <c r="A123" s="30"/>
      <c r="B123" s="15"/>
      <c r="C123" s="15"/>
      <c r="D123" s="15"/>
      <c r="E123" s="15"/>
      <c r="F123" s="15"/>
      <c r="G123" s="16" t="str">
        <f aca="false">IF($A123="","",WEEKNUM($A123,1))</f>
        <v/>
      </c>
      <c r="H123" s="16" t="str">
        <f aca="false">IF($A123="","",YEAR($A123))</f>
        <v/>
      </c>
    </row>
    <row r="124" customFormat="false" ht="15" hidden="false" customHeight="false" outlineLevel="0" collapsed="false">
      <c r="A124" s="30"/>
      <c r="B124" s="15"/>
      <c r="C124" s="15"/>
      <c r="D124" s="15"/>
      <c r="E124" s="15"/>
      <c r="F124" s="15"/>
      <c r="G124" s="16" t="str">
        <f aca="false">IF($A124="","",WEEKNUM($A124,1))</f>
        <v/>
      </c>
      <c r="H124" s="16" t="str">
        <f aca="false">IF($A124="","",YEAR($A124))</f>
        <v/>
      </c>
    </row>
    <row r="125" customFormat="false" ht="15" hidden="false" customHeight="false" outlineLevel="0" collapsed="false">
      <c r="A125" s="30"/>
      <c r="B125" s="15"/>
      <c r="C125" s="15"/>
      <c r="D125" s="15"/>
      <c r="E125" s="15"/>
      <c r="F125" s="15"/>
      <c r="G125" s="16" t="str">
        <f aca="false">IF($A125="","",WEEKNUM($A125,1))</f>
        <v/>
      </c>
      <c r="H125" s="16" t="str">
        <f aca="false">IF($A125="","",YEAR($A125))</f>
        <v/>
      </c>
    </row>
    <row r="126" customFormat="false" ht="15" hidden="false" customHeight="false" outlineLevel="0" collapsed="false">
      <c r="A126" s="30"/>
      <c r="B126" s="15"/>
      <c r="C126" s="15"/>
      <c r="D126" s="15"/>
      <c r="E126" s="15"/>
      <c r="F126" s="15"/>
      <c r="G126" s="16" t="str">
        <f aca="false">IF($A126="","",WEEKNUM($A126,1))</f>
        <v/>
      </c>
      <c r="H126" s="16" t="str">
        <f aca="false">IF($A126="","",YEAR($A126))</f>
        <v/>
      </c>
    </row>
    <row r="127" customFormat="false" ht="15" hidden="false" customHeight="false" outlineLevel="0" collapsed="false">
      <c r="A127" s="30"/>
      <c r="B127" s="15"/>
      <c r="C127" s="15"/>
      <c r="D127" s="15"/>
      <c r="E127" s="15"/>
      <c r="F127" s="15"/>
      <c r="G127" s="16" t="str">
        <f aca="false">IF($A127="","",WEEKNUM($A127,1))</f>
        <v/>
      </c>
      <c r="H127" s="16" t="str">
        <f aca="false">IF($A127="","",YEAR($A127))</f>
        <v/>
      </c>
    </row>
    <row r="128" customFormat="false" ht="15" hidden="false" customHeight="false" outlineLevel="0" collapsed="false">
      <c r="A128" s="30"/>
      <c r="B128" s="15"/>
      <c r="C128" s="15"/>
      <c r="D128" s="15"/>
      <c r="E128" s="15"/>
      <c r="F128" s="15"/>
      <c r="G128" s="16" t="str">
        <f aca="false">IF($A128="","",WEEKNUM($A128,1))</f>
        <v/>
      </c>
      <c r="H128" s="16" t="str">
        <f aca="false">IF($A128="","",YEAR($A128))</f>
        <v/>
      </c>
    </row>
    <row r="129" customFormat="false" ht="15" hidden="false" customHeight="false" outlineLevel="0" collapsed="false">
      <c r="A129" s="30"/>
      <c r="B129" s="15"/>
      <c r="C129" s="15"/>
      <c r="D129" s="15"/>
      <c r="E129" s="15"/>
      <c r="F129" s="15"/>
      <c r="G129" s="16" t="str">
        <f aca="false">IF($A129="","",WEEKNUM($A129,1))</f>
        <v/>
      </c>
      <c r="H129" s="16" t="str">
        <f aca="false">IF($A129="","",YEAR($A129))</f>
        <v/>
      </c>
    </row>
    <row r="130" customFormat="false" ht="15" hidden="false" customHeight="false" outlineLevel="0" collapsed="false">
      <c r="A130" s="30"/>
      <c r="B130" s="15"/>
      <c r="C130" s="15"/>
      <c r="D130" s="15"/>
      <c r="E130" s="15"/>
      <c r="F130" s="15"/>
      <c r="G130" s="16" t="str">
        <f aca="false">IF($A130="","",WEEKNUM($A130,1))</f>
        <v/>
      </c>
      <c r="H130" s="16" t="str">
        <f aca="false">IF($A130="","",YEAR($A130))</f>
        <v/>
      </c>
    </row>
    <row r="131" customFormat="false" ht="15" hidden="false" customHeight="false" outlineLevel="0" collapsed="false">
      <c r="A131" s="30"/>
      <c r="B131" s="15"/>
      <c r="C131" s="15"/>
      <c r="D131" s="15"/>
      <c r="E131" s="15"/>
      <c r="F131" s="15"/>
      <c r="G131" s="16" t="str">
        <f aca="false">IF($A131="","",WEEKNUM($A131,1))</f>
        <v/>
      </c>
      <c r="H131" s="16" t="str">
        <f aca="false">IF($A131="","",YEAR($A131))</f>
        <v/>
      </c>
    </row>
    <row r="132" customFormat="false" ht="15" hidden="false" customHeight="false" outlineLevel="0" collapsed="false">
      <c r="A132" s="30"/>
      <c r="B132" s="15"/>
      <c r="C132" s="15"/>
      <c r="D132" s="15"/>
      <c r="E132" s="15"/>
      <c r="F132" s="15"/>
      <c r="G132" s="16" t="str">
        <f aca="false">IF($A132="","",WEEKNUM($A132,1))</f>
        <v/>
      </c>
      <c r="H132" s="16" t="str">
        <f aca="false">IF($A132="","",YEAR($A132))</f>
        <v/>
      </c>
    </row>
    <row r="133" customFormat="false" ht="15" hidden="false" customHeight="false" outlineLevel="0" collapsed="false">
      <c r="A133" s="30"/>
      <c r="B133" s="15"/>
      <c r="C133" s="15"/>
      <c r="D133" s="15"/>
      <c r="E133" s="15"/>
      <c r="F133" s="15"/>
      <c r="G133" s="16" t="str">
        <f aca="false">IF($A133="","",WEEKNUM($A133,1))</f>
        <v/>
      </c>
      <c r="H133" s="16" t="str">
        <f aca="false">IF($A133="","",YEAR($A133))</f>
        <v/>
      </c>
    </row>
    <row r="134" customFormat="false" ht="15" hidden="false" customHeight="false" outlineLevel="0" collapsed="false">
      <c r="A134" s="30"/>
      <c r="B134" s="15"/>
      <c r="C134" s="15"/>
      <c r="D134" s="15"/>
      <c r="E134" s="15"/>
      <c r="F134" s="15"/>
      <c r="G134" s="16" t="str">
        <f aca="false">IF($A134="","",WEEKNUM($A134,1))</f>
        <v/>
      </c>
      <c r="H134" s="16" t="str">
        <f aca="false">IF($A134="","",YEAR($A134))</f>
        <v/>
      </c>
    </row>
    <row r="135" customFormat="false" ht="15" hidden="false" customHeight="false" outlineLevel="0" collapsed="false">
      <c r="A135" s="30"/>
      <c r="B135" s="15"/>
      <c r="C135" s="15"/>
      <c r="D135" s="15"/>
      <c r="E135" s="15"/>
      <c r="F135" s="15"/>
      <c r="G135" s="16" t="str">
        <f aca="false">IF($A135="","",WEEKNUM($A135,1))</f>
        <v/>
      </c>
      <c r="H135" s="16" t="str">
        <f aca="false">IF($A135="","",YEAR($A135))</f>
        <v/>
      </c>
    </row>
    <row r="136" customFormat="false" ht="15" hidden="false" customHeight="false" outlineLevel="0" collapsed="false">
      <c r="A136" s="30"/>
      <c r="B136" s="15"/>
      <c r="C136" s="15"/>
      <c r="D136" s="15"/>
      <c r="E136" s="15"/>
      <c r="F136" s="15"/>
      <c r="G136" s="16" t="str">
        <f aca="false">IF($A136="","",WEEKNUM($A136,1))</f>
        <v/>
      </c>
      <c r="H136" s="16" t="str">
        <f aca="false">IF($A136="","",YEAR($A136))</f>
        <v/>
      </c>
    </row>
    <row r="137" customFormat="false" ht="15" hidden="false" customHeight="false" outlineLevel="0" collapsed="false">
      <c r="A137" s="30"/>
      <c r="B137" s="15"/>
      <c r="C137" s="15"/>
      <c r="D137" s="15"/>
      <c r="E137" s="15"/>
      <c r="F137" s="15"/>
      <c r="G137" s="16" t="str">
        <f aca="false">IF($A137="","",WEEKNUM($A137,1))</f>
        <v/>
      </c>
      <c r="H137" s="16" t="str">
        <f aca="false">IF($A137="","",YEAR($A137))</f>
        <v/>
      </c>
    </row>
    <row r="138" customFormat="false" ht="15" hidden="false" customHeight="false" outlineLevel="0" collapsed="false">
      <c r="A138" s="30"/>
      <c r="B138" s="15"/>
      <c r="C138" s="15"/>
      <c r="D138" s="15"/>
      <c r="E138" s="15"/>
      <c r="F138" s="15"/>
      <c r="G138" s="16" t="str">
        <f aca="false">IF($A138="","",WEEKNUM($A138,1))</f>
        <v/>
      </c>
      <c r="H138" s="16" t="str">
        <f aca="false">IF($A138="","",YEAR($A138))</f>
        <v/>
      </c>
    </row>
    <row r="139" customFormat="false" ht="15" hidden="false" customHeight="false" outlineLevel="0" collapsed="false">
      <c r="A139" s="30"/>
      <c r="B139" s="15"/>
      <c r="C139" s="15"/>
      <c r="D139" s="15"/>
      <c r="E139" s="15"/>
      <c r="F139" s="15"/>
      <c r="G139" s="16" t="str">
        <f aca="false">IF($A139="","",WEEKNUM($A139,1))</f>
        <v/>
      </c>
      <c r="H139" s="16" t="str">
        <f aca="false">IF($A139="","",YEAR($A139))</f>
        <v/>
      </c>
    </row>
    <row r="140" customFormat="false" ht="15" hidden="false" customHeight="false" outlineLevel="0" collapsed="false">
      <c r="A140" s="30"/>
      <c r="B140" s="15"/>
      <c r="C140" s="15"/>
      <c r="D140" s="15"/>
      <c r="E140" s="15"/>
      <c r="F140" s="15"/>
      <c r="G140" s="16" t="str">
        <f aca="false">IF($A140="","",WEEKNUM($A140,1))</f>
        <v/>
      </c>
      <c r="H140" s="16" t="str">
        <f aca="false">IF($A140="","",YEAR($A140))</f>
        <v/>
      </c>
    </row>
    <row r="141" customFormat="false" ht="15" hidden="false" customHeight="false" outlineLevel="0" collapsed="false">
      <c r="A141" s="30"/>
      <c r="B141" s="15"/>
      <c r="C141" s="15"/>
      <c r="D141" s="15"/>
      <c r="E141" s="15"/>
      <c r="F141" s="15"/>
      <c r="G141" s="16" t="str">
        <f aca="false">IF($A141="","",WEEKNUM($A141,1))</f>
        <v/>
      </c>
      <c r="H141" s="16" t="str">
        <f aca="false">IF($A141="","",YEAR($A141))</f>
        <v/>
      </c>
    </row>
    <row r="142" customFormat="false" ht="15" hidden="false" customHeight="false" outlineLevel="0" collapsed="false">
      <c r="A142" s="30"/>
      <c r="B142" s="15"/>
      <c r="C142" s="15"/>
      <c r="D142" s="15"/>
      <c r="E142" s="15"/>
      <c r="F142" s="15"/>
      <c r="G142" s="16" t="str">
        <f aca="false">IF($A142="","",WEEKNUM($A142,1))</f>
        <v/>
      </c>
      <c r="H142" s="16" t="str">
        <f aca="false">IF($A142="","",YEAR($A142))</f>
        <v/>
      </c>
    </row>
    <row r="143" customFormat="false" ht="15" hidden="false" customHeight="false" outlineLevel="0" collapsed="false">
      <c r="A143" s="30"/>
      <c r="B143" s="15"/>
      <c r="C143" s="15"/>
      <c r="D143" s="15"/>
      <c r="E143" s="15"/>
      <c r="F143" s="15"/>
      <c r="G143" s="16" t="str">
        <f aca="false">IF($A143="","",WEEKNUM($A143,1))</f>
        <v/>
      </c>
      <c r="H143" s="16" t="str">
        <f aca="false">IF($A143="","",YEAR($A143))</f>
        <v/>
      </c>
    </row>
    <row r="144" customFormat="false" ht="15" hidden="false" customHeight="false" outlineLevel="0" collapsed="false">
      <c r="A144" s="30"/>
      <c r="B144" s="15"/>
      <c r="C144" s="15"/>
      <c r="D144" s="15"/>
      <c r="E144" s="15"/>
      <c r="F144" s="15"/>
      <c r="G144" s="16" t="str">
        <f aca="false">IF($A144="","",WEEKNUM($A144,1))</f>
        <v/>
      </c>
      <c r="H144" s="16" t="str">
        <f aca="false">IF($A144="","",YEAR($A144))</f>
        <v/>
      </c>
    </row>
    <row r="145" customFormat="false" ht="15" hidden="false" customHeight="false" outlineLevel="0" collapsed="false">
      <c r="A145" s="30"/>
      <c r="B145" s="15"/>
      <c r="C145" s="15"/>
      <c r="D145" s="15"/>
      <c r="E145" s="15"/>
      <c r="F145" s="15"/>
      <c r="G145" s="16" t="str">
        <f aca="false">IF($A145="","",WEEKNUM($A145,1))</f>
        <v/>
      </c>
      <c r="H145" s="16" t="str">
        <f aca="false">IF($A145="","",YEAR($A145))</f>
        <v/>
      </c>
    </row>
    <row r="146" customFormat="false" ht="15" hidden="false" customHeight="false" outlineLevel="0" collapsed="false">
      <c r="A146" s="30"/>
      <c r="B146" s="15"/>
      <c r="C146" s="15"/>
      <c r="D146" s="15"/>
      <c r="E146" s="15"/>
      <c r="F146" s="15"/>
      <c r="G146" s="16" t="str">
        <f aca="false">IF($A146="","",WEEKNUM($A146,1))</f>
        <v/>
      </c>
      <c r="H146" s="16" t="str">
        <f aca="false">IF($A146="","",YEAR($A146))</f>
        <v/>
      </c>
    </row>
    <row r="147" customFormat="false" ht="15" hidden="false" customHeight="false" outlineLevel="0" collapsed="false">
      <c r="A147" s="30"/>
      <c r="B147" s="15"/>
      <c r="C147" s="15"/>
      <c r="D147" s="15"/>
      <c r="E147" s="15"/>
      <c r="F147" s="15"/>
      <c r="G147" s="16" t="str">
        <f aca="false">IF($A147="","",WEEKNUM($A147,1))</f>
        <v/>
      </c>
      <c r="H147" s="16" t="str">
        <f aca="false">IF($A147="","",YEAR($A147))</f>
        <v/>
      </c>
    </row>
    <row r="148" customFormat="false" ht="15" hidden="false" customHeight="false" outlineLevel="0" collapsed="false">
      <c r="A148" s="30"/>
      <c r="B148" s="15"/>
      <c r="C148" s="15"/>
      <c r="D148" s="15"/>
      <c r="E148" s="15"/>
      <c r="F148" s="15"/>
      <c r="G148" s="16" t="str">
        <f aca="false">IF($A148="","",WEEKNUM($A148,1))</f>
        <v/>
      </c>
      <c r="H148" s="16" t="str">
        <f aca="false">IF($A148="","",YEAR($A148))</f>
        <v/>
      </c>
    </row>
    <row r="149" customFormat="false" ht="15" hidden="false" customHeight="false" outlineLevel="0" collapsed="false">
      <c r="A149" s="30"/>
      <c r="B149" s="15"/>
      <c r="C149" s="15"/>
      <c r="D149" s="15"/>
      <c r="E149" s="15"/>
      <c r="F149" s="15"/>
      <c r="G149" s="16" t="str">
        <f aca="false">IF($A149="","",WEEKNUM($A149,1))</f>
        <v/>
      </c>
      <c r="H149" s="16" t="str">
        <f aca="false">IF($A149="","",YEAR($A149))</f>
        <v/>
      </c>
    </row>
    <row r="150" customFormat="false" ht="15" hidden="false" customHeight="false" outlineLevel="0" collapsed="false">
      <c r="A150" s="30"/>
      <c r="B150" s="15"/>
      <c r="C150" s="15"/>
      <c r="D150" s="15"/>
      <c r="E150" s="15"/>
      <c r="F150" s="15"/>
      <c r="G150" s="16" t="str">
        <f aca="false">IF($A150="","",WEEKNUM($A150,1))</f>
        <v/>
      </c>
      <c r="H150" s="16" t="str">
        <f aca="false">IF($A150="","",YEAR($A150))</f>
        <v/>
      </c>
    </row>
    <row r="151" customFormat="false" ht="15" hidden="false" customHeight="false" outlineLevel="0" collapsed="false">
      <c r="A151" s="30"/>
      <c r="B151" s="15"/>
      <c r="C151" s="15"/>
      <c r="D151" s="15"/>
      <c r="E151" s="15"/>
      <c r="F151" s="15"/>
      <c r="G151" s="16" t="str">
        <f aca="false">IF($A151="","",WEEKNUM($A151,1))</f>
        <v/>
      </c>
      <c r="H151" s="16" t="str">
        <f aca="false">IF($A151="","",YEAR($A151))</f>
        <v/>
      </c>
    </row>
    <row r="152" customFormat="false" ht="15" hidden="false" customHeight="false" outlineLevel="0" collapsed="false">
      <c r="A152" s="30"/>
      <c r="B152" s="15"/>
      <c r="C152" s="15"/>
      <c r="D152" s="15"/>
      <c r="E152" s="15"/>
      <c r="F152" s="15"/>
      <c r="G152" s="16" t="str">
        <f aca="false">IF($A152="","",WEEKNUM($A152,1))</f>
        <v/>
      </c>
      <c r="H152" s="16" t="str">
        <f aca="false">IF($A152="","",YEAR($A152))</f>
        <v/>
      </c>
    </row>
    <row r="153" customFormat="false" ht="15" hidden="false" customHeight="false" outlineLevel="0" collapsed="false">
      <c r="A153" s="30"/>
      <c r="B153" s="15"/>
      <c r="C153" s="15"/>
      <c r="D153" s="15"/>
      <c r="E153" s="15"/>
      <c r="F153" s="15"/>
      <c r="G153" s="16" t="str">
        <f aca="false">IF($A153="","",WEEKNUM($A153,1))</f>
        <v/>
      </c>
      <c r="H153" s="16" t="str">
        <f aca="false">IF($A153="","",YEAR($A153))</f>
        <v/>
      </c>
    </row>
    <row r="154" customFormat="false" ht="15" hidden="false" customHeight="false" outlineLevel="0" collapsed="false">
      <c r="A154" s="30"/>
      <c r="B154" s="15"/>
      <c r="C154" s="15"/>
      <c r="D154" s="15"/>
      <c r="E154" s="15"/>
      <c r="F154" s="15"/>
      <c r="G154" s="16" t="str">
        <f aca="false">IF($A154="","",WEEKNUM($A154,1))</f>
        <v/>
      </c>
      <c r="H154" s="16" t="str">
        <f aca="false">IF($A154="","",YEAR($A154))</f>
        <v/>
      </c>
    </row>
    <row r="155" customFormat="false" ht="15" hidden="false" customHeight="false" outlineLevel="0" collapsed="false">
      <c r="A155" s="30"/>
      <c r="B155" s="15"/>
      <c r="C155" s="15"/>
      <c r="D155" s="15"/>
      <c r="E155" s="15"/>
      <c r="F155" s="15"/>
      <c r="G155" s="16" t="str">
        <f aca="false">IF($A155="","",WEEKNUM($A155,1))</f>
        <v/>
      </c>
      <c r="H155" s="16" t="str">
        <f aca="false">IF($A155="","",YEAR($A155))</f>
        <v/>
      </c>
    </row>
    <row r="156" customFormat="false" ht="15" hidden="false" customHeight="false" outlineLevel="0" collapsed="false">
      <c r="A156" s="30"/>
      <c r="B156" s="15"/>
      <c r="C156" s="15"/>
      <c r="D156" s="15"/>
      <c r="E156" s="15"/>
      <c r="F156" s="15"/>
      <c r="G156" s="16" t="str">
        <f aca="false">IF($A156="","",WEEKNUM($A156,1))</f>
        <v/>
      </c>
      <c r="H156" s="16" t="str">
        <f aca="false">IF($A156="","",YEAR($A156))</f>
        <v/>
      </c>
    </row>
    <row r="157" customFormat="false" ht="15" hidden="false" customHeight="false" outlineLevel="0" collapsed="false">
      <c r="A157" s="30"/>
      <c r="B157" s="15"/>
      <c r="C157" s="15"/>
      <c r="D157" s="15"/>
      <c r="E157" s="15"/>
      <c r="F157" s="15"/>
      <c r="G157" s="16" t="str">
        <f aca="false">IF($A157="","",WEEKNUM($A157,1))</f>
        <v/>
      </c>
      <c r="H157" s="16" t="str">
        <f aca="false">IF($A157="","",YEAR($A157))</f>
        <v/>
      </c>
    </row>
    <row r="158" customFormat="false" ht="15" hidden="false" customHeight="false" outlineLevel="0" collapsed="false">
      <c r="A158" s="30"/>
      <c r="B158" s="15"/>
      <c r="C158" s="15"/>
      <c r="D158" s="15"/>
      <c r="E158" s="15"/>
      <c r="F158" s="15"/>
      <c r="G158" s="16" t="str">
        <f aca="false">IF($A158="","",WEEKNUM($A158,1))</f>
        <v/>
      </c>
      <c r="H158" s="16" t="str">
        <f aca="false">IF($A158="","",YEAR($A158))</f>
        <v/>
      </c>
    </row>
    <row r="159" customFormat="false" ht="15" hidden="false" customHeight="false" outlineLevel="0" collapsed="false">
      <c r="A159" s="30"/>
      <c r="B159" s="15"/>
      <c r="C159" s="15"/>
      <c r="D159" s="15"/>
      <c r="E159" s="15"/>
      <c r="F159" s="15"/>
      <c r="G159" s="16" t="str">
        <f aca="false">IF($A159="","",WEEKNUM($A159,1))</f>
        <v/>
      </c>
      <c r="H159" s="16" t="str">
        <f aca="false">IF($A159="","",YEAR($A159))</f>
        <v/>
      </c>
    </row>
    <row r="160" customFormat="false" ht="15" hidden="false" customHeight="false" outlineLevel="0" collapsed="false">
      <c r="A160" s="30"/>
      <c r="B160" s="15"/>
      <c r="C160" s="15"/>
      <c r="D160" s="15"/>
      <c r="E160" s="15"/>
      <c r="F160" s="15"/>
      <c r="G160" s="16" t="str">
        <f aca="false">IF($A160="","",WEEKNUM($A160,1))</f>
        <v/>
      </c>
      <c r="H160" s="16" t="str">
        <f aca="false">IF($A160="","",YEAR($A160))</f>
        <v/>
      </c>
    </row>
    <row r="161" customFormat="false" ht="15" hidden="false" customHeight="false" outlineLevel="0" collapsed="false">
      <c r="A161" s="30"/>
      <c r="B161" s="15"/>
      <c r="C161" s="15"/>
      <c r="D161" s="15"/>
      <c r="E161" s="15"/>
      <c r="F161" s="15"/>
      <c r="G161" s="16" t="str">
        <f aca="false">IF($A161="","",WEEKNUM($A161,1))</f>
        <v/>
      </c>
      <c r="H161" s="16" t="str">
        <f aca="false">IF($A161="","",YEAR($A161))</f>
        <v/>
      </c>
    </row>
    <row r="162" customFormat="false" ht="15" hidden="false" customHeight="false" outlineLevel="0" collapsed="false">
      <c r="A162" s="30"/>
      <c r="B162" s="15"/>
      <c r="C162" s="15"/>
      <c r="D162" s="15"/>
      <c r="E162" s="15"/>
      <c r="F162" s="15"/>
      <c r="G162" s="16" t="str">
        <f aca="false">IF($A162="","",WEEKNUM($A162,1))</f>
        <v/>
      </c>
      <c r="H162" s="16" t="str">
        <f aca="false">IF($A162="","",YEAR($A162))</f>
        <v/>
      </c>
    </row>
    <row r="163" customFormat="false" ht="15" hidden="false" customHeight="false" outlineLevel="0" collapsed="false">
      <c r="A163" s="30"/>
      <c r="B163" s="15"/>
      <c r="C163" s="15"/>
      <c r="D163" s="15"/>
      <c r="E163" s="15"/>
      <c r="F163" s="15"/>
      <c r="G163" s="16" t="str">
        <f aca="false">IF($A163="","",WEEKNUM($A163,1))</f>
        <v/>
      </c>
      <c r="H163" s="16" t="str">
        <f aca="false">IF($A163="","",YEAR($A163))</f>
        <v/>
      </c>
    </row>
    <row r="164" customFormat="false" ht="15" hidden="false" customHeight="false" outlineLevel="0" collapsed="false">
      <c r="A164" s="30"/>
      <c r="B164" s="15"/>
      <c r="C164" s="15"/>
      <c r="D164" s="15"/>
      <c r="E164" s="15"/>
      <c r="F164" s="15"/>
      <c r="G164" s="16" t="str">
        <f aca="false">IF($A164="","",WEEKNUM($A164,1))</f>
        <v/>
      </c>
      <c r="H164" s="16" t="str">
        <f aca="false">IF($A164="","",YEAR($A164))</f>
        <v/>
      </c>
    </row>
    <row r="165" customFormat="false" ht="15" hidden="false" customHeight="false" outlineLevel="0" collapsed="false">
      <c r="A165" s="30"/>
      <c r="B165" s="15"/>
      <c r="C165" s="15"/>
      <c r="D165" s="15"/>
      <c r="E165" s="15"/>
      <c r="F165" s="15"/>
      <c r="G165" s="16" t="str">
        <f aca="false">IF($A165="","",WEEKNUM($A165,1))</f>
        <v/>
      </c>
      <c r="H165" s="16" t="str">
        <f aca="false">IF($A165="","",YEAR($A165))</f>
        <v/>
      </c>
    </row>
    <row r="166" customFormat="false" ht="15" hidden="false" customHeight="false" outlineLevel="0" collapsed="false">
      <c r="A166" s="30"/>
      <c r="B166" s="15"/>
      <c r="C166" s="15"/>
      <c r="D166" s="15"/>
      <c r="E166" s="15"/>
      <c r="F166" s="15"/>
      <c r="G166" s="16" t="str">
        <f aca="false">IF($A166="","",WEEKNUM($A166,1))</f>
        <v/>
      </c>
      <c r="H166" s="16" t="str">
        <f aca="false">IF($A166="","",YEAR($A166))</f>
        <v/>
      </c>
    </row>
    <row r="167" customFormat="false" ht="15" hidden="false" customHeight="false" outlineLevel="0" collapsed="false">
      <c r="A167" s="30"/>
      <c r="B167" s="15"/>
      <c r="C167" s="15"/>
      <c r="D167" s="15"/>
      <c r="E167" s="15"/>
      <c r="F167" s="15"/>
      <c r="G167" s="16" t="str">
        <f aca="false">IF($A167="","",WEEKNUM($A167,1))</f>
        <v/>
      </c>
      <c r="H167" s="16" t="str">
        <f aca="false">IF($A167="","",YEAR($A167))</f>
        <v/>
      </c>
    </row>
    <row r="168" customFormat="false" ht="15" hidden="false" customHeight="false" outlineLevel="0" collapsed="false">
      <c r="A168" s="30"/>
      <c r="B168" s="15"/>
      <c r="C168" s="15"/>
      <c r="D168" s="15"/>
      <c r="E168" s="15"/>
      <c r="F168" s="15"/>
      <c r="G168" s="16" t="str">
        <f aca="false">IF($A168="","",WEEKNUM($A168,1))</f>
        <v/>
      </c>
      <c r="H168" s="16" t="str">
        <f aca="false">IF($A168="","",YEAR($A168))</f>
        <v/>
      </c>
    </row>
    <row r="169" customFormat="false" ht="15" hidden="false" customHeight="false" outlineLevel="0" collapsed="false">
      <c r="A169" s="30"/>
      <c r="B169" s="15"/>
      <c r="C169" s="15"/>
      <c r="D169" s="15"/>
      <c r="E169" s="15"/>
      <c r="F169" s="15"/>
      <c r="G169" s="16" t="str">
        <f aca="false">IF($A169="","",WEEKNUM($A169,1))</f>
        <v/>
      </c>
      <c r="H169" s="16" t="str">
        <f aca="false">IF($A169="","",YEAR($A169))</f>
        <v/>
      </c>
    </row>
    <row r="170" customFormat="false" ht="15" hidden="false" customHeight="false" outlineLevel="0" collapsed="false">
      <c r="A170" s="30"/>
      <c r="B170" s="15"/>
      <c r="C170" s="15"/>
      <c r="D170" s="15"/>
      <c r="E170" s="15"/>
      <c r="F170" s="15"/>
      <c r="G170" s="16" t="str">
        <f aca="false">IF($A170="","",WEEKNUM($A170,1))</f>
        <v/>
      </c>
      <c r="H170" s="16" t="str">
        <f aca="false">IF($A170="","",YEAR($A170))</f>
        <v/>
      </c>
    </row>
    <row r="171" customFormat="false" ht="15" hidden="false" customHeight="false" outlineLevel="0" collapsed="false">
      <c r="A171" s="30"/>
      <c r="B171" s="15"/>
      <c r="C171" s="15"/>
      <c r="D171" s="15"/>
      <c r="E171" s="15"/>
      <c r="F171" s="15"/>
      <c r="G171" s="16" t="str">
        <f aca="false">IF($A171="","",WEEKNUM($A171,1))</f>
        <v/>
      </c>
      <c r="H171" s="16" t="str">
        <f aca="false">IF($A171="","",YEAR($A171))</f>
        <v/>
      </c>
    </row>
    <row r="172" customFormat="false" ht="15" hidden="false" customHeight="false" outlineLevel="0" collapsed="false">
      <c r="A172" s="30"/>
      <c r="B172" s="15"/>
      <c r="C172" s="15"/>
      <c r="D172" s="15"/>
      <c r="E172" s="15"/>
      <c r="F172" s="15"/>
      <c r="G172" s="16" t="str">
        <f aca="false">IF($A172="","",WEEKNUM($A172,1))</f>
        <v/>
      </c>
      <c r="H172" s="16" t="str">
        <f aca="false">IF($A172="","",YEAR($A172))</f>
        <v/>
      </c>
    </row>
    <row r="173" customFormat="false" ht="15" hidden="false" customHeight="false" outlineLevel="0" collapsed="false">
      <c r="A173" s="30"/>
      <c r="B173" s="15"/>
      <c r="C173" s="15"/>
      <c r="D173" s="15"/>
      <c r="E173" s="15"/>
      <c r="F173" s="15"/>
      <c r="G173" s="16" t="str">
        <f aca="false">IF($A173="","",WEEKNUM($A173,1))</f>
        <v/>
      </c>
      <c r="H173" s="16" t="str">
        <f aca="false">IF($A173="","",YEAR($A173))</f>
        <v/>
      </c>
    </row>
    <row r="174" customFormat="false" ht="15" hidden="false" customHeight="false" outlineLevel="0" collapsed="false">
      <c r="A174" s="30"/>
      <c r="B174" s="15"/>
      <c r="C174" s="15"/>
      <c r="D174" s="15"/>
      <c r="E174" s="15"/>
      <c r="F174" s="15"/>
      <c r="G174" s="16" t="str">
        <f aca="false">IF($A174="","",WEEKNUM($A174,1))</f>
        <v/>
      </c>
      <c r="H174" s="16" t="str">
        <f aca="false">IF($A174="","",YEAR($A174))</f>
        <v/>
      </c>
    </row>
    <row r="175" customFormat="false" ht="15" hidden="false" customHeight="false" outlineLevel="0" collapsed="false">
      <c r="A175" s="30"/>
      <c r="B175" s="15"/>
      <c r="C175" s="15"/>
      <c r="D175" s="15"/>
      <c r="E175" s="15"/>
      <c r="F175" s="15"/>
      <c r="G175" s="16" t="str">
        <f aca="false">IF($A175="","",WEEKNUM($A175,1))</f>
        <v/>
      </c>
      <c r="H175" s="16" t="str">
        <f aca="false">IF($A175="","",YEAR($A175))</f>
        <v/>
      </c>
    </row>
    <row r="176" customFormat="false" ht="15" hidden="false" customHeight="false" outlineLevel="0" collapsed="false">
      <c r="A176" s="30"/>
      <c r="B176" s="15"/>
      <c r="C176" s="15"/>
      <c r="D176" s="15"/>
      <c r="E176" s="15"/>
      <c r="F176" s="15"/>
      <c r="G176" s="16" t="str">
        <f aca="false">IF($A176="","",WEEKNUM($A176,1))</f>
        <v/>
      </c>
      <c r="H176" s="16" t="str">
        <f aca="false">IF($A176="","",YEAR($A176))</f>
        <v/>
      </c>
    </row>
    <row r="177" customFormat="false" ht="15" hidden="false" customHeight="false" outlineLevel="0" collapsed="false">
      <c r="A177" s="30"/>
      <c r="B177" s="15"/>
      <c r="C177" s="15"/>
      <c r="D177" s="15"/>
      <c r="E177" s="15"/>
      <c r="F177" s="15"/>
      <c r="G177" s="16" t="str">
        <f aca="false">IF($A177="","",WEEKNUM($A177,1))</f>
        <v/>
      </c>
      <c r="H177" s="16" t="str">
        <f aca="false">IF($A177="","",YEAR($A177))</f>
        <v/>
      </c>
    </row>
    <row r="178" customFormat="false" ht="15" hidden="false" customHeight="false" outlineLevel="0" collapsed="false">
      <c r="A178" s="30"/>
      <c r="B178" s="15"/>
      <c r="C178" s="15"/>
      <c r="D178" s="15"/>
      <c r="E178" s="15"/>
      <c r="F178" s="15"/>
      <c r="G178" s="16" t="str">
        <f aca="false">IF($A178="","",WEEKNUM($A178,1))</f>
        <v/>
      </c>
      <c r="H178" s="16" t="str">
        <f aca="false">IF($A178="","",YEAR($A178))</f>
        <v/>
      </c>
    </row>
    <row r="179" customFormat="false" ht="15" hidden="false" customHeight="false" outlineLevel="0" collapsed="false">
      <c r="A179" s="30"/>
      <c r="B179" s="15"/>
      <c r="C179" s="15"/>
      <c r="D179" s="15"/>
      <c r="E179" s="15"/>
      <c r="F179" s="15"/>
      <c r="G179" s="16" t="str">
        <f aca="false">IF($A179="","",WEEKNUM($A179,1))</f>
        <v/>
      </c>
      <c r="H179" s="16" t="str">
        <f aca="false">IF($A179="","",YEAR($A179))</f>
        <v/>
      </c>
    </row>
    <row r="180" customFormat="false" ht="15" hidden="false" customHeight="false" outlineLevel="0" collapsed="false">
      <c r="A180" s="30"/>
      <c r="B180" s="15"/>
      <c r="C180" s="15"/>
      <c r="D180" s="15"/>
      <c r="E180" s="15"/>
      <c r="F180" s="15"/>
      <c r="G180" s="16" t="str">
        <f aca="false">IF($A180="","",WEEKNUM($A180,1))</f>
        <v/>
      </c>
      <c r="H180" s="16" t="str">
        <f aca="false">IF($A180="","",YEAR($A180))</f>
        <v/>
      </c>
    </row>
    <row r="181" customFormat="false" ht="15" hidden="false" customHeight="false" outlineLevel="0" collapsed="false">
      <c r="A181" s="30"/>
      <c r="B181" s="15"/>
      <c r="C181" s="15"/>
      <c r="D181" s="15"/>
      <c r="E181" s="15"/>
      <c r="F181" s="15"/>
      <c r="G181" s="16" t="str">
        <f aca="false">IF($A181="","",WEEKNUM($A181,1))</f>
        <v/>
      </c>
      <c r="H181" s="16" t="str">
        <f aca="false">IF($A181="","",YEAR($A181))</f>
        <v/>
      </c>
    </row>
    <row r="182" customFormat="false" ht="15" hidden="false" customHeight="false" outlineLevel="0" collapsed="false">
      <c r="A182" s="30"/>
      <c r="B182" s="15"/>
      <c r="C182" s="15"/>
      <c r="D182" s="15"/>
      <c r="E182" s="15"/>
      <c r="F182" s="15"/>
      <c r="G182" s="16" t="str">
        <f aca="false">IF($A182="","",WEEKNUM($A182,1))</f>
        <v/>
      </c>
      <c r="H182" s="16" t="str">
        <f aca="false">IF($A182="","",YEAR($A182))</f>
        <v/>
      </c>
    </row>
    <row r="183" customFormat="false" ht="15" hidden="false" customHeight="false" outlineLevel="0" collapsed="false">
      <c r="A183" s="30"/>
      <c r="B183" s="15"/>
      <c r="C183" s="15"/>
      <c r="D183" s="15"/>
      <c r="E183" s="15"/>
      <c r="F183" s="15"/>
      <c r="G183" s="16" t="str">
        <f aca="false">IF($A183="","",WEEKNUM($A183,1))</f>
        <v/>
      </c>
      <c r="H183" s="16" t="str">
        <f aca="false">IF($A183="","",YEAR($A183))</f>
        <v/>
      </c>
    </row>
    <row r="184" customFormat="false" ht="15" hidden="false" customHeight="false" outlineLevel="0" collapsed="false">
      <c r="A184" s="30"/>
      <c r="B184" s="15"/>
      <c r="C184" s="15"/>
      <c r="D184" s="15"/>
      <c r="E184" s="15"/>
      <c r="F184" s="15"/>
      <c r="G184" s="16" t="str">
        <f aca="false">IF($A184="","",WEEKNUM($A184,1))</f>
        <v/>
      </c>
      <c r="H184" s="16" t="str">
        <f aca="false">IF($A184="","",YEAR($A184))</f>
        <v/>
      </c>
    </row>
    <row r="185" customFormat="false" ht="15" hidden="false" customHeight="false" outlineLevel="0" collapsed="false">
      <c r="A185" s="30"/>
      <c r="B185" s="15"/>
      <c r="C185" s="15"/>
      <c r="D185" s="15"/>
      <c r="E185" s="15"/>
      <c r="F185" s="15"/>
      <c r="G185" s="16" t="str">
        <f aca="false">IF($A185="","",WEEKNUM($A185,1))</f>
        <v/>
      </c>
      <c r="H185" s="16" t="str">
        <f aca="false">IF($A185="","",YEAR($A185))</f>
        <v/>
      </c>
    </row>
    <row r="186" customFormat="false" ht="15" hidden="false" customHeight="false" outlineLevel="0" collapsed="false">
      <c r="A186" s="30"/>
      <c r="B186" s="15"/>
      <c r="C186" s="15"/>
      <c r="D186" s="15"/>
      <c r="E186" s="15"/>
      <c r="F186" s="15"/>
      <c r="G186" s="16" t="str">
        <f aca="false">IF($A186="","",WEEKNUM($A186,1))</f>
        <v/>
      </c>
      <c r="H186" s="16" t="str">
        <f aca="false">IF($A186="","",YEAR($A186))</f>
        <v/>
      </c>
    </row>
    <row r="187" customFormat="false" ht="15" hidden="false" customHeight="false" outlineLevel="0" collapsed="false">
      <c r="A187" s="30"/>
      <c r="B187" s="15"/>
      <c r="C187" s="15"/>
      <c r="D187" s="15"/>
      <c r="E187" s="15"/>
      <c r="F187" s="15"/>
      <c r="G187" s="16" t="str">
        <f aca="false">IF($A187="","",WEEKNUM($A187,1))</f>
        <v/>
      </c>
      <c r="H187" s="16" t="str">
        <f aca="false">IF($A187="","",YEAR($A187))</f>
        <v/>
      </c>
    </row>
    <row r="188" customFormat="false" ht="15" hidden="false" customHeight="false" outlineLevel="0" collapsed="false">
      <c r="A188" s="30"/>
      <c r="B188" s="15"/>
      <c r="C188" s="15"/>
      <c r="D188" s="15"/>
      <c r="E188" s="15"/>
      <c r="F188" s="15"/>
      <c r="G188" s="16" t="str">
        <f aca="false">IF($A188="","",WEEKNUM($A188,1))</f>
        <v/>
      </c>
      <c r="H188" s="16" t="str">
        <f aca="false">IF($A188="","",YEAR($A188))</f>
        <v/>
      </c>
    </row>
    <row r="189" customFormat="false" ht="15" hidden="false" customHeight="false" outlineLevel="0" collapsed="false">
      <c r="A189" s="30"/>
      <c r="B189" s="15"/>
      <c r="C189" s="15"/>
      <c r="D189" s="15"/>
      <c r="E189" s="15"/>
      <c r="F189" s="15"/>
      <c r="G189" s="16" t="str">
        <f aca="false">IF($A189="","",WEEKNUM($A189,1))</f>
        <v/>
      </c>
      <c r="H189" s="16" t="str">
        <f aca="false">IF($A189="","",YEAR($A189))</f>
        <v/>
      </c>
    </row>
    <row r="190" customFormat="false" ht="15" hidden="false" customHeight="false" outlineLevel="0" collapsed="false">
      <c r="A190" s="30"/>
      <c r="B190" s="15"/>
      <c r="C190" s="15"/>
      <c r="D190" s="15"/>
      <c r="E190" s="15"/>
      <c r="F190" s="15"/>
      <c r="G190" s="16" t="str">
        <f aca="false">IF($A190="","",WEEKNUM($A190,1))</f>
        <v/>
      </c>
      <c r="H190" s="16" t="str">
        <f aca="false">IF($A190="","",YEAR($A190))</f>
        <v/>
      </c>
    </row>
    <row r="191" customFormat="false" ht="15" hidden="false" customHeight="false" outlineLevel="0" collapsed="false">
      <c r="A191" s="30"/>
      <c r="B191" s="15"/>
      <c r="C191" s="15"/>
      <c r="D191" s="15"/>
      <c r="E191" s="15"/>
      <c r="F191" s="15"/>
      <c r="G191" s="16" t="str">
        <f aca="false">IF($A191="","",WEEKNUM($A191,1))</f>
        <v/>
      </c>
      <c r="H191" s="16" t="str">
        <f aca="false">IF($A191="","",YEAR($A191))</f>
        <v/>
      </c>
    </row>
    <row r="192" customFormat="false" ht="15" hidden="false" customHeight="false" outlineLevel="0" collapsed="false">
      <c r="A192" s="30"/>
      <c r="B192" s="15"/>
      <c r="C192" s="15"/>
      <c r="D192" s="15"/>
      <c r="E192" s="15"/>
      <c r="F192" s="15"/>
      <c r="G192" s="16" t="str">
        <f aca="false">IF($A192="","",WEEKNUM($A192,1))</f>
        <v/>
      </c>
      <c r="H192" s="16" t="str">
        <f aca="false">IF($A192="","",YEAR($A192))</f>
        <v/>
      </c>
    </row>
    <row r="193" customFormat="false" ht="15" hidden="false" customHeight="false" outlineLevel="0" collapsed="false">
      <c r="A193" s="30"/>
      <c r="B193" s="15"/>
      <c r="C193" s="15"/>
      <c r="D193" s="15"/>
      <c r="E193" s="15"/>
      <c r="F193" s="15"/>
      <c r="G193" s="16" t="str">
        <f aca="false">IF($A193="","",WEEKNUM($A193,1))</f>
        <v/>
      </c>
      <c r="H193" s="16" t="str">
        <f aca="false">IF($A193="","",YEAR($A193))</f>
        <v/>
      </c>
    </row>
    <row r="194" customFormat="false" ht="15" hidden="false" customHeight="false" outlineLevel="0" collapsed="false">
      <c r="A194" s="30"/>
      <c r="B194" s="15"/>
      <c r="C194" s="15"/>
      <c r="D194" s="15"/>
      <c r="E194" s="15"/>
      <c r="F194" s="15"/>
      <c r="G194" s="16" t="str">
        <f aca="false">IF($A194="","",WEEKNUM($A194,1))</f>
        <v/>
      </c>
      <c r="H194" s="16" t="str">
        <f aca="false">IF($A194="","",YEAR($A194))</f>
        <v/>
      </c>
    </row>
    <row r="195" customFormat="false" ht="15" hidden="false" customHeight="false" outlineLevel="0" collapsed="false">
      <c r="A195" s="30"/>
      <c r="B195" s="15"/>
      <c r="C195" s="15"/>
      <c r="D195" s="15"/>
      <c r="E195" s="15"/>
      <c r="F195" s="15"/>
      <c r="G195" s="16" t="str">
        <f aca="false">IF($A195="","",WEEKNUM($A195,1))</f>
        <v/>
      </c>
      <c r="H195" s="16" t="str">
        <f aca="false">IF($A195="","",YEAR($A195))</f>
        <v/>
      </c>
    </row>
    <row r="196" customFormat="false" ht="15" hidden="false" customHeight="false" outlineLevel="0" collapsed="false">
      <c r="A196" s="30"/>
      <c r="B196" s="15"/>
      <c r="C196" s="15"/>
      <c r="D196" s="15"/>
      <c r="E196" s="15"/>
      <c r="F196" s="15"/>
      <c r="G196" s="16" t="str">
        <f aca="false">IF($A196="","",WEEKNUM($A196,1))</f>
        <v/>
      </c>
      <c r="H196" s="16" t="str">
        <f aca="false">IF($A196="","",YEAR($A196))</f>
        <v/>
      </c>
    </row>
    <row r="197" customFormat="false" ht="15" hidden="false" customHeight="false" outlineLevel="0" collapsed="false">
      <c r="A197" s="30"/>
      <c r="B197" s="15"/>
      <c r="C197" s="15"/>
      <c r="D197" s="15"/>
      <c r="E197" s="15"/>
      <c r="F197" s="15"/>
      <c r="G197" s="16" t="str">
        <f aca="false">IF($A197="","",WEEKNUM($A197,1))</f>
        <v/>
      </c>
      <c r="H197" s="16" t="str">
        <f aca="false">IF($A197="","",YEAR($A197))</f>
        <v/>
      </c>
    </row>
    <row r="198" customFormat="false" ht="15" hidden="false" customHeight="false" outlineLevel="0" collapsed="false">
      <c r="A198" s="30"/>
      <c r="B198" s="15"/>
      <c r="C198" s="15"/>
      <c r="D198" s="15"/>
      <c r="E198" s="15"/>
      <c r="F198" s="15"/>
      <c r="G198" s="16" t="str">
        <f aca="false">IF($A198="","",WEEKNUM($A198,1))</f>
        <v/>
      </c>
      <c r="H198" s="16" t="str">
        <f aca="false">IF($A198="","",YEAR($A198))</f>
        <v/>
      </c>
    </row>
    <row r="199" customFormat="false" ht="15" hidden="false" customHeight="false" outlineLevel="0" collapsed="false">
      <c r="A199" s="30"/>
      <c r="B199" s="15"/>
      <c r="C199" s="15"/>
      <c r="D199" s="15"/>
      <c r="E199" s="15"/>
      <c r="F199" s="15"/>
      <c r="G199" s="16" t="str">
        <f aca="false">IF($A199="","",WEEKNUM($A199,1))</f>
        <v/>
      </c>
      <c r="H199" s="16" t="str">
        <f aca="false">IF($A199="","",YEAR($A199))</f>
        <v/>
      </c>
    </row>
    <row r="200" customFormat="false" ht="15" hidden="false" customHeight="false" outlineLevel="0" collapsed="false">
      <c r="A200" s="30"/>
      <c r="B200" s="15"/>
      <c r="C200" s="15"/>
      <c r="D200" s="15"/>
      <c r="E200" s="15"/>
      <c r="F200" s="15"/>
      <c r="G200" s="16" t="str">
        <f aca="false">IF($A200="","",WEEKNUM($A200,1))</f>
        <v/>
      </c>
      <c r="H200" s="16" t="str">
        <f aca="false">IF($A200="","",YEAR($A200))</f>
        <v/>
      </c>
    </row>
    <row r="201" customFormat="false" ht="15" hidden="false" customHeight="false" outlineLevel="0" collapsed="false">
      <c r="A201" s="30"/>
      <c r="B201" s="15"/>
      <c r="C201" s="15"/>
      <c r="D201" s="15"/>
      <c r="E201" s="15"/>
      <c r="F201" s="15"/>
      <c r="G201" s="16" t="str">
        <f aca="false">IF($A201="","",WEEKNUM($A201,1))</f>
        <v/>
      </c>
      <c r="H201" s="16" t="str">
        <f aca="false">IF($A201="","",YEAR($A201))</f>
        <v/>
      </c>
    </row>
    <row r="202" customFormat="false" ht="15" hidden="false" customHeight="false" outlineLevel="0" collapsed="false">
      <c r="A202" s="30"/>
      <c r="B202" s="15"/>
      <c r="C202" s="15"/>
      <c r="D202" s="15"/>
      <c r="E202" s="15"/>
      <c r="F202" s="15"/>
      <c r="G202" s="16" t="str">
        <f aca="false">IF($A202="","",WEEKNUM($A202,1))</f>
        <v/>
      </c>
      <c r="H202" s="16" t="str">
        <f aca="false">IF($A202="","",YEAR($A202))</f>
        <v/>
      </c>
    </row>
    <row r="203" customFormat="false" ht="15" hidden="false" customHeight="false" outlineLevel="0" collapsed="false">
      <c r="A203" s="30"/>
      <c r="B203" s="15"/>
      <c r="C203" s="15"/>
      <c r="D203" s="15"/>
      <c r="E203" s="15"/>
      <c r="F203" s="15"/>
      <c r="G203" s="16" t="str">
        <f aca="false">IF($A203="","",WEEKNUM($A203,1))</f>
        <v/>
      </c>
      <c r="H203" s="16" t="str">
        <f aca="false">IF($A203="","",YEAR($A203))</f>
        <v/>
      </c>
    </row>
    <row r="204" customFormat="false" ht="15" hidden="false" customHeight="false" outlineLevel="0" collapsed="false">
      <c r="A204" s="30"/>
      <c r="B204" s="15"/>
      <c r="C204" s="15"/>
      <c r="D204" s="15"/>
      <c r="E204" s="15"/>
      <c r="F204" s="15"/>
      <c r="G204" s="16" t="str">
        <f aca="false">IF($A204="","",WEEKNUM($A204,1))</f>
        <v/>
      </c>
      <c r="H204" s="16" t="str">
        <f aca="false">IF($A204="","",YEAR($A204))</f>
        <v/>
      </c>
    </row>
    <row r="205" customFormat="false" ht="15" hidden="false" customHeight="false" outlineLevel="0" collapsed="false">
      <c r="A205" s="30"/>
      <c r="B205" s="15"/>
      <c r="C205" s="15"/>
      <c r="D205" s="15"/>
      <c r="E205" s="15"/>
      <c r="F205" s="15"/>
      <c r="G205" s="16" t="str">
        <f aca="false">IF($A205="","",WEEKNUM($A205,1))</f>
        <v/>
      </c>
      <c r="H205" s="16" t="str">
        <f aca="false">IF($A205="","",YEAR($A205))</f>
        <v/>
      </c>
    </row>
    <row r="206" customFormat="false" ht="15" hidden="false" customHeight="false" outlineLevel="0" collapsed="false">
      <c r="A206" s="30"/>
      <c r="B206" s="15"/>
      <c r="C206" s="15"/>
      <c r="D206" s="15"/>
      <c r="E206" s="15"/>
      <c r="F206" s="15"/>
      <c r="G206" s="16" t="str">
        <f aca="false">IF($A206="","",WEEKNUM($A206,1))</f>
        <v/>
      </c>
      <c r="H206" s="16" t="str">
        <f aca="false">IF($A206="","",YEAR($A206))</f>
        <v/>
      </c>
    </row>
    <row r="207" customFormat="false" ht="15" hidden="false" customHeight="false" outlineLevel="0" collapsed="false">
      <c r="A207" s="30"/>
      <c r="B207" s="15"/>
      <c r="C207" s="15"/>
      <c r="D207" s="15"/>
      <c r="E207" s="15"/>
      <c r="F207" s="15"/>
      <c r="G207" s="16" t="str">
        <f aca="false">IF($A207="","",WEEKNUM($A207,1))</f>
        <v/>
      </c>
      <c r="H207" s="16" t="str">
        <f aca="false">IF($A207="","",YEAR($A207))</f>
        <v/>
      </c>
    </row>
    <row r="208" customFormat="false" ht="15" hidden="false" customHeight="false" outlineLevel="0" collapsed="false">
      <c r="A208" s="30"/>
      <c r="B208" s="15"/>
      <c r="C208" s="15"/>
      <c r="D208" s="15"/>
      <c r="E208" s="15"/>
      <c r="F208" s="15"/>
      <c r="G208" s="16" t="str">
        <f aca="false">IF($A208="","",WEEKNUM($A208,1))</f>
        <v/>
      </c>
      <c r="H208" s="16" t="str">
        <f aca="false">IF($A208="","",YEAR($A208))</f>
        <v/>
      </c>
    </row>
    <row r="209" customFormat="false" ht="15" hidden="false" customHeight="false" outlineLevel="0" collapsed="false">
      <c r="A209" s="30"/>
      <c r="B209" s="15"/>
      <c r="C209" s="15"/>
      <c r="D209" s="15"/>
      <c r="E209" s="15"/>
      <c r="F209" s="15"/>
      <c r="G209" s="16" t="str">
        <f aca="false">IF($A209="","",WEEKNUM($A209,1))</f>
        <v/>
      </c>
      <c r="H209" s="16" t="str">
        <f aca="false">IF($A209="","",YEAR($A209))</f>
        <v/>
      </c>
    </row>
    <row r="210" customFormat="false" ht="15" hidden="false" customHeight="false" outlineLevel="0" collapsed="false">
      <c r="A210" s="30"/>
      <c r="B210" s="15"/>
      <c r="C210" s="15"/>
      <c r="D210" s="15"/>
      <c r="E210" s="15"/>
      <c r="F210" s="15"/>
      <c r="G210" s="16" t="str">
        <f aca="false">IF($A210="","",WEEKNUM($A210,1))</f>
        <v/>
      </c>
      <c r="H210" s="16" t="str">
        <f aca="false">IF($A210="","",YEAR($A210))</f>
        <v/>
      </c>
    </row>
    <row r="211" customFormat="false" ht="15" hidden="false" customHeight="false" outlineLevel="0" collapsed="false">
      <c r="A211" s="30"/>
      <c r="B211" s="15"/>
      <c r="C211" s="15"/>
      <c r="D211" s="15"/>
      <c r="E211" s="15"/>
      <c r="F211" s="15"/>
      <c r="G211" s="16" t="str">
        <f aca="false">IF($A211="","",WEEKNUM($A211,1))</f>
        <v/>
      </c>
      <c r="H211" s="16" t="str">
        <f aca="false">IF($A211="","",YEAR($A211))</f>
        <v/>
      </c>
    </row>
    <row r="212" customFormat="false" ht="15" hidden="false" customHeight="false" outlineLevel="0" collapsed="false">
      <c r="A212" s="30"/>
      <c r="B212" s="15"/>
      <c r="C212" s="15"/>
      <c r="D212" s="15"/>
      <c r="E212" s="15"/>
      <c r="F212" s="15"/>
      <c r="G212" s="16" t="str">
        <f aca="false">IF($A212="","",WEEKNUM($A212,1))</f>
        <v/>
      </c>
      <c r="H212" s="16" t="str">
        <f aca="false">IF($A212="","",YEAR($A212))</f>
        <v/>
      </c>
    </row>
    <row r="213" customFormat="false" ht="15" hidden="false" customHeight="false" outlineLevel="0" collapsed="false">
      <c r="A213" s="30"/>
      <c r="B213" s="15"/>
      <c r="C213" s="15"/>
      <c r="D213" s="15"/>
      <c r="E213" s="15"/>
      <c r="F213" s="15"/>
      <c r="G213" s="16" t="str">
        <f aca="false">IF($A213="","",WEEKNUM($A213,1))</f>
        <v/>
      </c>
      <c r="H213" s="16" t="str">
        <f aca="false">IF($A213="","",YEAR($A213))</f>
        <v/>
      </c>
    </row>
    <row r="214" customFormat="false" ht="15" hidden="false" customHeight="false" outlineLevel="0" collapsed="false">
      <c r="A214" s="30"/>
      <c r="B214" s="15"/>
      <c r="C214" s="15"/>
      <c r="D214" s="15"/>
      <c r="E214" s="15"/>
      <c r="F214" s="15"/>
      <c r="G214" s="16" t="str">
        <f aca="false">IF($A214="","",WEEKNUM($A214,1))</f>
        <v/>
      </c>
      <c r="H214" s="16" t="str">
        <f aca="false">IF($A214="","",YEAR($A214))</f>
        <v/>
      </c>
    </row>
    <row r="215" customFormat="false" ht="15" hidden="false" customHeight="false" outlineLevel="0" collapsed="false">
      <c r="A215" s="30"/>
      <c r="B215" s="15"/>
      <c r="C215" s="15"/>
      <c r="D215" s="15"/>
      <c r="E215" s="15"/>
      <c r="F215" s="15"/>
      <c r="G215" s="16" t="str">
        <f aca="false">IF($A215="","",WEEKNUM($A215,1))</f>
        <v/>
      </c>
      <c r="H215" s="16" t="str">
        <f aca="false">IF($A215="","",YEAR($A215))</f>
        <v/>
      </c>
    </row>
    <row r="216" customFormat="false" ht="15" hidden="false" customHeight="false" outlineLevel="0" collapsed="false">
      <c r="A216" s="30"/>
      <c r="B216" s="15"/>
      <c r="C216" s="15"/>
      <c r="D216" s="15"/>
      <c r="E216" s="15"/>
      <c r="F216" s="15"/>
      <c r="G216" s="16" t="str">
        <f aca="false">IF($A216="","",WEEKNUM($A216,1))</f>
        <v/>
      </c>
      <c r="H216" s="16" t="str">
        <f aca="false">IF($A216="","",YEAR($A216))</f>
        <v/>
      </c>
    </row>
    <row r="217" customFormat="false" ht="15" hidden="false" customHeight="false" outlineLevel="0" collapsed="false">
      <c r="A217" s="30"/>
      <c r="B217" s="15"/>
      <c r="C217" s="15"/>
      <c r="D217" s="15"/>
      <c r="E217" s="15"/>
      <c r="F217" s="15"/>
      <c r="G217" s="16" t="str">
        <f aca="false">IF($A217="","",WEEKNUM($A217,1))</f>
        <v/>
      </c>
      <c r="H217" s="16" t="str">
        <f aca="false">IF($A217="","",YEAR($A217))</f>
        <v/>
      </c>
    </row>
    <row r="218" customFormat="false" ht="15" hidden="false" customHeight="false" outlineLevel="0" collapsed="false">
      <c r="A218" s="30"/>
      <c r="B218" s="15"/>
      <c r="C218" s="15"/>
      <c r="D218" s="15"/>
      <c r="E218" s="15"/>
      <c r="F218" s="15"/>
      <c r="G218" s="16" t="str">
        <f aca="false">IF($A218="","",WEEKNUM($A218,1))</f>
        <v/>
      </c>
      <c r="H218" s="16" t="str">
        <f aca="false">IF($A218="","",YEAR($A218))</f>
        <v/>
      </c>
    </row>
    <row r="219" customFormat="false" ht="15" hidden="false" customHeight="false" outlineLevel="0" collapsed="false">
      <c r="A219" s="30"/>
      <c r="B219" s="15"/>
      <c r="C219" s="15"/>
      <c r="D219" s="15"/>
      <c r="E219" s="15"/>
      <c r="F219" s="15"/>
      <c r="G219" s="16" t="str">
        <f aca="false">IF($A219="","",WEEKNUM($A219,1))</f>
        <v/>
      </c>
      <c r="H219" s="16" t="str">
        <f aca="false">IF($A219="","",YEAR($A219))</f>
        <v/>
      </c>
    </row>
    <row r="220" customFormat="false" ht="15" hidden="false" customHeight="false" outlineLevel="0" collapsed="false">
      <c r="A220" s="30"/>
      <c r="B220" s="15"/>
      <c r="C220" s="15"/>
      <c r="D220" s="15"/>
      <c r="E220" s="15"/>
      <c r="F220" s="15"/>
      <c r="G220" s="16" t="str">
        <f aca="false">IF($A220="","",WEEKNUM($A220,1))</f>
        <v/>
      </c>
      <c r="H220" s="16" t="str">
        <f aca="false">IF($A220="","",YEAR($A220))</f>
        <v/>
      </c>
    </row>
    <row r="221" customFormat="false" ht="15" hidden="false" customHeight="false" outlineLevel="0" collapsed="false">
      <c r="A221" s="30"/>
      <c r="B221" s="15"/>
      <c r="C221" s="15"/>
      <c r="D221" s="15"/>
      <c r="E221" s="15"/>
      <c r="F221" s="15"/>
      <c r="G221" s="16" t="str">
        <f aca="false">IF($A221="","",WEEKNUM($A221,1))</f>
        <v/>
      </c>
      <c r="H221" s="16" t="str">
        <f aca="false">IF($A221="","",YEAR($A221))</f>
        <v/>
      </c>
    </row>
    <row r="222" customFormat="false" ht="15" hidden="false" customHeight="false" outlineLevel="0" collapsed="false">
      <c r="A222" s="30"/>
      <c r="B222" s="15"/>
      <c r="C222" s="15"/>
      <c r="D222" s="15"/>
      <c r="E222" s="15"/>
      <c r="F222" s="15"/>
      <c r="G222" s="16" t="str">
        <f aca="false">IF($A222="","",WEEKNUM($A222,1))</f>
        <v/>
      </c>
      <c r="H222" s="16" t="str">
        <f aca="false">IF($A222="","",YEAR($A222))</f>
        <v/>
      </c>
    </row>
    <row r="223" customFormat="false" ht="15" hidden="false" customHeight="false" outlineLevel="0" collapsed="false">
      <c r="A223" s="30"/>
      <c r="B223" s="15"/>
      <c r="C223" s="15"/>
      <c r="D223" s="15"/>
      <c r="E223" s="15"/>
      <c r="F223" s="15"/>
      <c r="G223" s="16" t="str">
        <f aca="false">IF($A223="","",WEEKNUM($A223,1))</f>
        <v/>
      </c>
      <c r="H223" s="16" t="str">
        <f aca="false">IF($A223="","",YEAR($A223))</f>
        <v/>
      </c>
    </row>
    <row r="224" customFormat="false" ht="15" hidden="false" customHeight="false" outlineLevel="0" collapsed="false">
      <c r="A224" s="30"/>
      <c r="B224" s="15"/>
      <c r="C224" s="15"/>
      <c r="D224" s="15"/>
      <c r="E224" s="15"/>
      <c r="F224" s="15"/>
      <c r="G224" s="16" t="str">
        <f aca="false">IF($A224="","",WEEKNUM($A224,1))</f>
        <v/>
      </c>
      <c r="H224" s="16" t="str">
        <f aca="false">IF($A224="","",YEAR($A224))</f>
        <v/>
      </c>
    </row>
    <row r="225" customFormat="false" ht="15" hidden="false" customHeight="false" outlineLevel="0" collapsed="false">
      <c r="A225" s="30"/>
      <c r="B225" s="15"/>
      <c r="C225" s="15"/>
      <c r="D225" s="15"/>
      <c r="E225" s="15"/>
      <c r="F225" s="15"/>
      <c r="G225" s="16" t="str">
        <f aca="false">IF($A225="","",WEEKNUM($A225,1))</f>
        <v/>
      </c>
      <c r="H225" s="16" t="str">
        <f aca="false">IF($A225="","",YEAR($A225))</f>
        <v/>
      </c>
    </row>
    <row r="226" customFormat="false" ht="15" hidden="false" customHeight="false" outlineLevel="0" collapsed="false">
      <c r="A226" s="30"/>
      <c r="B226" s="15"/>
      <c r="C226" s="15"/>
      <c r="D226" s="15"/>
      <c r="E226" s="15"/>
      <c r="F226" s="15"/>
      <c r="G226" s="16" t="str">
        <f aca="false">IF($A226="","",WEEKNUM($A226,1))</f>
        <v/>
      </c>
      <c r="H226" s="16" t="str">
        <f aca="false">IF($A226="","",YEAR($A226))</f>
        <v/>
      </c>
    </row>
    <row r="227" customFormat="false" ht="15" hidden="false" customHeight="false" outlineLevel="0" collapsed="false">
      <c r="A227" s="30"/>
      <c r="B227" s="15"/>
      <c r="C227" s="15"/>
      <c r="D227" s="15"/>
      <c r="E227" s="15"/>
      <c r="F227" s="15"/>
      <c r="G227" s="16" t="str">
        <f aca="false">IF($A227="","",WEEKNUM($A227,1))</f>
        <v/>
      </c>
      <c r="H227" s="16" t="str">
        <f aca="false">IF($A227="","",YEAR($A227))</f>
        <v/>
      </c>
    </row>
    <row r="228" customFormat="false" ht="15" hidden="false" customHeight="false" outlineLevel="0" collapsed="false">
      <c r="A228" s="30"/>
      <c r="B228" s="15"/>
      <c r="C228" s="15"/>
      <c r="D228" s="15"/>
      <c r="E228" s="15"/>
      <c r="F228" s="15"/>
      <c r="G228" s="16" t="str">
        <f aca="false">IF($A228="","",WEEKNUM($A228,1))</f>
        <v/>
      </c>
      <c r="H228" s="16" t="str">
        <f aca="false">IF($A228="","",YEAR($A228))</f>
        <v/>
      </c>
    </row>
    <row r="229" customFormat="false" ht="15" hidden="false" customHeight="false" outlineLevel="0" collapsed="false">
      <c r="A229" s="30"/>
      <c r="B229" s="15"/>
      <c r="C229" s="15"/>
      <c r="D229" s="15"/>
      <c r="E229" s="15"/>
      <c r="F229" s="15"/>
      <c r="G229" s="16" t="str">
        <f aca="false">IF($A229="","",WEEKNUM($A229,1))</f>
        <v/>
      </c>
      <c r="H229" s="16" t="str">
        <f aca="false">IF($A229="","",YEAR($A229))</f>
        <v/>
      </c>
    </row>
    <row r="230" customFormat="false" ht="15" hidden="false" customHeight="false" outlineLevel="0" collapsed="false">
      <c r="A230" s="30"/>
      <c r="B230" s="15"/>
      <c r="C230" s="15"/>
      <c r="D230" s="15"/>
      <c r="E230" s="15"/>
      <c r="F230" s="15"/>
      <c r="G230" s="16" t="str">
        <f aca="false">IF($A230="","",WEEKNUM($A230,1))</f>
        <v/>
      </c>
      <c r="H230" s="16" t="str">
        <f aca="false">IF($A230="","",YEAR($A230))</f>
        <v/>
      </c>
    </row>
    <row r="231" customFormat="false" ht="15" hidden="false" customHeight="false" outlineLevel="0" collapsed="false">
      <c r="A231" s="30"/>
      <c r="B231" s="15"/>
      <c r="C231" s="15"/>
      <c r="D231" s="15"/>
      <c r="E231" s="15"/>
      <c r="F231" s="15"/>
      <c r="G231" s="16" t="str">
        <f aca="false">IF($A231="","",WEEKNUM($A231,1))</f>
        <v/>
      </c>
      <c r="H231" s="16" t="str">
        <f aca="false">IF($A231="","",YEAR($A231))</f>
        <v/>
      </c>
    </row>
    <row r="232" customFormat="false" ht="15" hidden="false" customHeight="false" outlineLevel="0" collapsed="false">
      <c r="A232" s="30"/>
      <c r="B232" s="15"/>
      <c r="C232" s="15"/>
      <c r="D232" s="15"/>
      <c r="E232" s="15"/>
      <c r="F232" s="15"/>
      <c r="G232" s="16" t="str">
        <f aca="false">IF($A232="","",WEEKNUM($A232,1))</f>
        <v/>
      </c>
      <c r="H232" s="16" t="str">
        <f aca="false">IF($A232="","",YEAR($A232))</f>
        <v/>
      </c>
    </row>
    <row r="233" customFormat="false" ht="15" hidden="false" customHeight="false" outlineLevel="0" collapsed="false">
      <c r="A233" s="30"/>
      <c r="B233" s="15"/>
      <c r="C233" s="15"/>
      <c r="D233" s="15"/>
      <c r="E233" s="15"/>
      <c r="F233" s="15"/>
      <c r="G233" s="16" t="str">
        <f aca="false">IF($A233="","",WEEKNUM($A233,1))</f>
        <v/>
      </c>
      <c r="H233" s="16" t="str">
        <f aca="false">IF($A233="","",YEAR($A233))</f>
        <v/>
      </c>
    </row>
    <row r="234" customFormat="false" ht="15" hidden="false" customHeight="false" outlineLevel="0" collapsed="false">
      <c r="A234" s="30"/>
      <c r="B234" s="15"/>
      <c r="C234" s="15"/>
      <c r="D234" s="15"/>
      <c r="E234" s="15"/>
      <c r="F234" s="15"/>
      <c r="G234" s="16" t="str">
        <f aca="false">IF($A234="","",WEEKNUM($A234,1))</f>
        <v/>
      </c>
      <c r="H234" s="16" t="str">
        <f aca="false">IF($A234="","",YEAR($A234))</f>
        <v/>
      </c>
    </row>
    <row r="235" customFormat="false" ht="15" hidden="false" customHeight="false" outlineLevel="0" collapsed="false">
      <c r="A235" s="30"/>
      <c r="B235" s="15"/>
      <c r="C235" s="15"/>
      <c r="D235" s="15"/>
      <c r="E235" s="15"/>
      <c r="F235" s="15"/>
      <c r="G235" s="16" t="str">
        <f aca="false">IF($A235="","",WEEKNUM($A235,1))</f>
        <v/>
      </c>
      <c r="H235" s="16" t="str">
        <f aca="false">IF($A235="","",YEAR($A235))</f>
        <v/>
      </c>
    </row>
    <row r="236" customFormat="false" ht="15" hidden="false" customHeight="false" outlineLevel="0" collapsed="false">
      <c r="A236" s="30"/>
      <c r="B236" s="15"/>
      <c r="C236" s="15"/>
      <c r="D236" s="15"/>
      <c r="E236" s="15"/>
      <c r="F236" s="15"/>
      <c r="G236" s="16" t="str">
        <f aca="false">IF($A236="","",WEEKNUM($A236,1))</f>
        <v/>
      </c>
      <c r="H236" s="16" t="str">
        <f aca="false">IF($A236="","",YEAR($A236))</f>
        <v/>
      </c>
    </row>
    <row r="237" customFormat="false" ht="15" hidden="false" customHeight="false" outlineLevel="0" collapsed="false">
      <c r="A237" s="30"/>
      <c r="B237" s="15"/>
      <c r="C237" s="15"/>
      <c r="D237" s="15"/>
      <c r="E237" s="15"/>
      <c r="F237" s="15"/>
      <c r="G237" s="16" t="str">
        <f aca="false">IF($A237="","",WEEKNUM($A237,1))</f>
        <v/>
      </c>
      <c r="H237" s="16" t="str">
        <f aca="false">IF($A237="","",YEAR($A237))</f>
        <v/>
      </c>
    </row>
    <row r="238" customFormat="false" ht="15" hidden="false" customHeight="false" outlineLevel="0" collapsed="false">
      <c r="A238" s="30"/>
      <c r="B238" s="15"/>
      <c r="C238" s="15"/>
      <c r="D238" s="15"/>
      <c r="E238" s="15"/>
      <c r="F238" s="15"/>
      <c r="G238" s="16" t="str">
        <f aca="false">IF($A238="","",WEEKNUM($A238,1))</f>
        <v/>
      </c>
      <c r="H238" s="16" t="str">
        <f aca="false">IF($A238="","",YEAR($A238))</f>
        <v/>
      </c>
    </row>
    <row r="239" customFormat="false" ht="15" hidden="false" customHeight="false" outlineLevel="0" collapsed="false">
      <c r="A239" s="30"/>
      <c r="B239" s="15"/>
      <c r="C239" s="15"/>
      <c r="D239" s="15"/>
      <c r="E239" s="15"/>
      <c r="F239" s="15"/>
      <c r="G239" s="16" t="str">
        <f aca="false">IF($A239="","",WEEKNUM($A239,1))</f>
        <v/>
      </c>
      <c r="H239" s="16" t="str">
        <f aca="false">IF($A239="","",YEAR($A239))</f>
        <v/>
      </c>
    </row>
    <row r="240" customFormat="false" ht="15" hidden="false" customHeight="false" outlineLevel="0" collapsed="false">
      <c r="A240" s="30"/>
      <c r="B240" s="15"/>
      <c r="C240" s="15"/>
      <c r="D240" s="15"/>
      <c r="E240" s="15"/>
      <c r="F240" s="15"/>
      <c r="G240" s="16" t="str">
        <f aca="false">IF($A240="","",WEEKNUM($A240,1))</f>
        <v/>
      </c>
      <c r="H240" s="16" t="str">
        <f aca="false">IF($A240="","",YEAR($A240))</f>
        <v/>
      </c>
    </row>
    <row r="241" customFormat="false" ht="15" hidden="false" customHeight="false" outlineLevel="0" collapsed="false">
      <c r="A241" s="30"/>
      <c r="B241" s="15"/>
      <c r="C241" s="15"/>
      <c r="D241" s="15"/>
      <c r="E241" s="15"/>
      <c r="F241" s="15"/>
      <c r="G241" s="16" t="str">
        <f aca="false">IF($A241="","",WEEKNUM($A241,1))</f>
        <v/>
      </c>
      <c r="H241" s="16" t="str">
        <f aca="false">IF($A241="","",YEAR($A241))</f>
        <v/>
      </c>
    </row>
    <row r="242" customFormat="false" ht="15" hidden="false" customHeight="false" outlineLevel="0" collapsed="false">
      <c r="A242" s="30"/>
      <c r="B242" s="15"/>
      <c r="C242" s="15"/>
      <c r="D242" s="15"/>
      <c r="E242" s="15"/>
      <c r="F242" s="15"/>
      <c r="G242" s="16" t="str">
        <f aca="false">IF($A242="","",WEEKNUM($A242,1))</f>
        <v/>
      </c>
      <c r="H242" s="16" t="str">
        <f aca="false">IF($A242="","",YEAR($A242))</f>
        <v/>
      </c>
    </row>
    <row r="243" customFormat="false" ht="15" hidden="false" customHeight="false" outlineLevel="0" collapsed="false">
      <c r="A243" s="30"/>
      <c r="B243" s="15"/>
      <c r="C243" s="15"/>
      <c r="D243" s="15"/>
      <c r="E243" s="15"/>
      <c r="F243" s="15"/>
      <c r="G243" s="16" t="str">
        <f aca="false">IF($A243="","",WEEKNUM($A243,1))</f>
        <v/>
      </c>
      <c r="H243" s="16" t="str">
        <f aca="false">IF($A243="","",YEAR($A243))</f>
        <v/>
      </c>
    </row>
    <row r="244" customFormat="false" ht="15" hidden="false" customHeight="false" outlineLevel="0" collapsed="false">
      <c r="A244" s="30"/>
      <c r="B244" s="15"/>
      <c r="C244" s="15"/>
      <c r="D244" s="15"/>
      <c r="E244" s="15"/>
      <c r="F244" s="15"/>
      <c r="G244" s="16" t="str">
        <f aca="false">IF($A244="","",WEEKNUM($A244,1))</f>
        <v/>
      </c>
      <c r="H244" s="16" t="str">
        <f aca="false">IF($A244="","",YEAR($A244))</f>
        <v/>
      </c>
    </row>
    <row r="245" customFormat="false" ht="15" hidden="false" customHeight="false" outlineLevel="0" collapsed="false">
      <c r="A245" s="30"/>
      <c r="B245" s="15"/>
      <c r="C245" s="15"/>
      <c r="D245" s="15"/>
      <c r="E245" s="15"/>
      <c r="F245" s="15"/>
      <c r="G245" s="16" t="str">
        <f aca="false">IF($A245="","",WEEKNUM($A245,1))</f>
        <v/>
      </c>
      <c r="H245" s="16" t="str">
        <f aca="false">IF($A245="","",YEAR($A245))</f>
        <v/>
      </c>
    </row>
    <row r="246" customFormat="false" ht="15" hidden="false" customHeight="false" outlineLevel="0" collapsed="false">
      <c r="A246" s="30"/>
      <c r="B246" s="15"/>
      <c r="C246" s="15"/>
      <c r="D246" s="15"/>
      <c r="E246" s="15"/>
      <c r="F246" s="15"/>
      <c r="G246" s="16" t="str">
        <f aca="false">IF($A246="","",WEEKNUM($A246,1))</f>
        <v/>
      </c>
      <c r="H246" s="16" t="str">
        <f aca="false">IF($A246="","",YEAR($A246))</f>
        <v/>
      </c>
    </row>
    <row r="247" customFormat="false" ht="15" hidden="false" customHeight="false" outlineLevel="0" collapsed="false">
      <c r="A247" s="30"/>
      <c r="B247" s="15"/>
      <c r="C247" s="15"/>
      <c r="D247" s="15"/>
      <c r="E247" s="15"/>
      <c r="F247" s="15"/>
      <c r="G247" s="16" t="str">
        <f aca="false">IF($A247="","",WEEKNUM($A247,1))</f>
        <v/>
      </c>
      <c r="H247" s="16" t="str">
        <f aca="false">IF($A247="","",YEAR($A247))</f>
        <v/>
      </c>
    </row>
    <row r="248" customFormat="false" ht="15" hidden="false" customHeight="false" outlineLevel="0" collapsed="false">
      <c r="A248" s="30"/>
      <c r="B248" s="15"/>
      <c r="C248" s="15"/>
      <c r="D248" s="15"/>
      <c r="E248" s="15"/>
      <c r="F248" s="15"/>
      <c r="G248" s="16" t="str">
        <f aca="false">IF($A248="","",WEEKNUM($A248,1))</f>
        <v/>
      </c>
      <c r="H248" s="16" t="str">
        <f aca="false">IF($A248="","",YEAR($A248))</f>
        <v/>
      </c>
    </row>
    <row r="249" customFormat="false" ht="15" hidden="false" customHeight="false" outlineLevel="0" collapsed="false">
      <c r="A249" s="30"/>
      <c r="B249" s="15"/>
      <c r="C249" s="15"/>
      <c r="D249" s="15"/>
      <c r="E249" s="15"/>
      <c r="F249" s="15"/>
      <c r="G249" s="16" t="str">
        <f aca="false">IF($A249="","",WEEKNUM($A249,1))</f>
        <v/>
      </c>
      <c r="H249" s="16" t="str">
        <f aca="false">IF($A249="","",YEAR($A249))</f>
        <v/>
      </c>
    </row>
    <row r="250" customFormat="false" ht="15" hidden="false" customHeight="false" outlineLevel="0" collapsed="false">
      <c r="A250" s="30"/>
      <c r="B250" s="15"/>
      <c r="C250" s="15"/>
      <c r="D250" s="15"/>
      <c r="E250" s="15"/>
      <c r="F250" s="15"/>
      <c r="G250" s="16" t="str">
        <f aca="false">IF($A250="","",WEEKNUM($A250,1))</f>
        <v/>
      </c>
      <c r="H250" s="16" t="str">
        <f aca="false">IF($A250="","",YEAR($A250))</f>
        <v/>
      </c>
    </row>
    <row r="251" customFormat="false" ht="15" hidden="false" customHeight="false" outlineLevel="0" collapsed="false">
      <c r="A251" s="30"/>
      <c r="B251" s="15"/>
      <c r="C251" s="15"/>
      <c r="D251" s="15"/>
      <c r="E251" s="15"/>
      <c r="F251" s="15"/>
      <c r="G251" s="16" t="str">
        <f aca="false">IF($A251="","",WEEKNUM($A251,1))</f>
        <v/>
      </c>
      <c r="H251" s="16" t="str">
        <f aca="false">IF($A251="","",YEAR($A251))</f>
        <v/>
      </c>
    </row>
    <row r="252" customFormat="false" ht="15" hidden="false" customHeight="false" outlineLevel="0" collapsed="false">
      <c r="A252" s="30"/>
      <c r="B252" s="15"/>
      <c r="C252" s="15"/>
      <c r="D252" s="15"/>
      <c r="E252" s="15"/>
      <c r="F252" s="15"/>
      <c r="G252" s="16" t="str">
        <f aca="false">IF($A252="","",WEEKNUM($A252,1))</f>
        <v/>
      </c>
      <c r="H252" s="16" t="str">
        <f aca="false">IF($A252="","",YEAR($A252))</f>
        <v/>
      </c>
    </row>
    <row r="253" customFormat="false" ht="15" hidden="false" customHeight="false" outlineLevel="0" collapsed="false">
      <c r="A253" s="30"/>
      <c r="B253" s="15"/>
      <c r="C253" s="15"/>
      <c r="D253" s="15"/>
      <c r="E253" s="15"/>
      <c r="F253" s="15"/>
      <c r="G253" s="16" t="str">
        <f aca="false">IF($A253="","",WEEKNUM($A253,1))</f>
        <v/>
      </c>
      <c r="H253" s="16" t="str">
        <f aca="false">IF($A253="","",YEAR($A253))</f>
        <v/>
      </c>
    </row>
    <row r="254" customFormat="false" ht="15" hidden="false" customHeight="false" outlineLevel="0" collapsed="false">
      <c r="A254" s="30"/>
      <c r="B254" s="15"/>
      <c r="C254" s="15"/>
      <c r="D254" s="15"/>
      <c r="E254" s="15"/>
      <c r="F254" s="15"/>
      <c r="G254" s="16" t="str">
        <f aca="false">IF($A254="","",WEEKNUM($A254,1))</f>
        <v/>
      </c>
      <c r="H254" s="16" t="str">
        <f aca="false">IF($A254="","",YEAR($A254))</f>
        <v/>
      </c>
    </row>
    <row r="255" customFormat="false" ht="15" hidden="false" customHeight="false" outlineLevel="0" collapsed="false">
      <c r="A255" s="30"/>
      <c r="B255" s="15"/>
      <c r="C255" s="15"/>
      <c r="D255" s="15"/>
      <c r="E255" s="15"/>
      <c r="F255" s="15"/>
      <c r="G255" s="16" t="str">
        <f aca="false">IF($A255="","",WEEKNUM($A255,1))</f>
        <v/>
      </c>
      <c r="H255" s="16" t="str">
        <f aca="false">IF($A255="","",YEAR($A255))</f>
        <v/>
      </c>
    </row>
    <row r="256" customFormat="false" ht="15" hidden="false" customHeight="false" outlineLevel="0" collapsed="false">
      <c r="A256" s="30"/>
      <c r="B256" s="15"/>
      <c r="C256" s="15"/>
      <c r="D256" s="15"/>
      <c r="E256" s="15"/>
      <c r="F256" s="15"/>
      <c r="G256" s="16" t="str">
        <f aca="false">IF($A256="","",WEEKNUM($A256,1))</f>
        <v/>
      </c>
      <c r="H256" s="16" t="str">
        <f aca="false">IF($A256="","",YEAR($A256))</f>
        <v/>
      </c>
    </row>
    <row r="257" customFormat="false" ht="15" hidden="false" customHeight="false" outlineLevel="0" collapsed="false">
      <c r="A257" s="30"/>
      <c r="B257" s="15"/>
      <c r="C257" s="15"/>
      <c r="D257" s="15"/>
      <c r="E257" s="15"/>
      <c r="F257" s="15"/>
      <c r="G257" s="16" t="str">
        <f aca="false">IF($A257="","",WEEKNUM($A257,1))</f>
        <v/>
      </c>
      <c r="H257" s="16" t="str">
        <f aca="false">IF($A257="","",YEAR($A257))</f>
        <v/>
      </c>
    </row>
    <row r="258" customFormat="false" ht="15" hidden="false" customHeight="false" outlineLevel="0" collapsed="false">
      <c r="A258" s="30"/>
      <c r="B258" s="15"/>
      <c r="C258" s="15"/>
      <c r="D258" s="15"/>
      <c r="E258" s="15"/>
      <c r="F258" s="15"/>
      <c r="G258" s="16" t="str">
        <f aca="false">IF($A258="","",WEEKNUM($A258,1))</f>
        <v/>
      </c>
      <c r="H258" s="16" t="str">
        <f aca="false">IF($A258="","",YEAR($A258))</f>
        <v/>
      </c>
    </row>
    <row r="259" customFormat="false" ht="15" hidden="false" customHeight="false" outlineLevel="0" collapsed="false">
      <c r="A259" s="30"/>
      <c r="B259" s="15"/>
      <c r="C259" s="15"/>
      <c r="D259" s="15"/>
      <c r="E259" s="15"/>
      <c r="F259" s="15"/>
      <c r="G259" s="16" t="str">
        <f aca="false">IF($A259="","",WEEKNUM($A259,1))</f>
        <v/>
      </c>
      <c r="H259" s="16" t="str">
        <f aca="false">IF($A259="","",YEAR($A259))</f>
        <v/>
      </c>
    </row>
    <row r="260" customFormat="false" ht="15" hidden="false" customHeight="false" outlineLevel="0" collapsed="false">
      <c r="A260" s="30"/>
      <c r="B260" s="15"/>
      <c r="C260" s="15"/>
      <c r="D260" s="15"/>
      <c r="E260" s="15"/>
      <c r="F260" s="15"/>
      <c r="G260" s="16" t="str">
        <f aca="false">IF($A260="","",WEEKNUM($A260,1))</f>
        <v/>
      </c>
      <c r="H260" s="16" t="str">
        <f aca="false">IF($A260="","",YEAR($A260))</f>
        <v/>
      </c>
    </row>
    <row r="261" customFormat="false" ht="15" hidden="false" customHeight="false" outlineLevel="0" collapsed="false">
      <c r="A261" s="30"/>
      <c r="B261" s="15"/>
      <c r="C261" s="15"/>
      <c r="D261" s="15"/>
      <c r="E261" s="15"/>
      <c r="F261" s="15"/>
      <c r="G261" s="16" t="str">
        <f aca="false">IF($A261="","",WEEKNUM($A261,1))</f>
        <v/>
      </c>
      <c r="H261" s="16" t="str">
        <f aca="false">IF($A261="","",YEAR($A261))</f>
        <v/>
      </c>
    </row>
    <row r="262" customFormat="false" ht="15" hidden="false" customHeight="false" outlineLevel="0" collapsed="false">
      <c r="A262" s="30"/>
      <c r="B262" s="15"/>
      <c r="C262" s="15"/>
      <c r="D262" s="15"/>
      <c r="E262" s="15"/>
      <c r="F262" s="15"/>
      <c r="G262" s="16" t="str">
        <f aca="false">IF($A262="","",WEEKNUM($A262,1))</f>
        <v/>
      </c>
      <c r="H262" s="16" t="str">
        <f aca="false">IF($A262="","",YEAR($A262))</f>
        <v/>
      </c>
    </row>
    <row r="263" customFormat="false" ht="15" hidden="false" customHeight="false" outlineLevel="0" collapsed="false">
      <c r="A263" s="30"/>
      <c r="B263" s="15"/>
      <c r="C263" s="15"/>
      <c r="D263" s="15"/>
      <c r="E263" s="15"/>
      <c r="F263" s="15"/>
      <c r="G263" s="16" t="str">
        <f aca="false">IF($A263="","",WEEKNUM($A263,1))</f>
        <v/>
      </c>
      <c r="H263" s="16" t="str">
        <f aca="false">IF($A263="","",YEAR($A263))</f>
        <v/>
      </c>
    </row>
    <row r="264" customFormat="false" ht="15" hidden="false" customHeight="false" outlineLevel="0" collapsed="false">
      <c r="A264" s="30"/>
      <c r="B264" s="15"/>
      <c r="C264" s="15"/>
      <c r="D264" s="15"/>
      <c r="E264" s="15"/>
      <c r="F264" s="15"/>
      <c r="G264" s="16" t="str">
        <f aca="false">IF($A264="","",WEEKNUM($A264,1))</f>
        <v/>
      </c>
      <c r="H264" s="16" t="str">
        <f aca="false">IF($A264="","",YEAR($A264))</f>
        <v/>
      </c>
    </row>
    <row r="265" customFormat="false" ht="15" hidden="false" customHeight="false" outlineLevel="0" collapsed="false">
      <c r="A265" s="30"/>
      <c r="B265" s="15"/>
      <c r="C265" s="15"/>
      <c r="D265" s="15"/>
      <c r="E265" s="15"/>
      <c r="F265" s="15"/>
      <c r="G265" s="16" t="str">
        <f aca="false">IF($A265="","",WEEKNUM($A265,1))</f>
        <v/>
      </c>
      <c r="H265" s="16" t="str">
        <f aca="false">IF($A265="","",YEAR($A265))</f>
        <v/>
      </c>
    </row>
    <row r="266" customFormat="false" ht="15" hidden="false" customHeight="false" outlineLevel="0" collapsed="false">
      <c r="A266" s="30"/>
      <c r="B266" s="15"/>
      <c r="C266" s="15"/>
      <c r="D266" s="15"/>
      <c r="E266" s="15"/>
      <c r="F266" s="15"/>
      <c r="G266" s="16" t="str">
        <f aca="false">IF($A266="","",WEEKNUM($A266,1))</f>
        <v/>
      </c>
      <c r="H266" s="16" t="str">
        <f aca="false">IF($A266="","",YEAR($A266))</f>
        <v/>
      </c>
    </row>
    <row r="267" customFormat="false" ht="15" hidden="false" customHeight="false" outlineLevel="0" collapsed="false">
      <c r="A267" s="30"/>
      <c r="B267" s="15"/>
      <c r="C267" s="15"/>
      <c r="D267" s="15"/>
      <c r="E267" s="15"/>
      <c r="F267" s="15"/>
      <c r="G267" s="16" t="str">
        <f aca="false">IF($A267="","",WEEKNUM($A267,1))</f>
        <v/>
      </c>
      <c r="H267" s="16" t="str">
        <f aca="false">IF($A267="","",YEAR($A267))</f>
        <v/>
      </c>
    </row>
    <row r="268" customFormat="false" ht="15" hidden="false" customHeight="false" outlineLevel="0" collapsed="false">
      <c r="A268" s="30"/>
      <c r="B268" s="15"/>
      <c r="C268" s="15"/>
      <c r="D268" s="15"/>
      <c r="E268" s="15"/>
      <c r="F268" s="15"/>
      <c r="G268" s="16" t="str">
        <f aca="false">IF($A268="","",WEEKNUM($A268,1))</f>
        <v/>
      </c>
      <c r="H268" s="16" t="str">
        <f aca="false">IF($A268="","",YEAR($A268))</f>
        <v/>
      </c>
    </row>
    <row r="269" customFormat="false" ht="15" hidden="false" customHeight="false" outlineLevel="0" collapsed="false">
      <c r="A269" s="30"/>
      <c r="B269" s="15"/>
      <c r="C269" s="15"/>
      <c r="D269" s="15"/>
      <c r="E269" s="15"/>
      <c r="F269" s="15"/>
      <c r="G269" s="16" t="str">
        <f aca="false">IF($A269="","",WEEKNUM($A269,1))</f>
        <v/>
      </c>
      <c r="H269" s="16" t="str">
        <f aca="false">IF($A269="","",YEAR($A269))</f>
        <v/>
      </c>
    </row>
    <row r="270" customFormat="false" ht="15" hidden="false" customHeight="false" outlineLevel="0" collapsed="false">
      <c r="A270" s="30"/>
      <c r="B270" s="15"/>
      <c r="C270" s="15"/>
      <c r="D270" s="15"/>
      <c r="E270" s="15"/>
      <c r="F270" s="15"/>
      <c r="G270" s="16" t="str">
        <f aca="false">IF($A270="","",WEEKNUM($A270,1))</f>
        <v/>
      </c>
      <c r="H270" s="16" t="str">
        <f aca="false">IF($A270="","",YEAR($A270))</f>
        <v/>
      </c>
    </row>
    <row r="271" customFormat="false" ht="15" hidden="false" customHeight="false" outlineLevel="0" collapsed="false">
      <c r="A271" s="30"/>
      <c r="B271" s="15"/>
      <c r="C271" s="15"/>
      <c r="D271" s="15"/>
      <c r="E271" s="15"/>
      <c r="F271" s="15"/>
      <c r="G271" s="16" t="str">
        <f aca="false">IF($A271="","",WEEKNUM($A271,1))</f>
        <v/>
      </c>
      <c r="H271" s="16" t="str">
        <f aca="false">IF($A271="","",YEAR($A271))</f>
        <v/>
      </c>
    </row>
    <row r="272" customFormat="false" ht="15" hidden="false" customHeight="false" outlineLevel="0" collapsed="false">
      <c r="A272" s="30"/>
      <c r="B272" s="15"/>
      <c r="C272" s="15"/>
      <c r="D272" s="15"/>
      <c r="E272" s="15"/>
      <c r="F272" s="15"/>
      <c r="G272" s="16" t="str">
        <f aca="false">IF($A272="","",WEEKNUM($A272,1))</f>
        <v/>
      </c>
      <c r="H272" s="16" t="str">
        <f aca="false">IF($A272="","",YEAR($A272))</f>
        <v/>
      </c>
    </row>
    <row r="273" customFormat="false" ht="15" hidden="false" customHeight="false" outlineLevel="0" collapsed="false">
      <c r="A273" s="30"/>
      <c r="B273" s="15"/>
      <c r="C273" s="15"/>
      <c r="D273" s="15"/>
      <c r="E273" s="15"/>
      <c r="F273" s="15"/>
      <c r="G273" s="16" t="str">
        <f aca="false">IF($A273="","",WEEKNUM($A273,1))</f>
        <v/>
      </c>
      <c r="H273" s="16" t="str">
        <f aca="false">IF($A273="","",YEAR($A273))</f>
        <v/>
      </c>
    </row>
    <row r="274" customFormat="false" ht="15" hidden="false" customHeight="false" outlineLevel="0" collapsed="false">
      <c r="A274" s="30"/>
      <c r="B274" s="15"/>
      <c r="C274" s="15"/>
      <c r="D274" s="15"/>
      <c r="E274" s="15"/>
      <c r="F274" s="15"/>
      <c r="G274" s="16" t="str">
        <f aca="false">IF($A274="","",WEEKNUM($A274,1))</f>
        <v/>
      </c>
      <c r="H274" s="16" t="str">
        <f aca="false">IF($A274="","",YEAR($A274))</f>
        <v/>
      </c>
    </row>
    <row r="275" customFormat="false" ht="15" hidden="false" customHeight="false" outlineLevel="0" collapsed="false">
      <c r="A275" s="30"/>
      <c r="B275" s="15"/>
      <c r="C275" s="15"/>
      <c r="D275" s="15"/>
      <c r="E275" s="15"/>
      <c r="F275" s="15"/>
      <c r="G275" s="16" t="str">
        <f aca="false">IF($A275="","",WEEKNUM($A275,1))</f>
        <v/>
      </c>
      <c r="H275" s="16" t="str">
        <f aca="false">IF($A275="","",YEAR($A275))</f>
        <v/>
      </c>
    </row>
    <row r="276" customFormat="false" ht="15" hidden="false" customHeight="false" outlineLevel="0" collapsed="false">
      <c r="A276" s="30"/>
      <c r="B276" s="15"/>
      <c r="C276" s="15"/>
      <c r="D276" s="15"/>
      <c r="E276" s="15"/>
      <c r="F276" s="15"/>
      <c r="G276" s="16" t="str">
        <f aca="false">IF($A276="","",WEEKNUM($A276,1))</f>
        <v/>
      </c>
      <c r="H276" s="16" t="str">
        <f aca="false">IF($A276="","",YEAR($A276))</f>
        <v/>
      </c>
    </row>
    <row r="277" customFormat="false" ht="15" hidden="false" customHeight="false" outlineLevel="0" collapsed="false">
      <c r="A277" s="30"/>
      <c r="B277" s="15"/>
      <c r="C277" s="15"/>
      <c r="D277" s="15"/>
      <c r="E277" s="15"/>
      <c r="F277" s="15"/>
      <c r="G277" s="16" t="str">
        <f aca="false">IF($A277="","",WEEKNUM($A277,1))</f>
        <v/>
      </c>
      <c r="H277" s="16" t="str">
        <f aca="false">IF($A277="","",YEAR($A277))</f>
        <v/>
      </c>
    </row>
    <row r="278" customFormat="false" ht="15" hidden="false" customHeight="false" outlineLevel="0" collapsed="false">
      <c r="A278" s="30"/>
      <c r="B278" s="15"/>
      <c r="C278" s="15"/>
      <c r="D278" s="15"/>
      <c r="E278" s="15"/>
      <c r="F278" s="15"/>
      <c r="G278" s="16" t="str">
        <f aca="false">IF($A278="","",WEEKNUM($A278,1))</f>
        <v/>
      </c>
      <c r="H278" s="16" t="str">
        <f aca="false">IF($A278="","",YEAR($A278))</f>
        <v/>
      </c>
    </row>
    <row r="279" customFormat="false" ht="15" hidden="false" customHeight="false" outlineLevel="0" collapsed="false">
      <c r="A279" s="30"/>
      <c r="B279" s="15"/>
      <c r="C279" s="15"/>
      <c r="D279" s="15"/>
      <c r="E279" s="15"/>
      <c r="F279" s="15"/>
      <c r="G279" s="16" t="str">
        <f aca="false">IF($A279="","",WEEKNUM($A279,1))</f>
        <v/>
      </c>
      <c r="H279" s="16" t="str">
        <f aca="false">IF($A279="","",YEAR($A279))</f>
        <v/>
      </c>
    </row>
    <row r="280" customFormat="false" ht="15" hidden="false" customHeight="false" outlineLevel="0" collapsed="false">
      <c r="A280" s="30"/>
      <c r="B280" s="15"/>
      <c r="C280" s="15"/>
      <c r="D280" s="15"/>
      <c r="E280" s="15"/>
      <c r="F280" s="15"/>
      <c r="G280" s="16" t="str">
        <f aca="false">IF($A280="","",WEEKNUM($A280,1))</f>
        <v/>
      </c>
      <c r="H280" s="16" t="str">
        <f aca="false">IF($A280="","",YEAR($A280))</f>
        <v/>
      </c>
    </row>
    <row r="281" customFormat="false" ht="15" hidden="false" customHeight="false" outlineLevel="0" collapsed="false">
      <c r="A281" s="30"/>
      <c r="B281" s="15"/>
      <c r="C281" s="15"/>
      <c r="D281" s="15"/>
      <c r="E281" s="15"/>
      <c r="F281" s="15"/>
      <c r="G281" s="16" t="str">
        <f aca="false">IF($A281="","",WEEKNUM($A281,1))</f>
        <v/>
      </c>
      <c r="H281" s="16" t="str">
        <f aca="false">IF($A281="","",YEAR($A281))</f>
        <v/>
      </c>
    </row>
    <row r="282" customFormat="false" ht="15" hidden="false" customHeight="false" outlineLevel="0" collapsed="false">
      <c r="A282" s="30"/>
      <c r="B282" s="15"/>
      <c r="C282" s="15"/>
      <c r="D282" s="15"/>
      <c r="E282" s="15"/>
      <c r="F282" s="15"/>
      <c r="G282" s="16" t="str">
        <f aca="false">IF($A282="","",WEEKNUM($A282,1))</f>
        <v/>
      </c>
      <c r="H282" s="16" t="str">
        <f aca="false">IF($A282="","",YEAR($A282))</f>
        <v/>
      </c>
    </row>
    <row r="283" customFormat="false" ht="15" hidden="false" customHeight="false" outlineLevel="0" collapsed="false">
      <c r="A283" s="30"/>
      <c r="B283" s="15"/>
      <c r="C283" s="15"/>
      <c r="D283" s="15"/>
      <c r="E283" s="15"/>
      <c r="F283" s="15"/>
      <c r="G283" s="16" t="str">
        <f aca="false">IF($A283="","",WEEKNUM($A283,1))</f>
        <v/>
      </c>
      <c r="H283" s="16" t="str">
        <f aca="false">IF($A283="","",YEAR($A283))</f>
        <v/>
      </c>
    </row>
    <row r="284" customFormat="false" ht="15" hidden="false" customHeight="false" outlineLevel="0" collapsed="false">
      <c r="A284" s="30"/>
      <c r="B284" s="15"/>
      <c r="C284" s="15"/>
      <c r="D284" s="15"/>
      <c r="E284" s="15"/>
      <c r="F284" s="15"/>
      <c r="G284" s="16" t="str">
        <f aca="false">IF($A284="","",WEEKNUM($A284,1))</f>
        <v/>
      </c>
      <c r="H284" s="16" t="str">
        <f aca="false">IF($A284="","",YEAR($A284))</f>
        <v/>
      </c>
    </row>
    <row r="285" customFormat="false" ht="15" hidden="false" customHeight="false" outlineLevel="0" collapsed="false">
      <c r="A285" s="30"/>
      <c r="B285" s="15"/>
      <c r="C285" s="15"/>
      <c r="D285" s="15"/>
      <c r="E285" s="15"/>
      <c r="F285" s="15"/>
      <c r="G285" s="16" t="str">
        <f aca="false">IF($A285="","",WEEKNUM($A285,1))</f>
        <v/>
      </c>
      <c r="H285" s="16" t="str">
        <f aca="false">IF($A285="","",YEAR($A285))</f>
        <v/>
      </c>
    </row>
    <row r="286" customFormat="false" ht="15" hidden="false" customHeight="false" outlineLevel="0" collapsed="false">
      <c r="A286" s="30"/>
      <c r="B286" s="15"/>
      <c r="C286" s="15"/>
      <c r="D286" s="15"/>
      <c r="E286" s="15"/>
      <c r="F286" s="15"/>
      <c r="G286" s="16" t="str">
        <f aca="false">IF($A286="","",WEEKNUM($A286,1))</f>
        <v/>
      </c>
      <c r="H286" s="16" t="str">
        <f aca="false">IF($A286="","",YEAR($A286))</f>
        <v/>
      </c>
    </row>
    <row r="287" customFormat="false" ht="15" hidden="false" customHeight="false" outlineLevel="0" collapsed="false">
      <c r="A287" s="30"/>
      <c r="B287" s="15"/>
      <c r="C287" s="15"/>
      <c r="D287" s="15"/>
      <c r="E287" s="15"/>
      <c r="F287" s="15"/>
      <c r="G287" s="16" t="str">
        <f aca="false">IF($A287="","",WEEKNUM($A287,1))</f>
        <v/>
      </c>
      <c r="H287" s="16" t="str">
        <f aca="false">IF($A287="","",YEAR($A287))</f>
        <v/>
      </c>
    </row>
    <row r="288" customFormat="false" ht="15" hidden="false" customHeight="false" outlineLevel="0" collapsed="false">
      <c r="A288" s="30"/>
      <c r="B288" s="15"/>
      <c r="C288" s="15"/>
      <c r="D288" s="15"/>
      <c r="E288" s="15"/>
      <c r="F288" s="15"/>
      <c r="G288" s="16" t="str">
        <f aca="false">IF($A288="","",WEEKNUM($A288,1))</f>
        <v/>
      </c>
      <c r="H288" s="16" t="str">
        <f aca="false">IF($A288="","",YEAR($A288))</f>
        <v/>
      </c>
    </row>
    <row r="289" customFormat="false" ht="15" hidden="false" customHeight="false" outlineLevel="0" collapsed="false">
      <c r="A289" s="30"/>
      <c r="B289" s="15"/>
      <c r="C289" s="15"/>
      <c r="D289" s="15"/>
      <c r="E289" s="15"/>
      <c r="F289" s="15"/>
      <c r="G289" s="16" t="str">
        <f aca="false">IF($A289="","",WEEKNUM($A289,1))</f>
        <v/>
      </c>
      <c r="H289" s="16" t="str">
        <f aca="false">IF($A289="","",YEAR($A289))</f>
        <v/>
      </c>
    </row>
    <row r="290" customFormat="false" ht="15" hidden="false" customHeight="false" outlineLevel="0" collapsed="false">
      <c r="A290" s="30"/>
      <c r="B290" s="15"/>
      <c r="C290" s="15"/>
      <c r="D290" s="15"/>
      <c r="E290" s="15"/>
      <c r="F290" s="15"/>
      <c r="G290" s="16" t="str">
        <f aca="false">IF($A290="","",WEEKNUM($A290,1))</f>
        <v/>
      </c>
      <c r="H290" s="16" t="str">
        <f aca="false">IF($A290="","",YEAR($A290))</f>
        <v/>
      </c>
    </row>
    <row r="291" customFormat="false" ht="15" hidden="false" customHeight="false" outlineLevel="0" collapsed="false">
      <c r="A291" s="30"/>
      <c r="B291" s="15"/>
      <c r="C291" s="15"/>
      <c r="D291" s="15"/>
      <c r="E291" s="15"/>
      <c r="F291" s="15"/>
      <c r="G291" s="16" t="str">
        <f aca="false">IF($A291="","",WEEKNUM($A291,1))</f>
        <v/>
      </c>
      <c r="H291" s="16" t="str">
        <f aca="false">IF($A291="","",YEAR($A291))</f>
        <v/>
      </c>
    </row>
    <row r="292" customFormat="false" ht="15" hidden="false" customHeight="false" outlineLevel="0" collapsed="false">
      <c r="A292" s="30"/>
      <c r="B292" s="15"/>
      <c r="C292" s="15"/>
      <c r="D292" s="15"/>
      <c r="E292" s="15"/>
      <c r="F292" s="15"/>
      <c r="G292" s="16" t="str">
        <f aca="false">IF($A292="","",WEEKNUM($A292,1))</f>
        <v/>
      </c>
      <c r="H292" s="16" t="str">
        <f aca="false">IF($A292="","",YEAR($A292))</f>
        <v/>
      </c>
    </row>
    <row r="293" customFormat="false" ht="15" hidden="false" customHeight="false" outlineLevel="0" collapsed="false">
      <c r="A293" s="30"/>
      <c r="B293" s="15"/>
      <c r="C293" s="15"/>
      <c r="D293" s="15"/>
      <c r="E293" s="15"/>
      <c r="F293" s="15"/>
      <c r="G293" s="16" t="str">
        <f aca="false">IF($A293="","",WEEKNUM($A293,1))</f>
        <v/>
      </c>
      <c r="H293" s="16" t="str">
        <f aca="false">IF($A293="","",YEAR($A293))</f>
        <v/>
      </c>
    </row>
    <row r="294" customFormat="false" ht="15" hidden="false" customHeight="false" outlineLevel="0" collapsed="false">
      <c r="A294" s="30"/>
      <c r="B294" s="15"/>
      <c r="C294" s="15"/>
      <c r="D294" s="15"/>
      <c r="E294" s="15"/>
      <c r="F294" s="15"/>
      <c r="G294" s="16" t="str">
        <f aca="false">IF($A294="","",WEEKNUM($A294,1))</f>
        <v/>
      </c>
      <c r="H294" s="16" t="str">
        <f aca="false">IF($A294="","",YEAR($A294))</f>
        <v/>
      </c>
    </row>
    <row r="295" customFormat="false" ht="15" hidden="false" customHeight="false" outlineLevel="0" collapsed="false">
      <c r="A295" s="30"/>
      <c r="B295" s="15"/>
      <c r="C295" s="15"/>
      <c r="D295" s="15"/>
      <c r="E295" s="15"/>
      <c r="F295" s="15"/>
      <c r="G295" s="16" t="str">
        <f aca="false">IF($A295="","",WEEKNUM($A295,1))</f>
        <v/>
      </c>
      <c r="H295" s="16" t="str">
        <f aca="false">IF($A295="","",YEAR($A295))</f>
        <v/>
      </c>
    </row>
    <row r="296" customFormat="false" ht="15" hidden="false" customHeight="false" outlineLevel="0" collapsed="false">
      <c r="A296" s="30"/>
      <c r="B296" s="15"/>
      <c r="C296" s="15"/>
      <c r="D296" s="15"/>
      <c r="E296" s="15"/>
      <c r="F296" s="15"/>
      <c r="G296" s="16" t="str">
        <f aca="false">IF($A296="","",WEEKNUM($A296,1))</f>
        <v/>
      </c>
      <c r="H296" s="16" t="str">
        <f aca="false">IF($A296="","",YEAR($A296))</f>
        <v/>
      </c>
    </row>
    <row r="297" customFormat="false" ht="15" hidden="false" customHeight="false" outlineLevel="0" collapsed="false">
      <c r="A297" s="30"/>
      <c r="B297" s="15"/>
      <c r="C297" s="15"/>
      <c r="D297" s="15"/>
      <c r="E297" s="15"/>
      <c r="F297" s="15"/>
      <c r="G297" s="16" t="str">
        <f aca="false">IF($A297="","",WEEKNUM($A297,1))</f>
        <v/>
      </c>
      <c r="H297" s="16" t="str">
        <f aca="false">IF($A297="","",YEAR($A297))</f>
        <v/>
      </c>
    </row>
    <row r="298" customFormat="false" ht="15" hidden="false" customHeight="false" outlineLevel="0" collapsed="false">
      <c r="A298" s="30"/>
      <c r="B298" s="15"/>
      <c r="C298" s="15"/>
      <c r="D298" s="15"/>
      <c r="E298" s="15"/>
      <c r="F298" s="15"/>
      <c r="G298" s="16" t="str">
        <f aca="false">IF($A298="","",WEEKNUM($A298,1))</f>
        <v/>
      </c>
      <c r="H298" s="16" t="str">
        <f aca="false">IF($A298="","",YEAR($A298))</f>
        <v/>
      </c>
    </row>
    <row r="299" customFormat="false" ht="15" hidden="false" customHeight="false" outlineLevel="0" collapsed="false">
      <c r="A299" s="30"/>
      <c r="B299" s="15"/>
      <c r="C299" s="15"/>
      <c r="D299" s="15"/>
      <c r="E299" s="15"/>
      <c r="F299" s="15"/>
      <c r="G299" s="16" t="str">
        <f aca="false">IF($A299="","",WEEKNUM($A299,1))</f>
        <v/>
      </c>
      <c r="H299" s="16" t="str">
        <f aca="false">IF($A299="","",YEAR($A299))</f>
        <v/>
      </c>
    </row>
    <row r="300" customFormat="false" ht="15" hidden="false" customHeight="false" outlineLevel="0" collapsed="false">
      <c r="A300" s="30"/>
      <c r="B300" s="15"/>
      <c r="C300" s="15"/>
      <c r="D300" s="15"/>
      <c r="E300" s="15"/>
      <c r="F300" s="15"/>
      <c r="G300" s="16" t="str">
        <f aca="false">IF($A300="","",WEEKNUM($A300,1))</f>
        <v/>
      </c>
      <c r="H300" s="16" t="str">
        <f aca="false">IF($A300="","",YEAR($A300))</f>
        <v/>
      </c>
    </row>
    <row r="301" customFormat="false" ht="15" hidden="false" customHeight="false" outlineLevel="0" collapsed="false">
      <c r="A301" s="30"/>
      <c r="B301" s="15"/>
      <c r="C301" s="15"/>
      <c r="D301" s="15"/>
      <c r="E301" s="15"/>
      <c r="F301" s="15"/>
      <c r="G301" s="16" t="str">
        <f aca="false">IF($A301="","",WEEKNUM($A301,1))</f>
        <v/>
      </c>
      <c r="H301" s="16" t="str">
        <f aca="false">IF($A301="","",YEAR($A301))</f>
        <v/>
      </c>
    </row>
    <row r="302" customFormat="false" ht="15" hidden="false" customHeight="false" outlineLevel="0" collapsed="false">
      <c r="A302" s="30"/>
      <c r="B302" s="15"/>
      <c r="C302" s="15"/>
      <c r="D302" s="15"/>
      <c r="E302" s="15"/>
      <c r="F302" s="15"/>
      <c r="G302" s="16" t="str">
        <f aca="false">IF($A302="","",WEEKNUM($A302,1))</f>
        <v/>
      </c>
      <c r="H302" s="16" t="str">
        <f aca="false">IF($A302="","",YEAR($A302))</f>
        <v/>
      </c>
    </row>
    <row r="303" customFormat="false" ht="15" hidden="false" customHeight="false" outlineLevel="0" collapsed="false">
      <c r="A303" s="30"/>
      <c r="B303" s="15"/>
      <c r="C303" s="15"/>
      <c r="D303" s="15"/>
      <c r="E303" s="15"/>
      <c r="F303" s="15"/>
      <c r="G303" s="16" t="str">
        <f aca="false">IF($A303="","",WEEKNUM($A303,1))</f>
        <v/>
      </c>
      <c r="H303" s="16" t="str">
        <f aca="false">IF($A303="","",YEAR($A303))</f>
        <v/>
      </c>
    </row>
    <row r="304" customFormat="false" ht="15" hidden="false" customHeight="false" outlineLevel="0" collapsed="false">
      <c r="A304" s="30"/>
      <c r="B304" s="15"/>
      <c r="C304" s="15"/>
      <c r="D304" s="15"/>
      <c r="E304" s="15"/>
      <c r="F304" s="15"/>
      <c r="G304" s="16" t="str">
        <f aca="false">IF($A304="","",WEEKNUM($A304,1))</f>
        <v/>
      </c>
      <c r="H304" s="16" t="str">
        <f aca="false">IF($A304="","",YEAR($A304))</f>
        <v/>
      </c>
    </row>
    <row r="305" customFormat="false" ht="15" hidden="false" customHeight="false" outlineLevel="0" collapsed="false">
      <c r="A305" s="30"/>
      <c r="B305" s="15"/>
      <c r="C305" s="15"/>
      <c r="D305" s="15"/>
      <c r="E305" s="15"/>
      <c r="F305" s="15"/>
      <c r="G305" s="16" t="str">
        <f aca="false">IF($A305="","",WEEKNUM($A305,1))</f>
        <v/>
      </c>
      <c r="H305" s="16" t="str">
        <f aca="false">IF($A305="","",YEAR($A305))</f>
        <v/>
      </c>
    </row>
    <row r="306" customFormat="false" ht="15" hidden="false" customHeight="false" outlineLevel="0" collapsed="false">
      <c r="A306" s="30"/>
      <c r="B306" s="15"/>
      <c r="C306" s="15"/>
      <c r="D306" s="15"/>
      <c r="E306" s="15"/>
      <c r="F306" s="15"/>
      <c r="G306" s="16" t="str">
        <f aca="false">IF($A306="","",WEEKNUM($A306,1))</f>
        <v/>
      </c>
      <c r="H306" s="16" t="str">
        <f aca="false">IF($A306="","",YEAR($A306))</f>
        <v/>
      </c>
    </row>
    <row r="307" customFormat="false" ht="15" hidden="false" customHeight="false" outlineLevel="0" collapsed="false">
      <c r="A307" s="30"/>
      <c r="B307" s="15"/>
      <c r="C307" s="15"/>
      <c r="D307" s="15"/>
      <c r="E307" s="15"/>
      <c r="F307" s="15"/>
      <c r="G307" s="16" t="str">
        <f aca="false">IF($A307="","",WEEKNUM($A307,1))</f>
        <v/>
      </c>
      <c r="H307" s="16" t="str">
        <f aca="false">IF($A307="","",YEAR($A307))</f>
        <v/>
      </c>
    </row>
    <row r="308" customFormat="false" ht="15" hidden="false" customHeight="false" outlineLevel="0" collapsed="false">
      <c r="A308" s="30"/>
      <c r="B308" s="15"/>
      <c r="C308" s="15"/>
      <c r="D308" s="15"/>
      <c r="E308" s="15"/>
      <c r="F308" s="15"/>
      <c r="G308" s="16" t="str">
        <f aca="false">IF($A308="","",WEEKNUM($A308,1))</f>
        <v/>
      </c>
      <c r="H308" s="16" t="str">
        <f aca="false">IF($A308="","",YEAR($A308))</f>
        <v/>
      </c>
    </row>
    <row r="309" customFormat="false" ht="15" hidden="false" customHeight="false" outlineLevel="0" collapsed="false">
      <c r="A309" s="30"/>
      <c r="B309" s="15"/>
      <c r="C309" s="15"/>
      <c r="D309" s="15"/>
      <c r="E309" s="15"/>
      <c r="F309" s="15"/>
      <c r="G309" s="16" t="str">
        <f aca="false">IF($A309="","",WEEKNUM($A309,1))</f>
        <v/>
      </c>
      <c r="H309" s="16" t="str">
        <f aca="false">IF($A309="","",YEAR($A309))</f>
        <v/>
      </c>
    </row>
    <row r="310" customFormat="false" ht="15" hidden="false" customHeight="false" outlineLevel="0" collapsed="false">
      <c r="A310" s="30"/>
      <c r="B310" s="15"/>
      <c r="C310" s="15"/>
      <c r="D310" s="15"/>
      <c r="E310" s="15"/>
      <c r="F310" s="15"/>
      <c r="G310" s="16" t="str">
        <f aca="false">IF($A310="","",WEEKNUM($A310,1))</f>
        <v/>
      </c>
      <c r="H310" s="16" t="str">
        <f aca="false">IF($A310="","",YEAR($A310))</f>
        <v/>
      </c>
    </row>
    <row r="311" customFormat="false" ht="15" hidden="false" customHeight="false" outlineLevel="0" collapsed="false">
      <c r="A311" s="30"/>
      <c r="B311" s="15"/>
      <c r="C311" s="15"/>
      <c r="D311" s="15"/>
      <c r="E311" s="15"/>
      <c r="F311" s="15"/>
      <c r="G311" s="16" t="str">
        <f aca="false">IF($A311="","",WEEKNUM($A311,1))</f>
        <v/>
      </c>
      <c r="H311" s="16" t="str">
        <f aca="false">IF($A311="","",YEAR($A311))</f>
        <v/>
      </c>
    </row>
    <row r="312" customFormat="false" ht="15" hidden="false" customHeight="false" outlineLevel="0" collapsed="false">
      <c r="A312" s="30"/>
      <c r="B312" s="15"/>
      <c r="C312" s="15"/>
      <c r="D312" s="15"/>
      <c r="E312" s="15"/>
      <c r="F312" s="15"/>
      <c r="G312" s="16" t="str">
        <f aca="false">IF($A312="","",WEEKNUM($A312,1))</f>
        <v/>
      </c>
      <c r="H312" s="16" t="str">
        <f aca="false">IF($A312="","",YEAR($A312))</f>
        <v/>
      </c>
    </row>
    <row r="313" customFormat="false" ht="15" hidden="false" customHeight="false" outlineLevel="0" collapsed="false">
      <c r="A313" s="30"/>
      <c r="B313" s="15"/>
      <c r="C313" s="15"/>
      <c r="D313" s="15"/>
      <c r="E313" s="15"/>
      <c r="F313" s="15"/>
      <c r="G313" s="16" t="str">
        <f aca="false">IF($A313="","",WEEKNUM($A313,1))</f>
        <v/>
      </c>
      <c r="H313" s="16" t="str">
        <f aca="false">IF($A313="","",YEAR($A313))</f>
        <v/>
      </c>
    </row>
    <row r="314" customFormat="false" ht="15" hidden="false" customHeight="false" outlineLevel="0" collapsed="false">
      <c r="A314" s="30"/>
      <c r="B314" s="15"/>
      <c r="C314" s="15"/>
      <c r="D314" s="15"/>
      <c r="E314" s="15"/>
      <c r="F314" s="15"/>
      <c r="G314" s="16" t="str">
        <f aca="false">IF($A314="","",WEEKNUM($A314,1))</f>
        <v/>
      </c>
      <c r="H314" s="16" t="str">
        <f aca="false">IF($A314="","",YEAR($A314))</f>
        <v/>
      </c>
    </row>
    <row r="315" customFormat="false" ht="15" hidden="false" customHeight="false" outlineLevel="0" collapsed="false">
      <c r="A315" s="30"/>
      <c r="B315" s="15"/>
      <c r="C315" s="15"/>
      <c r="D315" s="15"/>
      <c r="E315" s="15"/>
      <c r="F315" s="15"/>
      <c r="G315" s="16" t="str">
        <f aca="false">IF($A315="","",WEEKNUM($A315,1))</f>
        <v/>
      </c>
      <c r="H315" s="16" t="str">
        <f aca="false">IF($A315="","",YEAR($A315))</f>
        <v/>
      </c>
    </row>
    <row r="316" customFormat="false" ht="15" hidden="false" customHeight="false" outlineLevel="0" collapsed="false">
      <c r="A316" s="30"/>
      <c r="B316" s="15"/>
      <c r="C316" s="15"/>
      <c r="D316" s="15"/>
      <c r="E316" s="15"/>
      <c r="F316" s="15"/>
      <c r="G316" s="16" t="str">
        <f aca="false">IF($A316="","",WEEKNUM($A316,1))</f>
        <v/>
      </c>
      <c r="H316" s="16" t="str">
        <f aca="false">IF($A316="","",YEAR($A316))</f>
        <v/>
      </c>
    </row>
    <row r="317" customFormat="false" ht="15" hidden="false" customHeight="false" outlineLevel="0" collapsed="false">
      <c r="A317" s="30"/>
      <c r="B317" s="15"/>
      <c r="C317" s="15"/>
      <c r="D317" s="15"/>
      <c r="E317" s="15"/>
      <c r="F317" s="15"/>
      <c r="G317" s="16" t="str">
        <f aca="false">IF($A317="","",WEEKNUM($A317,1))</f>
        <v/>
      </c>
      <c r="H317" s="16" t="str">
        <f aca="false">IF($A317="","",YEAR($A317))</f>
        <v/>
      </c>
    </row>
    <row r="318" customFormat="false" ht="15" hidden="false" customHeight="false" outlineLevel="0" collapsed="false">
      <c r="A318" s="30"/>
      <c r="B318" s="15"/>
      <c r="C318" s="15"/>
      <c r="D318" s="15"/>
      <c r="E318" s="15"/>
      <c r="F318" s="15"/>
      <c r="G318" s="16" t="str">
        <f aca="false">IF($A318="","",WEEKNUM($A318,1))</f>
        <v/>
      </c>
      <c r="H318" s="16" t="str">
        <f aca="false">IF($A318="","",YEAR($A318))</f>
        <v/>
      </c>
    </row>
    <row r="319" customFormat="false" ht="15" hidden="false" customHeight="false" outlineLevel="0" collapsed="false">
      <c r="A319" s="30"/>
      <c r="B319" s="15"/>
      <c r="C319" s="15"/>
      <c r="D319" s="15"/>
      <c r="E319" s="15"/>
      <c r="F319" s="15"/>
      <c r="G319" s="16" t="str">
        <f aca="false">IF($A319="","",WEEKNUM($A319,1))</f>
        <v/>
      </c>
      <c r="H319" s="16" t="str">
        <f aca="false">IF($A319="","",YEAR($A319))</f>
        <v/>
      </c>
    </row>
    <row r="320" customFormat="false" ht="15" hidden="false" customHeight="false" outlineLevel="0" collapsed="false">
      <c r="A320" s="30"/>
      <c r="B320" s="15"/>
      <c r="C320" s="15"/>
      <c r="D320" s="15"/>
      <c r="E320" s="15"/>
      <c r="F320" s="15"/>
      <c r="G320" s="16" t="str">
        <f aca="false">IF($A320="","",WEEKNUM($A320,1))</f>
        <v/>
      </c>
      <c r="H320" s="16" t="str">
        <f aca="false">IF($A320="","",YEAR($A320))</f>
        <v/>
      </c>
    </row>
    <row r="321" customFormat="false" ht="15" hidden="false" customHeight="false" outlineLevel="0" collapsed="false">
      <c r="A321" s="30"/>
      <c r="B321" s="15"/>
      <c r="C321" s="15"/>
      <c r="D321" s="15"/>
      <c r="E321" s="15"/>
      <c r="F321" s="15"/>
      <c r="G321" s="16" t="str">
        <f aca="false">IF($A321="","",WEEKNUM($A321,1))</f>
        <v/>
      </c>
      <c r="H321" s="16" t="str">
        <f aca="false">IF($A321="","",YEAR($A321))</f>
        <v/>
      </c>
    </row>
    <row r="322" customFormat="false" ht="15" hidden="false" customHeight="false" outlineLevel="0" collapsed="false">
      <c r="A322" s="30"/>
      <c r="B322" s="15"/>
      <c r="C322" s="15"/>
      <c r="D322" s="15"/>
      <c r="E322" s="15"/>
      <c r="F322" s="15"/>
      <c r="G322" s="16" t="str">
        <f aca="false">IF($A322="","",WEEKNUM($A322,1))</f>
        <v/>
      </c>
      <c r="H322" s="16" t="str">
        <f aca="false">IF($A322="","",YEAR($A322))</f>
        <v/>
      </c>
    </row>
    <row r="323" customFormat="false" ht="15" hidden="false" customHeight="false" outlineLevel="0" collapsed="false">
      <c r="A323" s="30"/>
      <c r="B323" s="15"/>
      <c r="C323" s="15"/>
      <c r="D323" s="15"/>
      <c r="E323" s="15"/>
      <c r="F323" s="15"/>
      <c r="G323" s="16" t="str">
        <f aca="false">IF($A323="","",WEEKNUM($A323,1))</f>
        <v/>
      </c>
      <c r="H323" s="16" t="str">
        <f aca="false">IF($A323="","",YEAR($A323))</f>
        <v/>
      </c>
    </row>
    <row r="324" customFormat="false" ht="15" hidden="false" customHeight="false" outlineLevel="0" collapsed="false">
      <c r="A324" s="30"/>
      <c r="B324" s="15"/>
      <c r="C324" s="15"/>
      <c r="D324" s="15"/>
      <c r="E324" s="15"/>
      <c r="F324" s="15"/>
      <c r="G324" s="16" t="str">
        <f aca="false">IF($A324="","",WEEKNUM($A324,1))</f>
        <v/>
      </c>
      <c r="H324" s="16" t="str">
        <f aca="false">IF($A324="","",YEAR($A324))</f>
        <v/>
      </c>
    </row>
    <row r="325" customFormat="false" ht="15" hidden="false" customHeight="false" outlineLevel="0" collapsed="false">
      <c r="A325" s="30"/>
      <c r="B325" s="15"/>
      <c r="C325" s="15"/>
      <c r="D325" s="15"/>
      <c r="E325" s="15"/>
      <c r="F325" s="15"/>
      <c r="G325" s="16" t="str">
        <f aca="false">IF($A325="","",WEEKNUM($A325,1))</f>
        <v/>
      </c>
      <c r="H325" s="16" t="str">
        <f aca="false">IF($A325="","",YEAR($A325))</f>
        <v/>
      </c>
    </row>
    <row r="326" customFormat="false" ht="15" hidden="false" customHeight="false" outlineLevel="0" collapsed="false">
      <c r="A326" s="30"/>
      <c r="B326" s="15"/>
      <c r="C326" s="15"/>
      <c r="D326" s="15"/>
      <c r="E326" s="15"/>
      <c r="F326" s="15"/>
      <c r="G326" s="16" t="str">
        <f aca="false">IF($A326="","",WEEKNUM($A326,1))</f>
        <v/>
      </c>
      <c r="H326" s="16" t="str">
        <f aca="false">IF($A326="","",YEAR($A326))</f>
        <v/>
      </c>
    </row>
    <row r="327" customFormat="false" ht="15" hidden="false" customHeight="false" outlineLevel="0" collapsed="false">
      <c r="A327" s="30"/>
      <c r="B327" s="15"/>
      <c r="C327" s="15"/>
      <c r="D327" s="15"/>
      <c r="E327" s="15"/>
      <c r="F327" s="15"/>
      <c r="G327" s="16" t="str">
        <f aca="false">IF($A327="","",WEEKNUM($A327,1))</f>
        <v/>
      </c>
      <c r="H327" s="16" t="str">
        <f aca="false">IF($A327="","",YEAR($A327))</f>
        <v/>
      </c>
    </row>
    <row r="328" customFormat="false" ht="15" hidden="false" customHeight="false" outlineLevel="0" collapsed="false">
      <c r="A328" s="30"/>
      <c r="B328" s="15"/>
      <c r="C328" s="15"/>
      <c r="D328" s="15"/>
      <c r="E328" s="15"/>
      <c r="F328" s="15"/>
      <c r="G328" s="16" t="str">
        <f aca="false">IF($A328="","",WEEKNUM($A328,1))</f>
        <v/>
      </c>
      <c r="H328" s="16" t="str">
        <f aca="false">IF($A328="","",YEAR($A328))</f>
        <v/>
      </c>
    </row>
    <row r="329" customFormat="false" ht="15" hidden="false" customHeight="false" outlineLevel="0" collapsed="false">
      <c r="A329" s="30"/>
      <c r="B329" s="15"/>
      <c r="C329" s="15"/>
      <c r="D329" s="15"/>
      <c r="E329" s="15"/>
      <c r="F329" s="15"/>
      <c r="G329" s="16" t="str">
        <f aca="false">IF($A329="","",WEEKNUM($A329,1))</f>
        <v/>
      </c>
      <c r="H329" s="16" t="str">
        <f aca="false">IF($A329="","",YEAR($A329))</f>
        <v/>
      </c>
    </row>
    <row r="330" customFormat="false" ht="15" hidden="false" customHeight="false" outlineLevel="0" collapsed="false">
      <c r="A330" s="30"/>
      <c r="B330" s="15"/>
      <c r="C330" s="15"/>
      <c r="D330" s="15"/>
      <c r="E330" s="15"/>
      <c r="F330" s="15"/>
      <c r="G330" s="16" t="str">
        <f aca="false">IF($A330="","",WEEKNUM($A330,1))</f>
        <v/>
      </c>
      <c r="H330" s="16" t="str">
        <f aca="false">IF($A330="","",YEAR($A330))</f>
        <v/>
      </c>
    </row>
    <row r="331" customFormat="false" ht="15" hidden="false" customHeight="false" outlineLevel="0" collapsed="false">
      <c r="A331" s="30"/>
      <c r="B331" s="15"/>
      <c r="C331" s="15"/>
      <c r="D331" s="15"/>
      <c r="E331" s="15"/>
      <c r="F331" s="15"/>
      <c r="G331" s="16" t="str">
        <f aca="false">IF($A331="","",WEEKNUM($A331,1))</f>
        <v/>
      </c>
      <c r="H331" s="16" t="str">
        <f aca="false">IF($A331="","",YEAR($A331))</f>
        <v/>
      </c>
    </row>
    <row r="332" customFormat="false" ht="15" hidden="false" customHeight="false" outlineLevel="0" collapsed="false">
      <c r="A332" s="30"/>
      <c r="B332" s="15"/>
      <c r="C332" s="15"/>
      <c r="D332" s="15"/>
      <c r="E332" s="15"/>
      <c r="F332" s="15"/>
      <c r="G332" s="16" t="str">
        <f aca="false">IF($A332="","",WEEKNUM($A332,1))</f>
        <v/>
      </c>
      <c r="H332" s="16" t="str">
        <f aca="false">IF($A332="","",YEAR($A332))</f>
        <v/>
      </c>
    </row>
    <row r="333" customFormat="false" ht="15" hidden="false" customHeight="false" outlineLevel="0" collapsed="false">
      <c r="A333" s="30"/>
      <c r="B333" s="15"/>
      <c r="C333" s="15"/>
      <c r="D333" s="15"/>
      <c r="E333" s="15"/>
      <c r="F333" s="15"/>
      <c r="G333" s="16" t="str">
        <f aca="false">IF($A333="","",WEEKNUM($A333,1))</f>
        <v/>
      </c>
      <c r="H333" s="16" t="str">
        <f aca="false">IF($A333="","",YEAR($A333))</f>
        <v/>
      </c>
    </row>
    <row r="334" customFormat="false" ht="15" hidden="false" customHeight="false" outlineLevel="0" collapsed="false">
      <c r="A334" s="30"/>
      <c r="B334" s="15"/>
      <c r="C334" s="15"/>
      <c r="D334" s="15"/>
      <c r="E334" s="15"/>
      <c r="F334" s="15"/>
      <c r="G334" s="16" t="str">
        <f aca="false">IF($A334="","",WEEKNUM($A334,1))</f>
        <v/>
      </c>
      <c r="H334" s="16" t="str">
        <f aca="false">IF($A334="","",YEAR($A334))</f>
        <v/>
      </c>
    </row>
    <row r="335" customFormat="false" ht="15" hidden="false" customHeight="false" outlineLevel="0" collapsed="false">
      <c r="A335" s="30"/>
      <c r="B335" s="15"/>
      <c r="C335" s="15"/>
      <c r="D335" s="15"/>
      <c r="E335" s="15"/>
      <c r="F335" s="15"/>
      <c r="G335" s="16" t="str">
        <f aca="false">IF($A335="","",WEEKNUM($A335,1))</f>
        <v/>
      </c>
      <c r="H335" s="16" t="str">
        <f aca="false">IF($A335="","",YEAR($A335))</f>
        <v/>
      </c>
    </row>
    <row r="336" customFormat="false" ht="15" hidden="false" customHeight="false" outlineLevel="0" collapsed="false">
      <c r="A336" s="30"/>
      <c r="B336" s="15"/>
      <c r="C336" s="15"/>
      <c r="D336" s="15"/>
      <c r="E336" s="15"/>
      <c r="F336" s="15"/>
      <c r="G336" s="16" t="str">
        <f aca="false">IF($A336="","",WEEKNUM($A336,1))</f>
        <v/>
      </c>
      <c r="H336" s="16" t="str">
        <f aca="false">IF($A336="","",YEAR($A336))</f>
        <v/>
      </c>
    </row>
    <row r="337" customFormat="false" ht="15" hidden="false" customHeight="false" outlineLevel="0" collapsed="false">
      <c r="A337" s="30"/>
      <c r="B337" s="15"/>
      <c r="C337" s="15"/>
      <c r="D337" s="15"/>
      <c r="E337" s="15"/>
      <c r="F337" s="15"/>
      <c r="G337" s="16" t="str">
        <f aca="false">IF($A337="","",WEEKNUM($A337,1))</f>
        <v/>
      </c>
      <c r="H337" s="16" t="str">
        <f aca="false">IF($A337="","",YEAR($A337))</f>
        <v/>
      </c>
    </row>
    <row r="338" customFormat="false" ht="15" hidden="false" customHeight="false" outlineLevel="0" collapsed="false">
      <c r="A338" s="30"/>
      <c r="B338" s="15"/>
      <c r="C338" s="15"/>
      <c r="D338" s="15"/>
      <c r="E338" s="15"/>
      <c r="F338" s="15"/>
      <c r="G338" s="16" t="str">
        <f aca="false">IF($A338="","",WEEKNUM($A338,1))</f>
        <v/>
      </c>
      <c r="H338" s="16" t="str">
        <f aca="false">IF($A338="","",YEAR($A338))</f>
        <v/>
      </c>
    </row>
    <row r="339" customFormat="false" ht="15" hidden="false" customHeight="false" outlineLevel="0" collapsed="false">
      <c r="A339" s="30"/>
      <c r="B339" s="15"/>
      <c r="C339" s="15"/>
      <c r="D339" s="15"/>
      <c r="E339" s="15"/>
      <c r="F339" s="15"/>
      <c r="G339" s="16" t="str">
        <f aca="false">IF($A339="","",WEEKNUM($A339,1))</f>
        <v/>
      </c>
      <c r="H339" s="16" t="str">
        <f aca="false">IF($A339="","",YEAR($A339))</f>
        <v/>
      </c>
    </row>
    <row r="340" customFormat="false" ht="15" hidden="false" customHeight="false" outlineLevel="0" collapsed="false">
      <c r="A340" s="30"/>
      <c r="B340" s="15"/>
      <c r="C340" s="15"/>
      <c r="D340" s="15"/>
      <c r="E340" s="15"/>
      <c r="F340" s="15"/>
      <c r="G340" s="16" t="str">
        <f aca="false">IF($A340="","",WEEKNUM($A340,1))</f>
        <v/>
      </c>
      <c r="H340" s="16" t="str">
        <f aca="false">IF($A340="","",YEAR($A340))</f>
        <v/>
      </c>
    </row>
    <row r="341" customFormat="false" ht="15" hidden="false" customHeight="false" outlineLevel="0" collapsed="false">
      <c r="A341" s="30"/>
      <c r="B341" s="15"/>
      <c r="C341" s="15"/>
      <c r="D341" s="15"/>
      <c r="E341" s="15"/>
      <c r="F341" s="15"/>
      <c r="G341" s="16" t="str">
        <f aca="false">IF($A341="","",WEEKNUM($A341,1))</f>
        <v/>
      </c>
      <c r="H341" s="16" t="str">
        <f aca="false">IF($A341="","",YEAR($A341))</f>
        <v/>
      </c>
    </row>
    <row r="342" customFormat="false" ht="15" hidden="false" customHeight="false" outlineLevel="0" collapsed="false">
      <c r="A342" s="30"/>
      <c r="B342" s="15"/>
      <c r="C342" s="15"/>
      <c r="D342" s="15"/>
      <c r="E342" s="15"/>
      <c r="F342" s="15"/>
      <c r="G342" s="16" t="str">
        <f aca="false">IF($A342="","",WEEKNUM($A342,1))</f>
        <v/>
      </c>
      <c r="H342" s="16" t="str">
        <f aca="false">IF($A342="","",YEAR($A342))</f>
        <v/>
      </c>
    </row>
    <row r="343" customFormat="false" ht="15" hidden="false" customHeight="false" outlineLevel="0" collapsed="false">
      <c r="A343" s="30"/>
      <c r="B343" s="15"/>
      <c r="C343" s="15"/>
      <c r="D343" s="15"/>
      <c r="E343" s="15"/>
      <c r="F343" s="15"/>
      <c r="G343" s="16" t="str">
        <f aca="false">IF($A343="","",WEEKNUM($A343,1))</f>
        <v/>
      </c>
      <c r="H343" s="16" t="str">
        <f aca="false">IF($A343="","",YEAR($A343))</f>
        <v/>
      </c>
    </row>
    <row r="344" customFormat="false" ht="15" hidden="false" customHeight="false" outlineLevel="0" collapsed="false">
      <c r="A344" s="30"/>
      <c r="B344" s="15"/>
      <c r="C344" s="15"/>
      <c r="D344" s="15"/>
      <c r="E344" s="15"/>
      <c r="F344" s="15"/>
      <c r="G344" s="16" t="str">
        <f aca="false">IF($A344="","",WEEKNUM($A344,1))</f>
        <v/>
      </c>
      <c r="H344" s="16" t="str">
        <f aca="false">IF($A344="","",YEAR($A344))</f>
        <v/>
      </c>
    </row>
    <row r="345" customFormat="false" ht="15" hidden="false" customHeight="false" outlineLevel="0" collapsed="false">
      <c r="A345" s="30"/>
      <c r="B345" s="15"/>
      <c r="C345" s="15"/>
      <c r="D345" s="15"/>
      <c r="E345" s="15"/>
      <c r="F345" s="15"/>
      <c r="G345" s="16" t="str">
        <f aca="false">IF($A345="","",WEEKNUM($A345,1))</f>
        <v/>
      </c>
      <c r="H345" s="16" t="str">
        <f aca="false">IF($A345="","",YEAR($A345))</f>
        <v/>
      </c>
    </row>
    <row r="346" customFormat="false" ht="15" hidden="false" customHeight="false" outlineLevel="0" collapsed="false">
      <c r="A346" s="30"/>
      <c r="B346" s="15"/>
      <c r="C346" s="15"/>
      <c r="D346" s="15"/>
      <c r="E346" s="15"/>
      <c r="F346" s="15"/>
      <c r="G346" s="16" t="str">
        <f aca="false">IF($A346="","",WEEKNUM($A346,1))</f>
        <v/>
      </c>
      <c r="H346" s="16" t="str">
        <f aca="false">IF($A346="","",YEAR($A346))</f>
        <v/>
      </c>
    </row>
    <row r="347" customFormat="false" ht="15" hidden="false" customHeight="false" outlineLevel="0" collapsed="false">
      <c r="A347" s="30"/>
      <c r="B347" s="15"/>
      <c r="C347" s="15"/>
      <c r="D347" s="15"/>
      <c r="E347" s="15"/>
      <c r="F347" s="15"/>
      <c r="G347" s="16" t="str">
        <f aca="false">IF($A347="","",WEEKNUM($A347,1))</f>
        <v/>
      </c>
      <c r="H347" s="16" t="str">
        <f aca="false">IF($A347="","",YEAR($A347))</f>
        <v/>
      </c>
    </row>
    <row r="348" customFormat="false" ht="15" hidden="false" customHeight="false" outlineLevel="0" collapsed="false">
      <c r="A348" s="30"/>
      <c r="B348" s="15"/>
      <c r="C348" s="15"/>
      <c r="D348" s="15"/>
      <c r="E348" s="15"/>
      <c r="F348" s="15"/>
      <c r="G348" s="16" t="str">
        <f aca="false">IF($A348="","",WEEKNUM($A348,1))</f>
        <v/>
      </c>
      <c r="H348" s="16" t="str">
        <f aca="false">IF($A348="","",YEAR($A348))</f>
        <v/>
      </c>
    </row>
    <row r="349" customFormat="false" ht="15" hidden="false" customHeight="false" outlineLevel="0" collapsed="false">
      <c r="A349" s="30"/>
      <c r="B349" s="15"/>
      <c r="C349" s="15"/>
      <c r="D349" s="15"/>
      <c r="E349" s="15"/>
      <c r="F349" s="15"/>
      <c r="G349" s="16" t="str">
        <f aca="false">IF($A349="","",WEEKNUM($A349,1))</f>
        <v/>
      </c>
      <c r="H349" s="16" t="str">
        <f aca="false">IF($A349="","",YEAR($A349))</f>
        <v/>
      </c>
    </row>
    <row r="350" customFormat="false" ht="15" hidden="false" customHeight="false" outlineLevel="0" collapsed="false">
      <c r="A350" s="30"/>
      <c r="B350" s="15"/>
      <c r="C350" s="15"/>
      <c r="D350" s="15"/>
      <c r="E350" s="15"/>
      <c r="F350" s="15"/>
      <c r="G350" s="16" t="str">
        <f aca="false">IF($A350="","",WEEKNUM($A350,1))</f>
        <v/>
      </c>
      <c r="H350" s="16" t="str">
        <f aca="false">IF($A350="","",YEAR($A350))</f>
        <v/>
      </c>
    </row>
    <row r="351" customFormat="false" ht="15" hidden="false" customHeight="false" outlineLevel="0" collapsed="false">
      <c r="A351" s="30"/>
      <c r="B351" s="15"/>
      <c r="C351" s="15"/>
      <c r="D351" s="15"/>
      <c r="E351" s="15"/>
      <c r="F351" s="15"/>
      <c r="G351" s="16" t="str">
        <f aca="false">IF($A351="","",WEEKNUM($A351,1))</f>
        <v/>
      </c>
      <c r="H351" s="16" t="str">
        <f aca="false">IF($A351="","",YEAR($A351))</f>
        <v/>
      </c>
    </row>
    <row r="352" customFormat="false" ht="15" hidden="false" customHeight="false" outlineLevel="0" collapsed="false">
      <c r="A352" s="30"/>
      <c r="B352" s="15"/>
      <c r="C352" s="15"/>
      <c r="D352" s="15"/>
      <c r="E352" s="15"/>
      <c r="F352" s="15"/>
      <c r="G352" s="16" t="str">
        <f aca="false">IF($A352="","",WEEKNUM($A352,1))</f>
        <v/>
      </c>
      <c r="H352" s="16" t="str">
        <f aca="false">IF($A352="","",YEAR($A352))</f>
        <v/>
      </c>
    </row>
    <row r="353" customFormat="false" ht="15" hidden="false" customHeight="false" outlineLevel="0" collapsed="false">
      <c r="A353" s="30"/>
      <c r="B353" s="15"/>
      <c r="C353" s="15"/>
      <c r="D353" s="15"/>
      <c r="E353" s="15"/>
      <c r="F353" s="15"/>
      <c r="G353" s="16" t="str">
        <f aca="false">IF($A353="","",WEEKNUM($A353,1))</f>
        <v/>
      </c>
      <c r="H353" s="16" t="str">
        <f aca="false">IF($A353="","",YEAR($A353))</f>
        <v/>
      </c>
    </row>
    <row r="354" customFormat="false" ht="15" hidden="false" customHeight="false" outlineLevel="0" collapsed="false">
      <c r="A354" s="30"/>
      <c r="B354" s="15"/>
      <c r="C354" s="15"/>
      <c r="D354" s="15"/>
      <c r="E354" s="15"/>
      <c r="F354" s="15"/>
      <c r="G354" s="16" t="str">
        <f aca="false">IF($A354="","",WEEKNUM($A354,1))</f>
        <v/>
      </c>
      <c r="H354" s="16" t="str">
        <f aca="false">IF($A354="","",YEAR($A354))</f>
        <v/>
      </c>
    </row>
    <row r="355" customFormat="false" ht="15" hidden="false" customHeight="false" outlineLevel="0" collapsed="false">
      <c r="A355" s="30"/>
      <c r="B355" s="15"/>
      <c r="C355" s="15"/>
      <c r="D355" s="15"/>
      <c r="E355" s="15"/>
      <c r="F355" s="15"/>
      <c r="G355" s="16" t="str">
        <f aca="false">IF($A355="","",WEEKNUM($A355,1))</f>
        <v/>
      </c>
      <c r="H355" s="16" t="str">
        <f aca="false">IF($A355="","",YEAR($A355))</f>
        <v/>
      </c>
    </row>
    <row r="356" customFormat="false" ht="15" hidden="false" customHeight="false" outlineLevel="0" collapsed="false">
      <c r="A356" s="30"/>
      <c r="B356" s="15"/>
      <c r="C356" s="15"/>
      <c r="D356" s="15"/>
      <c r="E356" s="15"/>
      <c r="F356" s="15"/>
      <c r="G356" s="16" t="str">
        <f aca="false">IF($A356="","",WEEKNUM($A356,1))</f>
        <v/>
      </c>
      <c r="H356" s="16" t="str">
        <f aca="false">IF($A356="","",YEAR($A356))</f>
        <v/>
      </c>
    </row>
    <row r="357" customFormat="false" ht="15" hidden="false" customHeight="false" outlineLevel="0" collapsed="false">
      <c r="A357" s="30"/>
      <c r="B357" s="15"/>
      <c r="C357" s="15"/>
      <c r="D357" s="15"/>
      <c r="E357" s="15"/>
      <c r="F357" s="15"/>
      <c r="G357" s="16" t="str">
        <f aca="false">IF($A357="","",WEEKNUM($A357,1))</f>
        <v/>
      </c>
      <c r="H357" s="16" t="str">
        <f aca="false">IF($A357="","",YEAR($A357))</f>
        <v/>
      </c>
    </row>
    <row r="358" customFormat="false" ht="15" hidden="false" customHeight="false" outlineLevel="0" collapsed="false">
      <c r="A358" s="30"/>
      <c r="B358" s="15"/>
      <c r="C358" s="15"/>
      <c r="D358" s="15"/>
      <c r="E358" s="15"/>
      <c r="F358" s="15"/>
      <c r="G358" s="16" t="str">
        <f aca="false">IF($A358="","",WEEKNUM($A358,1))</f>
        <v/>
      </c>
      <c r="H358" s="16" t="str">
        <f aca="false">IF($A358="","",YEAR($A358))</f>
        <v/>
      </c>
    </row>
    <row r="359" customFormat="false" ht="15" hidden="false" customHeight="false" outlineLevel="0" collapsed="false">
      <c r="A359" s="30"/>
      <c r="B359" s="15"/>
      <c r="C359" s="15"/>
      <c r="D359" s="15"/>
      <c r="E359" s="15"/>
      <c r="F359" s="15"/>
      <c r="G359" s="16" t="str">
        <f aca="false">IF($A359="","",WEEKNUM($A359,1))</f>
        <v/>
      </c>
      <c r="H359" s="16" t="str">
        <f aca="false">IF($A359="","",YEAR($A359))</f>
        <v/>
      </c>
    </row>
    <row r="360" customFormat="false" ht="15" hidden="false" customHeight="false" outlineLevel="0" collapsed="false">
      <c r="A360" s="30"/>
      <c r="B360" s="15"/>
      <c r="C360" s="15"/>
      <c r="D360" s="15"/>
      <c r="E360" s="15"/>
      <c r="F360" s="15"/>
      <c r="G360" s="16" t="str">
        <f aca="false">IF($A360="","",WEEKNUM($A360,1))</f>
        <v/>
      </c>
      <c r="H360" s="16" t="str">
        <f aca="false">IF($A360="","",YEAR($A360))</f>
        <v/>
      </c>
    </row>
    <row r="361" customFormat="false" ht="15" hidden="false" customHeight="false" outlineLevel="0" collapsed="false">
      <c r="A361" s="30"/>
      <c r="B361" s="15"/>
      <c r="C361" s="15"/>
      <c r="D361" s="15"/>
      <c r="E361" s="15"/>
      <c r="F361" s="15"/>
      <c r="G361" s="16" t="str">
        <f aca="false">IF($A361="","",WEEKNUM($A361,1))</f>
        <v/>
      </c>
      <c r="H361" s="16" t="str">
        <f aca="false">IF($A361="","",YEAR($A361))</f>
        <v/>
      </c>
    </row>
    <row r="362" customFormat="false" ht="15" hidden="false" customHeight="false" outlineLevel="0" collapsed="false">
      <c r="A362" s="30"/>
      <c r="B362" s="15"/>
      <c r="C362" s="15"/>
      <c r="D362" s="15"/>
      <c r="E362" s="15"/>
      <c r="F362" s="15"/>
      <c r="G362" s="16" t="str">
        <f aca="false">IF($A362="","",WEEKNUM($A362,1))</f>
        <v/>
      </c>
      <c r="H362" s="16" t="str">
        <f aca="false">IF($A362="","",YEAR($A362))</f>
        <v/>
      </c>
    </row>
    <row r="363" customFormat="false" ht="15" hidden="false" customHeight="false" outlineLevel="0" collapsed="false">
      <c r="A363" s="30"/>
      <c r="B363" s="15"/>
      <c r="C363" s="15"/>
      <c r="D363" s="15"/>
      <c r="E363" s="15"/>
      <c r="F363" s="15"/>
      <c r="G363" s="16" t="str">
        <f aca="false">IF($A363="","",WEEKNUM($A363,1))</f>
        <v/>
      </c>
      <c r="H363" s="16" t="str">
        <f aca="false">IF($A363="","",YEAR($A363))</f>
        <v/>
      </c>
    </row>
    <row r="364" customFormat="false" ht="15" hidden="false" customHeight="false" outlineLevel="0" collapsed="false">
      <c r="A364" s="30"/>
      <c r="B364" s="15"/>
      <c r="C364" s="15"/>
      <c r="D364" s="15"/>
      <c r="E364" s="15"/>
      <c r="F364" s="15"/>
      <c r="G364" s="16" t="str">
        <f aca="false">IF($A364="","",WEEKNUM($A364,1))</f>
        <v/>
      </c>
      <c r="H364" s="16" t="str">
        <f aca="false">IF($A364="","",YEAR($A364))</f>
        <v/>
      </c>
    </row>
    <row r="365" customFormat="false" ht="15" hidden="false" customHeight="false" outlineLevel="0" collapsed="false">
      <c r="A365" s="30"/>
      <c r="B365" s="15"/>
      <c r="C365" s="15"/>
      <c r="D365" s="15"/>
      <c r="E365" s="15"/>
      <c r="F365" s="15"/>
      <c r="G365" s="16" t="str">
        <f aca="false">IF($A365="","",WEEKNUM($A365,1))</f>
        <v/>
      </c>
      <c r="H365" s="16" t="str">
        <f aca="false">IF($A365="","",YEAR($A365))</f>
        <v/>
      </c>
    </row>
    <row r="366" customFormat="false" ht="15" hidden="false" customHeight="false" outlineLevel="0" collapsed="false">
      <c r="A366" s="30"/>
      <c r="B366" s="15"/>
      <c r="C366" s="15"/>
      <c r="D366" s="15"/>
      <c r="E366" s="15"/>
      <c r="F366" s="15"/>
      <c r="G366" s="16" t="str">
        <f aca="false">IF($A366="","",WEEKNUM($A366,1))</f>
        <v/>
      </c>
      <c r="H366" s="16" t="str">
        <f aca="false">IF($A366="","",YEAR($A366))</f>
        <v/>
      </c>
    </row>
    <row r="367" customFormat="false" ht="15" hidden="false" customHeight="false" outlineLevel="0" collapsed="false">
      <c r="A367" s="30"/>
      <c r="B367" s="15"/>
      <c r="C367" s="15"/>
      <c r="D367" s="15"/>
      <c r="E367" s="15"/>
      <c r="F367" s="15"/>
      <c r="G367" s="16" t="str">
        <f aca="false">IF($A367="","",WEEKNUM($A367,1))</f>
        <v/>
      </c>
      <c r="H367" s="16" t="str">
        <f aca="false">IF($A367="","",YEAR($A367))</f>
        <v/>
      </c>
    </row>
    <row r="368" customFormat="false" ht="15" hidden="false" customHeight="false" outlineLevel="0" collapsed="false">
      <c r="A368" s="30"/>
      <c r="B368" s="15"/>
      <c r="C368" s="15"/>
      <c r="D368" s="15"/>
      <c r="E368" s="15"/>
      <c r="F368" s="15"/>
      <c r="G368" s="16" t="str">
        <f aca="false">IF($A368="","",WEEKNUM($A368,1))</f>
        <v/>
      </c>
      <c r="H368" s="16" t="str">
        <f aca="false">IF($A368="","",YEAR($A368))</f>
        <v/>
      </c>
    </row>
    <row r="369" customFormat="false" ht="15" hidden="false" customHeight="false" outlineLevel="0" collapsed="false">
      <c r="A369" s="30"/>
      <c r="B369" s="15"/>
      <c r="C369" s="15"/>
      <c r="D369" s="15"/>
      <c r="E369" s="15"/>
      <c r="F369" s="15"/>
      <c r="G369" s="16" t="str">
        <f aca="false">IF($A369="","",WEEKNUM($A369,1))</f>
        <v/>
      </c>
      <c r="H369" s="16" t="str">
        <f aca="false">IF($A369="","",YEAR($A369))</f>
        <v/>
      </c>
    </row>
    <row r="370" customFormat="false" ht="15" hidden="false" customHeight="false" outlineLevel="0" collapsed="false">
      <c r="A370" s="30"/>
      <c r="B370" s="15"/>
      <c r="C370" s="15"/>
      <c r="D370" s="15"/>
      <c r="E370" s="15"/>
      <c r="F370" s="15"/>
      <c r="G370" s="16" t="str">
        <f aca="false">IF($A370="","",WEEKNUM($A370,1))</f>
        <v/>
      </c>
      <c r="H370" s="16" t="str">
        <f aca="false">IF($A370="","",YEAR($A370))</f>
        <v/>
      </c>
    </row>
    <row r="371" customFormat="false" ht="15" hidden="false" customHeight="false" outlineLevel="0" collapsed="false">
      <c r="A371" s="30"/>
      <c r="B371" s="15"/>
      <c r="C371" s="15"/>
      <c r="D371" s="15"/>
      <c r="E371" s="15"/>
      <c r="F371" s="15"/>
      <c r="G371" s="16" t="str">
        <f aca="false">IF($A371="","",WEEKNUM($A371,1))</f>
        <v/>
      </c>
      <c r="H371" s="16" t="str">
        <f aca="false">IF($A371="","",YEAR($A371))</f>
        <v/>
      </c>
    </row>
    <row r="372" customFormat="false" ht="15" hidden="false" customHeight="false" outlineLevel="0" collapsed="false">
      <c r="A372" s="30"/>
      <c r="B372" s="15"/>
      <c r="C372" s="15"/>
      <c r="D372" s="15"/>
      <c r="E372" s="15"/>
      <c r="F372" s="15"/>
      <c r="G372" s="16" t="str">
        <f aca="false">IF($A372="","",WEEKNUM($A372,1))</f>
        <v/>
      </c>
      <c r="H372" s="16" t="str">
        <f aca="false">IF($A372="","",YEAR($A372))</f>
        <v/>
      </c>
    </row>
    <row r="373" customFormat="false" ht="15" hidden="false" customHeight="false" outlineLevel="0" collapsed="false">
      <c r="A373" s="30"/>
      <c r="B373" s="15"/>
      <c r="C373" s="15"/>
      <c r="D373" s="15"/>
      <c r="E373" s="15"/>
      <c r="F373" s="15"/>
      <c r="G373" s="16" t="str">
        <f aca="false">IF($A373="","",WEEKNUM($A373,1))</f>
        <v/>
      </c>
      <c r="H373" s="16" t="str">
        <f aca="false">IF($A373="","",YEAR($A373))</f>
        <v/>
      </c>
    </row>
    <row r="374" customFormat="false" ht="15" hidden="false" customHeight="false" outlineLevel="0" collapsed="false">
      <c r="A374" s="30"/>
      <c r="B374" s="15"/>
      <c r="C374" s="15"/>
      <c r="D374" s="15"/>
      <c r="E374" s="15"/>
      <c r="F374" s="15"/>
      <c r="G374" s="16" t="str">
        <f aca="false">IF($A374="","",WEEKNUM($A374,1))</f>
        <v/>
      </c>
      <c r="H374" s="16" t="str">
        <f aca="false">IF($A374="","",YEAR($A374))</f>
        <v/>
      </c>
    </row>
    <row r="375" customFormat="false" ht="15" hidden="false" customHeight="false" outlineLevel="0" collapsed="false">
      <c r="A375" s="30"/>
      <c r="B375" s="15"/>
      <c r="C375" s="15"/>
      <c r="D375" s="15"/>
      <c r="E375" s="15"/>
      <c r="F375" s="15"/>
      <c r="G375" s="16" t="str">
        <f aca="false">IF($A375="","",WEEKNUM($A375,1))</f>
        <v/>
      </c>
      <c r="H375" s="16" t="str">
        <f aca="false">IF($A375="","",YEAR($A375))</f>
        <v/>
      </c>
    </row>
    <row r="376" customFormat="false" ht="15" hidden="false" customHeight="false" outlineLevel="0" collapsed="false">
      <c r="A376" s="30"/>
      <c r="B376" s="15"/>
      <c r="C376" s="15"/>
      <c r="D376" s="15"/>
      <c r="E376" s="15"/>
      <c r="F376" s="15"/>
      <c r="G376" s="16" t="str">
        <f aca="false">IF($A376="","",WEEKNUM($A376,1))</f>
        <v/>
      </c>
      <c r="H376" s="16" t="str">
        <f aca="false">IF($A376="","",YEAR($A376))</f>
        <v/>
      </c>
    </row>
    <row r="377" customFormat="false" ht="15" hidden="false" customHeight="false" outlineLevel="0" collapsed="false">
      <c r="A377" s="30"/>
      <c r="B377" s="15"/>
      <c r="C377" s="15"/>
      <c r="D377" s="15"/>
      <c r="E377" s="15"/>
      <c r="F377" s="15"/>
      <c r="G377" s="16" t="str">
        <f aca="false">IF($A377="","",WEEKNUM($A377,1))</f>
        <v/>
      </c>
      <c r="H377" s="16" t="str">
        <f aca="false">IF($A377="","",YEAR($A377))</f>
        <v/>
      </c>
    </row>
    <row r="378" customFormat="false" ht="15" hidden="false" customHeight="false" outlineLevel="0" collapsed="false">
      <c r="A378" s="30"/>
      <c r="B378" s="15"/>
      <c r="C378" s="15"/>
      <c r="D378" s="15"/>
      <c r="E378" s="15"/>
      <c r="F378" s="15"/>
      <c r="G378" s="16" t="str">
        <f aca="false">IF($A378="","",WEEKNUM($A378,1))</f>
        <v/>
      </c>
      <c r="H378" s="16" t="str">
        <f aca="false">IF($A378="","",YEAR($A378))</f>
        <v/>
      </c>
    </row>
    <row r="379" customFormat="false" ht="15" hidden="false" customHeight="false" outlineLevel="0" collapsed="false">
      <c r="A379" s="30"/>
      <c r="B379" s="15"/>
      <c r="C379" s="15"/>
      <c r="D379" s="15"/>
      <c r="E379" s="15"/>
      <c r="F379" s="15"/>
      <c r="G379" s="16" t="str">
        <f aca="false">IF($A379="","",WEEKNUM($A379,1))</f>
        <v/>
      </c>
      <c r="H379" s="16" t="str">
        <f aca="false">IF($A379="","",YEAR($A379))</f>
        <v/>
      </c>
    </row>
    <row r="380" customFormat="false" ht="15" hidden="false" customHeight="false" outlineLevel="0" collapsed="false">
      <c r="A380" s="30"/>
      <c r="B380" s="15"/>
      <c r="C380" s="15"/>
      <c r="D380" s="15"/>
      <c r="E380" s="15"/>
      <c r="F380" s="15"/>
      <c r="G380" s="16" t="str">
        <f aca="false">IF($A380="","",WEEKNUM($A380,1))</f>
        <v/>
      </c>
      <c r="H380" s="16" t="str">
        <f aca="false">IF($A380="","",YEAR($A380))</f>
        <v/>
      </c>
    </row>
    <row r="381" customFormat="false" ht="15" hidden="false" customHeight="false" outlineLevel="0" collapsed="false">
      <c r="A381" s="30"/>
      <c r="B381" s="15"/>
      <c r="C381" s="15"/>
      <c r="D381" s="15"/>
      <c r="E381" s="15"/>
      <c r="F381" s="15"/>
      <c r="G381" s="16" t="str">
        <f aca="false">IF($A381="","",WEEKNUM($A381,1))</f>
        <v/>
      </c>
      <c r="H381" s="16" t="str">
        <f aca="false">IF($A381="","",YEAR($A381))</f>
        <v/>
      </c>
    </row>
    <row r="382" customFormat="false" ht="15" hidden="false" customHeight="false" outlineLevel="0" collapsed="false">
      <c r="A382" s="30"/>
      <c r="B382" s="15"/>
      <c r="C382" s="15"/>
      <c r="D382" s="15"/>
      <c r="E382" s="15"/>
      <c r="F382" s="15"/>
      <c r="G382" s="16" t="str">
        <f aca="false">IF($A382="","",WEEKNUM($A382,1))</f>
        <v/>
      </c>
      <c r="H382" s="16" t="str">
        <f aca="false">IF($A382="","",YEAR($A382))</f>
        <v/>
      </c>
    </row>
    <row r="383" customFormat="false" ht="15" hidden="false" customHeight="false" outlineLevel="0" collapsed="false">
      <c r="A383" s="30"/>
      <c r="B383" s="15"/>
      <c r="C383" s="15"/>
      <c r="D383" s="15"/>
      <c r="E383" s="15"/>
      <c r="F383" s="15"/>
      <c r="G383" s="16" t="str">
        <f aca="false">IF($A383="","",WEEKNUM($A383,1))</f>
        <v/>
      </c>
      <c r="H383" s="16" t="str">
        <f aca="false">IF($A383="","",YEAR($A383))</f>
        <v/>
      </c>
    </row>
    <row r="384" customFormat="false" ht="15" hidden="false" customHeight="false" outlineLevel="0" collapsed="false">
      <c r="A384" s="30"/>
      <c r="B384" s="15"/>
      <c r="C384" s="15"/>
      <c r="D384" s="15"/>
      <c r="E384" s="15"/>
      <c r="F384" s="15"/>
      <c r="G384" s="16" t="str">
        <f aca="false">IF($A384="","",WEEKNUM($A384,1))</f>
        <v/>
      </c>
      <c r="H384" s="16" t="str">
        <f aca="false">IF($A384="","",YEAR($A384))</f>
        <v/>
      </c>
    </row>
    <row r="385" customFormat="false" ht="15" hidden="false" customHeight="false" outlineLevel="0" collapsed="false">
      <c r="A385" s="30"/>
      <c r="B385" s="15"/>
      <c r="C385" s="15"/>
      <c r="D385" s="15"/>
      <c r="E385" s="15"/>
      <c r="F385" s="15"/>
      <c r="G385" s="16" t="str">
        <f aca="false">IF($A385="","",WEEKNUM($A385,1))</f>
        <v/>
      </c>
      <c r="H385" s="16" t="str">
        <f aca="false">IF($A385="","",YEAR($A385))</f>
        <v/>
      </c>
    </row>
    <row r="386" customFormat="false" ht="15" hidden="false" customHeight="false" outlineLevel="0" collapsed="false">
      <c r="A386" s="30"/>
      <c r="B386" s="15"/>
      <c r="C386" s="15"/>
      <c r="D386" s="15"/>
      <c r="E386" s="15"/>
      <c r="F386" s="15"/>
      <c r="G386" s="16" t="str">
        <f aca="false">IF($A386="","",WEEKNUM($A386,1))</f>
        <v/>
      </c>
      <c r="H386" s="16" t="str">
        <f aca="false">IF($A386="","",YEAR($A386))</f>
        <v/>
      </c>
    </row>
    <row r="387" customFormat="false" ht="15" hidden="false" customHeight="false" outlineLevel="0" collapsed="false">
      <c r="A387" s="30"/>
      <c r="B387" s="15"/>
      <c r="C387" s="15"/>
      <c r="D387" s="15"/>
      <c r="E387" s="15"/>
      <c r="F387" s="15"/>
      <c r="G387" s="16" t="str">
        <f aca="false">IF($A387="","",WEEKNUM($A387,1))</f>
        <v/>
      </c>
      <c r="H387" s="16" t="str">
        <f aca="false">IF($A387="","",YEAR($A387))</f>
        <v/>
      </c>
    </row>
    <row r="388" customFormat="false" ht="15" hidden="false" customHeight="false" outlineLevel="0" collapsed="false">
      <c r="A388" s="30"/>
      <c r="B388" s="15"/>
      <c r="C388" s="15"/>
      <c r="D388" s="15"/>
      <c r="E388" s="15"/>
      <c r="F388" s="15"/>
      <c r="G388" s="16" t="str">
        <f aca="false">IF($A388="","",WEEKNUM($A388,1))</f>
        <v/>
      </c>
      <c r="H388" s="16" t="str">
        <f aca="false">IF($A388="","",YEAR($A388))</f>
        <v/>
      </c>
    </row>
    <row r="389" customFormat="false" ht="15" hidden="false" customHeight="false" outlineLevel="0" collapsed="false">
      <c r="A389" s="30"/>
      <c r="B389" s="15"/>
      <c r="C389" s="15"/>
      <c r="D389" s="15"/>
      <c r="E389" s="15"/>
      <c r="F389" s="15"/>
      <c r="G389" s="16" t="str">
        <f aca="false">IF($A389="","",WEEKNUM($A389,1))</f>
        <v/>
      </c>
      <c r="H389" s="16" t="str">
        <f aca="false">IF($A389="","",YEAR($A389))</f>
        <v/>
      </c>
    </row>
    <row r="390" customFormat="false" ht="15" hidden="false" customHeight="false" outlineLevel="0" collapsed="false">
      <c r="A390" s="30"/>
      <c r="B390" s="15"/>
      <c r="C390" s="15"/>
      <c r="D390" s="15"/>
      <c r="E390" s="15"/>
      <c r="F390" s="15"/>
      <c r="G390" s="16" t="str">
        <f aca="false">IF($A390="","",WEEKNUM($A390,1))</f>
        <v/>
      </c>
      <c r="H390" s="16" t="str">
        <f aca="false">IF($A390="","",YEAR($A390))</f>
        <v/>
      </c>
    </row>
    <row r="391" customFormat="false" ht="15" hidden="false" customHeight="false" outlineLevel="0" collapsed="false">
      <c r="A391" s="30"/>
      <c r="B391" s="15"/>
      <c r="C391" s="15"/>
      <c r="D391" s="15"/>
      <c r="E391" s="15"/>
      <c r="F391" s="15"/>
      <c r="G391" s="16" t="str">
        <f aca="false">IF($A391="","",WEEKNUM($A391,1))</f>
        <v/>
      </c>
      <c r="H391" s="16" t="str">
        <f aca="false">IF($A391="","",YEAR($A391))</f>
        <v/>
      </c>
    </row>
    <row r="392" customFormat="false" ht="15" hidden="false" customHeight="false" outlineLevel="0" collapsed="false">
      <c r="A392" s="30"/>
      <c r="B392" s="15"/>
      <c r="C392" s="15"/>
      <c r="D392" s="15"/>
      <c r="E392" s="15"/>
      <c r="F392" s="15"/>
      <c r="G392" s="16" t="str">
        <f aca="false">IF($A392="","",WEEKNUM($A392,1))</f>
        <v/>
      </c>
      <c r="H392" s="16" t="str">
        <f aca="false">IF($A392="","",YEAR($A392))</f>
        <v/>
      </c>
    </row>
    <row r="393" customFormat="false" ht="15" hidden="false" customHeight="false" outlineLevel="0" collapsed="false">
      <c r="A393" s="30"/>
      <c r="B393" s="15"/>
      <c r="C393" s="15"/>
      <c r="D393" s="15"/>
      <c r="E393" s="15"/>
      <c r="F393" s="15"/>
      <c r="G393" s="16" t="str">
        <f aca="false">IF($A393="","",WEEKNUM($A393,1))</f>
        <v/>
      </c>
      <c r="H393" s="16" t="str">
        <f aca="false">IF($A393="","",YEAR($A393))</f>
        <v/>
      </c>
    </row>
    <row r="394" customFormat="false" ht="15" hidden="false" customHeight="false" outlineLevel="0" collapsed="false">
      <c r="A394" s="30"/>
      <c r="B394" s="15"/>
      <c r="C394" s="15"/>
      <c r="D394" s="15"/>
      <c r="E394" s="15"/>
      <c r="F394" s="15"/>
      <c r="G394" s="16" t="str">
        <f aca="false">IF($A394="","",WEEKNUM($A394,1))</f>
        <v/>
      </c>
      <c r="H394" s="16" t="str">
        <f aca="false">IF($A394="","",YEAR($A394))</f>
        <v/>
      </c>
    </row>
    <row r="395" customFormat="false" ht="15" hidden="false" customHeight="false" outlineLevel="0" collapsed="false">
      <c r="A395" s="30"/>
      <c r="B395" s="15"/>
      <c r="C395" s="15"/>
      <c r="D395" s="15"/>
      <c r="E395" s="15"/>
      <c r="F395" s="15"/>
      <c r="G395" s="16" t="str">
        <f aca="false">IF($A395="","",WEEKNUM($A395,1))</f>
        <v/>
      </c>
      <c r="H395" s="16" t="str">
        <f aca="false">IF($A395="","",YEAR($A395))</f>
        <v/>
      </c>
    </row>
    <row r="396" customFormat="false" ht="15" hidden="false" customHeight="false" outlineLevel="0" collapsed="false">
      <c r="A396" s="30"/>
      <c r="B396" s="15"/>
      <c r="C396" s="15"/>
      <c r="D396" s="15"/>
      <c r="E396" s="15"/>
      <c r="F396" s="15"/>
      <c r="G396" s="16" t="str">
        <f aca="false">IF($A396="","",WEEKNUM($A396,1))</f>
        <v/>
      </c>
      <c r="H396" s="16" t="str">
        <f aca="false">IF($A396="","",YEAR($A396))</f>
        <v/>
      </c>
    </row>
    <row r="397" customFormat="false" ht="15" hidden="false" customHeight="false" outlineLevel="0" collapsed="false">
      <c r="A397" s="30"/>
      <c r="B397" s="15"/>
      <c r="C397" s="15"/>
      <c r="D397" s="15"/>
      <c r="E397" s="15"/>
      <c r="F397" s="15"/>
      <c r="G397" s="16" t="str">
        <f aca="false">IF($A397="","",WEEKNUM($A397,1))</f>
        <v/>
      </c>
      <c r="H397" s="16" t="str">
        <f aca="false">IF($A397="","",YEAR($A397))</f>
        <v/>
      </c>
    </row>
    <row r="398" customFormat="false" ht="15" hidden="false" customHeight="false" outlineLevel="0" collapsed="false">
      <c r="A398" s="30"/>
      <c r="B398" s="15"/>
      <c r="C398" s="15"/>
      <c r="D398" s="15"/>
      <c r="E398" s="15"/>
      <c r="F398" s="15"/>
      <c r="G398" s="16" t="str">
        <f aca="false">IF($A398="","",WEEKNUM($A398,1))</f>
        <v/>
      </c>
      <c r="H398" s="16" t="str">
        <f aca="false">IF($A398="","",YEAR($A398))</f>
        <v/>
      </c>
    </row>
    <row r="399" customFormat="false" ht="15" hidden="false" customHeight="false" outlineLevel="0" collapsed="false">
      <c r="A399" s="30"/>
      <c r="B399" s="15"/>
      <c r="C399" s="15"/>
      <c r="D399" s="15"/>
      <c r="E399" s="15"/>
      <c r="F399" s="15"/>
      <c r="G399" s="16" t="str">
        <f aca="false">IF($A399="","",WEEKNUM($A399,1))</f>
        <v/>
      </c>
      <c r="H399" s="16" t="str">
        <f aca="false">IF($A399="","",YEAR($A399))</f>
        <v/>
      </c>
    </row>
    <row r="400" customFormat="false" ht="15" hidden="false" customHeight="false" outlineLevel="0" collapsed="false">
      <c r="A400" s="30"/>
      <c r="B400" s="15"/>
      <c r="C400" s="15"/>
      <c r="D400" s="15"/>
      <c r="E400" s="15"/>
      <c r="F400" s="15"/>
      <c r="G400" s="16" t="str">
        <f aca="false">IF($A400="","",WEEKNUM($A400,1))</f>
        <v/>
      </c>
      <c r="H400" s="16" t="str">
        <f aca="false">IF($A400="","",YEAR($A400))</f>
        <v/>
      </c>
    </row>
    <row r="401" customFormat="false" ht="15" hidden="false" customHeight="false" outlineLevel="0" collapsed="false">
      <c r="A401" s="30"/>
      <c r="B401" s="15"/>
      <c r="C401" s="15"/>
      <c r="D401" s="15"/>
      <c r="E401" s="15"/>
      <c r="F401" s="15"/>
      <c r="G401" s="16" t="str">
        <f aca="false">IF($A401="","",WEEKNUM($A401,1))</f>
        <v/>
      </c>
      <c r="H401" s="16" t="str">
        <f aca="false">IF($A401="","",YEAR($A401))</f>
        <v/>
      </c>
    </row>
    <row r="402" customFormat="false" ht="15" hidden="false" customHeight="false" outlineLevel="0" collapsed="false">
      <c r="A402" s="30"/>
      <c r="B402" s="15"/>
      <c r="C402" s="15"/>
      <c r="D402" s="15"/>
      <c r="E402" s="15"/>
      <c r="F402" s="15"/>
      <c r="G402" s="16" t="str">
        <f aca="false">IF($A402="","",WEEKNUM($A402,1))</f>
        <v/>
      </c>
      <c r="H402" s="16" t="str">
        <f aca="false">IF($A402="","",YEAR($A402))</f>
        <v/>
      </c>
    </row>
    <row r="403" customFormat="false" ht="15" hidden="false" customHeight="false" outlineLevel="0" collapsed="false">
      <c r="A403" s="30"/>
      <c r="B403" s="15"/>
      <c r="C403" s="15"/>
      <c r="D403" s="15"/>
      <c r="E403" s="15"/>
      <c r="F403" s="15"/>
      <c r="G403" s="16" t="str">
        <f aca="false">IF($A403="","",WEEKNUM($A403,1))</f>
        <v/>
      </c>
      <c r="H403" s="16" t="str">
        <f aca="false">IF($A403="","",YEAR($A403))</f>
        <v/>
      </c>
    </row>
    <row r="404" customFormat="false" ht="15" hidden="false" customHeight="false" outlineLevel="0" collapsed="false">
      <c r="A404" s="30"/>
      <c r="B404" s="15"/>
      <c r="C404" s="15"/>
      <c r="D404" s="15"/>
      <c r="E404" s="15"/>
      <c r="F404" s="15"/>
      <c r="G404" s="16" t="str">
        <f aca="false">IF($A404="","",WEEKNUM($A404,1))</f>
        <v/>
      </c>
      <c r="H404" s="16" t="str">
        <f aca="false">IF($A404="","",YEAR($A404))</f>
        <v/>
      </c>
    </row>
    <row r="405" customFormat="false" ht="15" hidden="false" customHeight="false" outlineLevel="0" collapsed="false">
      <c r="A405" s="30"/>
      <c r="B405" s="15"/>
      <c r="C405" s="15"/>
      <c r="D405" s="15"/>
      <c r="E405" s="15"/>
      <c r="F405" s="15"/>
      <c r="G405" s="16" t="str">
        <f aca="false">IF($A405="","",WEEKNUM($A405,1))</f>
        <v/>
      </c>
      <c r="H405" s="16" t="str">
        <f aca="false">IF($A405="","",YEAR($A405))</f>
        <v/>
      </c>
    </row>
    <row r="406" customFormat="false" ht="15" hidden="false" customHeight="false" outlineLevel="0" collapsed="false">
      <c r="A406" s="30"/>
      <c r="B406" s="15"/>
      <c r="C406" s="15"/>
      <c r="D406" s="15"/>
      <c r="E406" s="15"/>
      <c r="F406" s="15"/>
      <c r="G406" s="16" t="str">
        <f aca="false">IF($A406="","",WEEKNUM($A406,1))</f>
        <v/>
      </c>
      <c r="H406" s="16" t="str">
        <f aca="false">IF($A406="","",YEAR($A406))</f>
        <v/>
      </c>
    </row>
    <row r="407" customFormat="false" ht="15" hidden="false" customHeight="false" outlineLevel="0" collapsed="false">
      <c r="A407" s="30"/>
      <c r="B407" s="15"/>
      <c r="C407" s="15"/>
      <c r="D407" s="15"/>
      <c r="E407" s="15"/>
      <c r="F407" s="15"/>
      <c r="G407" s="16" t="str">
        <f aca="false">IF($A407="","",WEEKNUM($A407,1))</f>
        <v/>
      </c>
      <c r="H407" s="16" t="str">
        <f aca="false">IF($A407="","",YEAR($A407))</f>
        <v/>
      </c>
    </row>
    <row r="408" customFormat="false" ht="15" hidden="false" customHeight="false" outlineLevel="0" collapsed="false">
      <c r="A408" s="30"/>
      <c r="B408" s="15"/>
      <c r="C408" s="15"/>
      <c r="D408" s="15"/>
      <c r="E408" s="15"/>
      <c r="F408" s="15"/>
      <c r="G408" s="16" t="str">
        <f aca="false">IF($A408="","",WEEKNUM($A408,1))</f>
        <v/>
      </c>
      <c r="H408" s="16" t="str">
        <f aca="false">IF($A408="","",YEAR($A408))</f>
        <v/>
      </c>
    </row>
    <row r="409" customFormat="false" ht="15" hidden="false" customHeight="false" outlineLevel="0" collapsed="false">
      <c r="A409" s="30"/>
      <c r="B409" s="15"/>
      <c r="C409" s="15"/>
      <c r="D409" s="15"/>
      <c r="E409" s="15"/>
      <c r="F409" s="15"/>
      <c r="G409" s="16" t="str">
        <f aca="false">IF($A409="","",WEEKNUM($A409,1))</f>
        <v/>
      </c>
      <c r="H409" s="16" t="str">
        <f aca="false">IF($A409="","",YEAR($A409))</f>
        <v/>
      </c>
    </row>
    <row r="410" customFormat="false" ht="15" hidden="false" customHeight="false" outlineLevel="0" collapsed="false">
      <c r="A410" s="30"/>
      <c r="B410" s="15"/>
      <c r="C410" s="15"/>
      <c r="D410" s="15"/>
      <c r="E410" s="15"/>
      <c r="F410" s="15"/>
      <c r="G410" s="16" t="str">
        <f aca="false">IF($A410="","",WEEKNUM($A410,1))</f>
        <v/>
      </c>
      <c r="H410" s="16" t="str">
        <f aca="false">IF($A410="","",YEAR($A410))</f>
        <v/>
      </c>
    </row>
    <row r="411" customFormat="false" ht="15" hidden="false" customHeight="false" outlineLevel="0" collapsed="false">
      <c r="A411" s="30"/>
      <c r="B411" s="15"/>
      <c r="C411" s="15"/>
      <c r="D411" s="15"/>
      <c r="E411" s="15"/>
      <c r="F411" s="15"/>
      <c r="G411" s="16" t="str">
        <f aca="false">IF($A411="","",WEEKNUM($A411,1))</f>
        <v/>
      </c>
      <c r="H411" s="16" t="str">
        <f aca="false">IF($A411="","",YEAR($A411))</f>
        <v/>
      </c>
    </row>
    <row r="412" customFormat="false" ht="15" hidden="false" customHeight="false" outlineLevel="0" collapsed="false">
      <c r="A412" s="30"/>
      <c r="B412" s="15"/>
      <c r="C412" s="15"/>
      <c r="D412" s="15"/>
      <c r="E412" s="15"/>
      <c r="F412" s="15"/>
      <c r="G412" s="16" t="str">
        <f aca="false">IF($A412="","",WEEKNUM($A412,1))</f>
        <v/>
      </c>
      <c r="H412" s="16" t="str">
        <f aca="false">IF($A412="","",YEAR($A412))</f>
        <v/>
      </c>
    </row>
    <row r="413" customFormat="false" ht="15" hidden="false" customHeight="false" outlineLevel="0" collapsed="false">
      <c r="A413" s="30"/>
      <c r="B413" s="15"/>
      <c r="C413" s="15"/>
      <c r="D413" s="15"/>
      <c r="E413" s="15"/>
      <c r="F413" s="15"/>
      <c r="G413" s="16" t="str">
        <f aca="false">IF($A413="","",WEEKNUM($A413,1))</f>
        <v/>
      </c>
      <c r="H413" s="16" t="str">
        <f aca="false">IF($A413="","",YEAR($A413))</f>
        <v/>
      </c>
    </row>
    <row r="414" customFormat="false" ht="15" hidden="false" customHeight="false" outlineLevel="0" collapsed="false">
      <c r="A414" s="30"/>
      <c r="B414" s="15"/>
      <c r="C414" s="15"/>
      <c r="D414" s="15"/>
      <c r="E414" s="15"/>
      <c r="F414" s="15"/>
      <c r="G414" s="16" t="str">
        <f aca="false">IF($A414="","",WEEKNUM($A414,1))</f>
        <v/>
      </c>
      <c r="H414" s="16" t="str">
        <f aca="false">IF($A414="","",YEAR($A414))</f>
        <v/>
      </c>
    </row>
    <row r="415" customFormat="false" ht="15" hidden="false" customHeight="false" outlineLevel="0" collapsed="false">
      <c r="A415" s="30"/>
      <c r="B415" s="15"/>
      <c r="C415" s="15"/>
      <c r="D415" s="15"/>
      <c r="E415" s="15"/>
      <c r="F415" s="15"/>
      <c r="G415" s="16" t="str">
        <f aca="false">IF($A415="","",WEEKNUM($A415,1))</f>
        <v/>
      </c>
      <c r="H415" s="16" t="str">
        <f aca="false">IF($A415="","",YEAR($A415))</f>
        <v/>
      </c>
    </row>
    <row r="416" customFormat="false" ht="15" hidden="false" customHeight="false" outlineLevel="0" collapsed="false">
      <c r="A416" s="30"/>
      <c r="B416" s="15"/>
      <c r="C416" s="15"/>
      <c r="D416" s="15"/>
      <c r="E416" s="15"/>
      <c r="F416" s="15"/>
      <c r="G416" s="16" t="str">
        <f aca="false">IF($A416="","",WEEKNUM($A416,1))</f>
        <v/>
      </c>
      <c r="H416" s="16" t="str">
        <f aca="false">IF($A416="","",YEAR($A416))</f>
        <v/>
      </c>
    </row>
    <row r="417" customFormat="false" ht="15" hidden="false" customHeight="false" outlineLevel="0" collapsed="false">
      <c r="A417" s="30"/>
      <c r="B417" s="15"/>
      <c r="C417" s="15"/>
      <c r="D417" s="15"/>
      <c r="E417" s="15"/>
      <c r="F417" s="15"/>
      <c r="G417" s="16" t="str">
        <f aca="false">IF($A417="","",WEEKNUM($A417,1))</f>
        <v/>
      </c>
      <c r="H417" s="16" t="str">
        <f aca="false">IF($A417="","",YEAR($A417))</f>
        <v/>
      </c>
    </row>
    <row r="418" customFormat="false" ht="15" hidden="false" customHeight="false" outlineLevel="0" collapsed="false">
      <c r="A418" s="30"/>
      <c r="B418" s="15"/>
      <c r="C418" s="15"/>
      <c r="D418" s="15"/>
      <c r="E418" s="15"/>
      <c r="F418" s="15"/>
      <c r="G418" s="16" t="str">
        <f aca="false">IF($A418="","",WEEKNUM($A418,1))</f>
        <v/>
      </c>
      <c r="H418" s="16" t="str">
        <f aca="false">IF($A418="","",YEAR($A418))</f>
        <v/>
      </c>
    </row>
    <row r="419" customFormat="false" ht="15" hidden="false" customHeight="false" outlineLevel="0" collapsed="false">
      <c r="A419" s="30"/>
      <c r="B419" s="15"/>
      <c r="C419" s="15"/>
      <c r="D419" s="15"/>
      <c r="E419" s="15"/>
      <c r="F419" s="15"/>
      <c r="G419" s="16" t="str">
        <f aca="false">IF($A419="","",WEEKNUM($A419,1))</f>
        <v/>
      </c>
      <c r="H419" s="16" t="str">
        <f aca="false">IF($A419="","",YEAR($A419))</f>
        <v/>
      </c>
    </row>
    <row r="420" customFormat="false" ht="15" hidden="false" customHeight="false" outlineLevel="0" collapsed="false">
      <c r="A420" s="30"/>
      <c r="B420" s="15"/>
      <c r="C420" s="15"/>
      <c r="D420" s="15"/>
      <c r="E420" s="15"/>
      <c r="F420" s="15"/>
      <c r="G420" s="16" t="str">
        <f aca="false">IF($A420="","",WEEKNUM($A420,1))</f>
        <v/>
      </c>
      <c r="H420" s="16" t="str">
        <f aca="false">IF($A420="","",YEAR($A420))</f>
        <v/>
      </c>
    </row>
    <row r="421" customFormat="false" ht="15" hidden="false" customHeight="false" outlineLevel="0" collapsed="false">
      <c r="A421" s="30"/>
      <c r="B421" s="15"/>
      <c r="C421" s="15"/>
      <c r="D421" s="15"/>
      <c r="E421" s="15"/>
      <c r="F421" s="15"/>
      <c r="G421" s="16" t="str">
        <f aca="false">IF($A421="","",WEEKNUM($A421,1))</f>
        <v/>
      </c>
      <c r="H421" s="16" t="str">
        <f aca="false">IF($A421="","",YEAR($A421))</f>
        <v/>
      </c>
    </row>
    <row r="422" customFormat="false" ht="15" hidden="false" customHeight="false" outlineLevel="0" collapsed="false">
      <c r="A422" s="30"/>
      <c r="B422" s="15"/>
      <c r="C422" s="15"/>
      <c r="D422" s="15"/>
      <c r="E422" s="15"/>
      <c r="F422" s="15"/>
      <c r="G422" s="16" t="str">
        <f aca="false">IF($A422="","",WEEKNUM($A422,1))</f>
        <v/>
      </c>
      <c r="H422" s="16" t="str">
        <f aca="false">IF($A422="","",YEAR($A422))</f>
        <v/>
      </c>
    </row>
    <row r="423" customFormat="false" ht="15" hidden="false" customHeight="false" outlineLevel="0" collapsed="false">
      <c r="A423" s="30"/>
      <c r="B423" s="15"/>
      <c r="C423" s="15"/>
      <c r="D423" s="15"/>
      <c r="E423" s="15"/>
      <c r="F423" s="15"/>
      <c r="G423" s="16" t="str">
        <f aca="false">IF($A423="","",WEEKNUM($A423,1))</f>
        <v/>
      </c>
      <c r="H423" s="16" t="str">
        <f aca="false">IF($A423="","",YEAR($A423))</f>
        <v/>
      </c>
    </row>
    <row r="424" customFormat="false" ht="15" hidden="false" customHeight="false" outlineLevel="0" collapsed="false">
      <c r="A424" s="30"/>
      <c r="B424" s="15"/>
      <c r="C424" s="15"/>
      <c r="D424" s="15"/>
      <c r="E424" s="15"/>
      <c r="F424" s="15"/>
      <c r="G424" s="16" t="str">
        <f aca="false">IF($A424="","",WEEKNUM($A424,1))</f>
        <v/>
      </c>
      <c r="H424" s="16" t="str">
        <f aca="false">IF($A424="","",YEAR($A424))</f>
        <v/>
      </c>
    </row>
    <row r="425" customFormat="false" ht="15" hidden="false" customHeight="false" outlineLevel="0" collapsed="false">
      <c r="A425" s="30"/>
      <c r="B425" s="15"/>
      <c r="C425" s="15"/>
      <c r="D425" s="15"/>
      <c r="E425" s="15"/>
      <c r="F425" s="15"/>
      <c r="G425" s="16" t="str">
        <f aca="false">IF($A425="","",WEEKNUM($A425,1))</f>
        <v/>
      </c>
      <c r="H425" s="16" t="str">
        <f aca="false">IF($A425="","",YEAR($A425))</f>
        <v/>
      </c>
    </row>
    <row r="426" customFormat="false" ht="15" hidden="false" customHeight="false" outlineLevel="0" collapsed="false">
      <c r="A426" s="30"/>
      <c r="B426" s="15"/>
      <c r="C426" s="15"/>
      <c r="D426" s="15"/>
      <c r="E426" s="15"/>
      <c r="F426" s="15"/>
      <c r="G426" s="16" t="str">
        <f aca="false">IF($A426="","",WEEKNUM($A426,1))</f>
        <v/>
      </c>
      <c r="H426" s="16" t="str">
        <f aca="false">IF($A426="","",YEAR($A426))</f>
        <v/>
      </c>
    </row>
    <row r="427" customFormat="false" ht="15" hidden="false" customHeight="false" outlineLevel="0" collapsed="false">
      <c r="A427" s="30"/>
      <c r="B427" s="15"/>
      <c r="C427" s="15"/>
      <c r="D427" s="15"/>
      <c r="E427" s="15"/>
      <c r="F427" s="15"/>
      <c r="G427" s="16" t="str">
        <f aca="false">IF($A427="","",WEEKNUM($A427,1))</f>
        <v/>
      </c>
      <c r="H427" s="16" t="str">
        <f aca="false">IF($A427="","",YEAR($A427))</f>
        <v/>
      </c>
    </row>
    <row r="428" customFormat="false" ht="15" hidden="false" customHeight="false" outlineLevel="0" collapsed="false">
      <c r="A428" s="30"/>
      <c r="B428" s="15"/>
      <c r="C428" s="15"/>
      <c r="D428" s="15"/>
      <c r="E428" s="15"/>
      <c r="F428" s="15"/>
      <c r="G428" s="16" t="str">
        <f aca="false">IF($A428="","",WEEKNUM($A428,1))</f>
        <v/>
      </c>
      <c r="H428" s="16" t="str">
        <f aca="false">IF($A428="","",YEAR($A428))</f>
        <v/>
      </c>
    </row>
    <row r="429" customFormat="false" ht="15" hidden="false" customHeight="false" outlineLevel="0" collapsed="false">
      <c r="A429" s="30"/>
      <c r="B429" s="15"/>
      <c r="C429" s="15"/>
      <c r="D429" s="15"/>
      <c r="E429" s="15"/>
      <c r="F429" s="15"/>
      <c r="G429" s="16" t="str">
        <f aca="false">IF($A429="","",WEEKNUM($A429,1))</f>
        <v/>
      </c>
      <c r="H429" s="16" t="str">
        <f aca="false">IF($A429="","",YEAR($A429))</f>
        <v/>
      </c>
    </row>
    <row r="430" customFormat="false" ht="15" hidden="false" customHeight="false" outlineLevel="0" collapsed="false">
      <c r="A430" s="30"/>
      <c r="B430" s="15"/>
      <c r="C430" s="15"/>
      <c r="D430" s="15"/>
      <c r="E430" s="15"/>
      <c r="F430" s="15"/>
      <c r="G430" s="16" t="str">
        <f aca="false">IF($A430="","",WEEKNUM($A430,1))</f>
        <v/>
      </c>
      <c r="H430" s="16" t="str">
        <f aca="false">IF($A430="","",YEAR($A430))</f>
        <v/>
      </c>
    </row>
    <row r="431" customFormat="false" ht="15" hidden="false" customHeight="false" outlineLevel="0" collapsed="false">
      <c r="A431" s="30"/>
      <c r="B431" s="15"/>
      <c r="C431" s="15"/>
      <c r="D431" s="15"/>
      <c r="E431" s="15"/>
      <c r="F431" s="15"/>
      <c r="G431" s="16" t="str">
        <f aca="false">IF($A431="","",WEEKNUM($A431,1))</f>
        <v/>
      </c>
      <c r="H431" s="16" t="str">
        <f aca="false">IF($A431="","",YEAR($A431))</f>
        <v/>
      </c>
    </row>
    <row r="432" customFormat="false" ht="15" hidden="false" customHeight="false" outlineLevel="0" collapsed="false">
      <c r="A432" s="30"/>
      <c r="B432" s="15"/>
      <c r="C432" s="15"/>
      <c r="D432" s="15"/>
      <c r="E432" s="15"/>
      <c r="F432" s="15"/>
      <c r="G432" s="16" t="str">
        <f aca="false">IF($A432="","",WEEKNUM($A432,1))</f>
        <v/>
      </c>
      <c r="H432" s="16" t="str">
        <f aca="false">IF($A432="","",YEAR($A432))</f>
        <v/>
      </c>
    </row>
    <row r="433" customFormat="false" ht="15" hidden="false" customHeight="false" outlineLevel="0" collapsed="false">
      <c r="A433" s="30"/>
      <c r="B433" s="15"/>
      <c r="C433" s="15"/>
      <c r="D433" s="15"/>
      <c r="E433" s="15"/>
      <c r="F433" s="15"/>
      <c r="G433" s="16" t="str">
        <f aca="false">IF($A433="","",WEEKNUM($A433,1))</f>
        <v/>
      </c>
      <c r="H433" s="16" t="str">
        <f aca="false">IF($A433="","",YEAR($A433))</f>
        <v/>
      </c>
    </row>
    <row r="434" customFormat="false" ht="15" hidden="false" customHeight="false" outlineLevel="0" collapsed="false">
      <c r="A434" s="30"/>
      <c r="B434" s="15"/>
      <c r="C434" s="15"/>
      <c r="D434" s="15"/>
      <c r="E434" s="15"/>
      <c r="F434" s="15"/>
      <c r="G434" s="16" t="str">
        <f aca="false">IF($A434="","",WEEKNUM($A434,1))</f>
        <v/>
      </c>
      <c r="H434" s="16" t="str">
        <f aca="false">IF($A434="","",YEAR($A434))</f>
        <v/>
      </c>
    </row>
    <row r="435" customFormat="false" ht="15" hidden="false" customHeight="false" outlineLevel="0" collapsed="false">
      <c r="A435" s="30"/>
      <c r="B435" s="15"/>
      <c r="C435" s="15"/>
      <c r="D435" s="15"/>
      <c r="E435" s="15"/>
      <c r="F435" s="15"/>
      <c r="G435" s="16" t="str">
        <f aca="false">IF($A435="","",WEEKNUM($A435,1))</f>
        <v/>
      </c>
      <c r="H435" s="16" t="str">
        <f aca="false">IF($A435="","",YEAR($A435))</f>
        <v/>
      </c>
    </row>
    <row r="436" customFormat="false" ht="15" hidden="false" customHeight="false" outlineLevel="0" collapsed="false">
      <c r="A436" s="30"/>
      <c r="B436" s="15"/>
      <c r="C436" s="15"/>
      <c r="D436" s="15"/>
      <c r="E436" s="15"/>
      <c r="F436" s="15"/>
      <c r="G436" s="16" t="str">
        <f aca="false">IF($A436="","",WEEKNUM($A436,1))</f>
        <v/>
      </c>
      <c r="H436" s="16" t="str">
        <f aca="false">IF($A436="","",YEAR($A436))</f>
        <v/>
      </c>
    </row>
    <row r="437" customFormat="false" ht="15" hidden="false" customHeight="false" outlineLevel="0" collapsed="false">
      <c r="A437" s="30"/>
      <c r="B437" s="15"/>
      <c r="C437" s="15"/>
      <c r="D437" s="15"/>
      <c r="E437" s="15"/>
      <c r="F437" s="15"/>
      <c r="G437" s="16" t="str">
        <f aca="false">IF($A437="","",WEEKNUM($A437,1))</f>
        <v/>
      </c>
      <c r="H437" s="16" t="str">
        <f aca="false">IF($A437="","",YEAR($A437))</f>
        <v/>
      </c>
    </row>
    <row r="438" customFormat="false" ht="15" hidden="false" customHeight="false" outlineLevel="0" collapsed="false">
      <c r="A438" s="30"/>
      <c r="B438" s="15"/>
      <c r="C438" s="15"/>
      <c r="D438" s="15"/>
      <c r="E438" s="15"/>
      <c r="F438" s="15"/>
      <c r="G438" s="16" t="str">
        <f aca="false">IF($A438="","",WEEKNUM($A438,1))</f>
        <v/>
      </c>
      <c r="H438" s="16" t="str">
        <f aca="false">IF($A438="","",YEAR($A438))</f>
        <v/>
      </c>
    </row>
    <row r="439" customFormat="false" ht="15" hidden="false" customHeight="false" outlineLevel="0" collapsed="false">
      <c r="A439" s="30"/>
      <c r="B439" s="15"/>
      <c r="C439" s="15"/>
      <c r="D439" s="15"/>
      <c r="E439" s="15"/>
      <c r="F439" s="15"/>
      <c r="G439" s="16" t="str">
        <f aca="false">IF($A439="","",WEEKNUM($A439,1))</f>
        <v/>
      </c>
      <c r="H439" s="16" t="str">
        <f aca="false">IF($A439="","",YEAR($A439))</f>
        <v/>
      </c>
    </row>
    <row r="440" customFormat="false" ht="15" hidden="false" customHeight="false" outlineLevel="0" collapsed="false">
      <c r="A440" s="30"/>
      <c r="B440" s="15"/>
      <c r="C440" s="15"/>
      <c r="D440" s="15"/>
      <c r="E440" s="15"/>
      <c r="F440" s="15"/>
      <c r="G440" s="16" t="str">
        <f aca="false">IF($A440="","",WEEKNUM($A440,1))</f>
        <v/>
      </c>
      <c r="H440" s="16" t="str">
        <f aca="false">IF($A440="","",YEAR($A440))</f>
        <v/>
      </c>
    </row>
    <row r="441" customFormat="false" ht="15" hidden="false" customHeight="false" outlineLevel="0" collapsed="false">
      <c r="A441" s="30"/>
      <c r="B441" s="15"/>
      <c r="C441" s="15"/>
      <c r="D441" s="15"/>
      <c r="E441" s="15"/>
      <c r="F441" s="15"/>
      <c r="G441" s="16" t="str">
        <f aca="false">IF($A441="","",WEEKNUM($A441,1))</f>
        <v/>
      </c>
      <c r="H441" s="16" t="str">
        <f aca="false">IF($A441="","",YEAR($A441))</f>
        <v/>
      </c>
    </row>
    <row r="442" customFormat="false" ht="15" hidden="false" customHeight="false" outlineLevel="0" collapsed="false">
      <c r="A442" s="30"/>
      <c r="B442" s="15"/>
      <c r="C442" s="15"/>
      <c r="D442" s="15"/>
      <c r="E442" s="15"/>
      <c r="F442" s="15"/>
      <c r="G442" s="16" t="str">
        <f aca="false">IF($A442="","",WEEKNUM($A442,1))</f>
        <v/>
      </c>
      <c r="H442" s="16" t="str">
        <f aca="false">IF($A442="","",YEAR($A442))</f>
        <v/>
      </c>
    </row>
    <row r="443" customFormat="false" ht="15" hidden="false" customHeight="false" outlineLevel="0" collapsed="false">
      <c r="A443" s="30"/>
      <c r="B443" s="15"/>
      <c r="C443" s="15"/>
      <c r="D443" s="15"/>
      <c r="E443" s="15"/>
      <c r="F443" s="15"/>
      <c r="G443" s="16" t="str">
        <f aca="false">IF($A443="","",WEEKNUM($A443,1))</f>
        <v/>
      </c>
      <c r="H443" s="16" t="str">
        <f aca="false">IF($A443="","",YEAR($A443))</f>
        <v/>
      </c>
    </row>
    <row r="444" customFormat="false" ht="15" hidden="false" customHeight="false" outlineLevel="0" collapsed="false">
      <c r="A444" s="30"/>
      <c r="B444" s="15"/>
      <c r="C444" s="15"/>
      <c r="D444" s="15"/>
      <c r="E444" s="15"/>
      <c r="F444" s="15"/>
      <c r="G444" s="16" t="str">
        <f aca="false">IF($A444="","",WEEKNUM($A444,1))</f>
        <v/>
      </c>
      <c r="H444" s="16" t="str">
        <f aca="false">IF($A444="","",YEAR($A444))</f>
        <v/>
      </c>
    </row>
    <row r="445" customFormat="false" ht="15" hidden="false" customHeight="false" outlineLevel="0" collapsed="false">
      <c r="A445" s="30"/>
      <c r="B445" s="15"/>
      <c r="C445" s="15"/>
      <c r="D445" s="15"/>
      <c r="E445" s="15"/>
      <c r="F445" s="15"/>
      <c r="G445" s="16" t="str">
        <f aca="false">IF($A445="","",WEEKNUM($A445,1))</f>
        <v/>
      </c>
      <c r="H445" s="16" t="str">
        <f aca="false">IF($A445="","",YEAR($A445))</f>
        <v/>
      </c>
    </row>
    <row r="446" customFormat="false" ht="15" hidden="false" customHeight="false" outlineLevel="0" collapsed="false">
      <c r="A446" s="30"/>
      <c r="B446" s="15"/>
      <c r="C446" s="15"/>
      <c r="D446" s="15"/>
      <c r="E446" s="15"/>
      <c r="F446" s="15"/>
      <c r="G446" s="16" t="str">
        <f aca="false">IF($A446="","",WEEKNUM($A446,1))</f>
        <v/>
      </c>
      <c r="H446" s="16" t="str">
        <f aca="false">IF($A446="","",YEAR($A446))</f>
        <v/>
      </c>
    </row>
    <row r="447" customFormat="false" ht="15" hidden="false" customHeight="false" outlineLevel="0" collapsed="false">
      <c r="A447" s="30"/>
      <c r="B447" s="15"/>
      <c r="C447" s="15"/>
      <c r="D447" s="15"/>
      <c r="E447" s="15"/>
      <c r="F447" s="15"/>
      <c r="G447" s="16" t="str">
        <f aca="false">IF($A447="","",WEEKNUM($A447,1))</f>
        <v/>
      </c>
      <c r="H447" s="16" t="str">
        <f aca="false">IF($A447="","",YEAR($A447))</f>
        <v/>
      </c>
    </row>
    <row r="448" customFormat="false" ht="15" hidden="false" customHeight="false" outlineLevel="0" collapsed="false">
      <c r="A448" s="30"/>
      <c r="B448" s="15"/>
      <c r="C448" s="15"/>
      <c r="D448" s="15"/>
      <c r="E448" s="15"/>
      <c r="F448" s="15"/>
      <c r="G448" s="16" t="str">
        <f aca="false">IF($A448="","",WEEKNUM($A448,1))</f>
        <v/>
      </c>
      <c r="H448" s="16" t="str">
        <f aca="false">IF($A448="","",YEAR($A448))</f>
        <v/>
      </c>
    </row>
    <row r="449" customFormat="false" ht="15" hidden="false" customHeight="false" outlineLevel="0" collapsed="false">
      <c r="A449" s="30"/>
      <c r="B449" s="15"/>
      <c r="C449" s="15"/>
      <c r="D449" s="15"/>
      <c r="E449" s="15"/>
      <c r="F449" s="15"/>
      <c r="G449" s="16" t="str">
        <f aca="false">IF($A449="","",WEEKNUM($A449,1))</f>
        <v/>
      </c>
      <c r="H449" s="16" t="str">
        <f aca="false">IF($A449="","",YEAR($A449))</f>
        <v/>
      </c>
    </row>
    <row r="450" customFormat="false" ht="15" hidden="false" customHeight="false" outlineLevel="0" collapsed="false">
      <c r="A450" s="30"/>
      <c r="B450" s="15"/>
      <c r="C450" s="15"/>
      <c r="D450" s="15"/>
      <c r="E450" s="15"/>
      <c r="F450" s="15"/>
      <c r="G450" s="16" t="str">
        <f aca="false">IF($A450="","",WEEKNUM($A450,1))</f>
        <v/>
      </c>
      <c r="H450" s="16" t="str">
        <f aca="false">IF($A450="","",YEAR($A450))</f>
        <v/>
      </c>
    </row>
    <row r="451" customFormat="false" ht="15" hidden="false" customHeight="false" outlineLevel="0" collapsed="false">
      <c r="A451" s="30"/>
      <c r="B451" s="15"/>
      <c r="C451" s="15"/>
      <c r="D451" s="15"/>
      <c r="E451" s="15"/>
      <c r="F451" s="15"/>
      <c r="G451" s="16" t="str">
        <f aca="false">IF($A451="","",WEEKNUM($A451,1))</f>
        <v/>
      </c>
      <c r="H451" s="16" t="str">
        <f aca="false">IF($A451="","",YEAR($A451))</f>
        <v/>
      </c>
    </row>
    <row r="452" customFormat="false" ht="15" hidden="false" customHeight="false" outlineLevel="0" collapsed="false">
      <c r="A452" s="30"/>
      <c r="B452" s="15"/>
      <c r="C452" s="15"/>
      <c r="D452" s="15"/>
      <c r="E452" s="15"/>
      <c r="F452" s="15"/>
      <c r="G452" s="16" t="str">
        <f aca="false">IF($A452="","",WEEKNUM($A452,1))</f>
        <v/>
      </c>
      <c r="H452" s="16" t="str">
        <f aca="false">IF($A452="","",YEAR($A452))</f>
        <v/>
      </c>
    </row>
    <row r="453" customFormat="false" ht="15" hidden="false" customHeight="false" outlineLevel="0" collapsed="false">
      <c r="A453" s="30"/>
      <c r="B453" s="15"/>
      <c r="C453" s="15"/>
      <c r="D453" s="15"/>
      <c r="E453" s="15"/>
      <c r="F453" s="15"/>
      <c r="G453" s="16" t="str">
        <f aca="false">IF($A453="","",WEEKNUM($A453,1))</f>
        <v/>
      </c>
      <c r="H453" s="16" t="str">
        <f aca="false">IF($A453="","",YEAR($A453))</f>
        <v/>
      </c>
    </row>
    <row r="454" customFormat="false" ht="15" hidden="false" customHeight="false" outlineLevel="0" collapsed="false">
      <c r="A454" s="30"/>
      <c r="B454" s="15"/>
      <c r="C454" s="15"/>
      <c r="D454" s="15"/>
      <c r="E454" s="15"/>
      <c r="F454" s="15"/>
      <c r="G454" s="16" t="str">
        <f aca="false">IF($A454="","",WEEKNUM($A454,1))</f>
        <v/>
      </c>
      <c r="H454" s="16" t="str">
        <f aca="false">IF($A454="","",YEAR($A454))</f>
        <v/>
      </c>
    </row>
    <row r="455" customFormat="false" ht="15" hidden="false" customHeight="false" outlineLevel="0" collapsed="false">
      <c r="A455" s="30"/>
      <c r="B455" s="15"/>
      <c r="C455" s="15"/>
      <c r="D455" s="15"/>
      <c r="E455" s="15"/>
      <c r="F455" s="15"/>
      <c r="G455" s="16" t="str">
        <f aca="false">IF($A455="","",WEEKNUM($A455,1))</f>
        <v/>
      </c>
      <c r="H455" s="16" t="str">
        <f aca="false">IF($A455="","",YEAR($A455))</f>
        <v/>
      </c>
    </row>
    <row r="456" customFormat="false" ht="15" hidden="false" customHeight="false" outlineLevel="0" collapsed="false">
      <c r="A456" s="30"/>
      <c r="B456" s="15"/>
      <c r="C456" s="15"/>
      <c r="D456" s="15"/>
      <c r="E456" s="15"/>
      <c r="F456" s="15"/>
      <c r="G456" s="16" t="str">
        <f aca="false">IF($A456="","",WEEKNUM($A456,1))</f>
        <v/>
      </c>
      <c r="H456" s="16" t="str">
        <f aca="false">IF($A456="","",YEAR($A456))</f>
        <v/>
      </c>
    </row>
    <row r="457" customFormat="false" ht="15" hidden="false" customHeight="false" outlineLevel="0" collapsed="false">
      <c r="A457" s="30"/>
      <c r="B457" s="15"/>
      <c r="C457" s="15"/>
      <c r="D457" s="15"/>
      <c r="E457" s="15"/>
      <c r="F457" s="15"/>
      <c r="G457" s="16" t="str">
        <f aca="false">IF($A457="","",WEEKNUM($A457,1))</f>
        <v/>
      </c>
      <c r="H457" s="16" t="str">
        <f aca="false">IF($A457="","",YEAR($A457))</f>
        <v/>
      </c>
    </row>
    <row r="458" customFormat="false" ht="15" hidden="false" customHeight="false" outlineLevel="0" collapsed="false">
      <c r="A458" s="30"/>
      <c r="B458" s="15"/>
      <c r="C458" s="15"/>
      <c r="D458" s="15"/>
      <c r="E458" s="15"/>
      <c r="F458" s="15"/>
      <c r="G458" s="16" t="str">
        <f aca="false">IF($A458="","",WEEKNUM($A458,1))</f>
        <v/>
      </c>
      <c r="H458" s="16" t="str">
        <f aca="false">IF($A458="","",YEAR($A458))</f>
        <v/>
      </c>
    </row>
    <row r="459" customFormat="false" ht="15" hidden="false" customHeight="false" outlineLevel="0" collapsed="false">
      <c r="A459" s="30"/>
      <c r="B459" s="15"/>
      <c r="C459" s="15"/>
      <c r="D459" s="15"/>
      <c r="E459" s="15"/>
      <c r="F459" s="15"/>
      <c r="G459" s="16" t="str">
        <f aca="false">IF($A459="","",WEEKNUM($A459,1))</f>
        <v/>
      </c>
      <c r="H459" s="16" t="str">
        <f aca="false">IF($A459="","",YEAR($A459))</f>
        <v/>
      </c>
    </row>
    <row r="460" customFormat="false" ht="15" hidden="false" customHeight="false" outlineLevel="0" collapsed="false">
      <c r="A460" s="30"/>
      <c r="B460" s="15"/>
      <c r="C460" s="15"/>
      <c r="D460" s="15"/>
      <c r="E460" s="15"/>
      <c r="F460" s="15"/>
      <c r="G460" s="16" t="str">
        <f aca="false">IF($A460="","",WEEKNUM($A460,1))</f>
        <v/>
      </c>
      <c r="H460" s="16" t="str">
        <f aca="false">IF($A460="","",YEAR($A460))</f>
        <v/>
      </c>
    </row>
    <row r="461" customFormat="false" ht="15" hidden="false" customHeight="false" outlineLevel="0" collapsed="false">
      <c r="A461" s="30"/>
      <c r="B461" s="15"/>
      <c r="C461" s="15"/>
      <c r="D461" s="15"/>
      <c r="E461" s="15"/>
      <c r="F461" s="15"/>
      <c r="G461" s="16" t="str">
        <f aca="false">IF($A461="","",WEEKNUM($A461,1))</f>
        <v/>
      </c>
      <c r="H461" s="16" t="str">
        <f aca="false">IF($A461="","",YEAR($A461))</f>
        <v/>
      </c>
    </row>
    <row r="462" customFormat="false" ht="15" hidden="false" customHeight="false" outlineLevel="0" collapsed="false">
      <c r="A462" s="30"/>
      <c r="B462" s="15"/>
      <c r="C462" s="15"/>
      <c r="D462" s="15"/>
      <c r="E462" s="15"/>
      <c r="F462" s="15"/>
      <c r="G462" s="16" t="str">
        <f aca="false">IF($A462="","",WEEKNUM($A462,1))</f>
        <v/>
      </c>
      <c r="H462" s="16" t="str">
        <f aca="false">IF($A462="","",YEAR($A462))</f>
        <v/>
      </c>
    </row>
    <row r="463" customFormat="false" ht="15" hidden="false" customHeight="false" outlineLevel="0" collapsed="false">
      <c r="A463" s="30"/>
      <c r="B463" s="15"/>
      <c r="C463" s="15"/>
      <c r="D463" s="15"/>
      <c r="E463" s="15"/>
      <c r="F463" s="15"/>
      <c r="G463" s="16" t="str">
        <f aca="false">IF($A463="","",WEEKNUM($A463,1))</f>
        <v/>
      </c>
      <c r="H463" s="16" t="str">
        <f aca="false">IF($A463="","",YEAR($A463))</f>
        <v/>
      </c>
    </row>
    <row r="464" customFormat="false" ht="15" hidden="false" customHeight="false" outlineLevel="0" collapsed="false">
      <c r="A464" s="30"/>
      <c r="B464" s="15"/>
      <c r="C464" s="15"/>
      <c r="D464" s="15"/>
      <c r="E464" s="15"/>
      <c r="F464" s="15"/>
      <c r="G464" s="16" t="str">
        <f aca="false">IF($A464="","",WEEKNUM($A464,1))</f>
        <v/>
      </c>
      <c r="H464" s="16" t="str">
        <f aca="false">IF($A464="","",YEAR($A464))</f>
        <v/>
      </c>
    </row>
    <row r="465" customFormat="false" ht="15" hidden="false" customHeight="false" outlineLevel="0" collapsed="false">
      <c r="A465" s="30"/>
      <c r="B465" s="15"/>
      <c r="C465" s="15"/>
      <c r="D465" s="15"/>
      <c r="E465" s="15"/>
      <c r="F465" s="15"/>
      <c r="G465" s="16" t="str">
        <f aca="false">IF($A465="","",WEEKNUM($A465,1))</f>
        <v/>
      </c>
      <c r="H465" s="16" t="str">
        <f aca="false">IF($A465="","",YEAR($A465))</f>
        <v/>
      </c>
    </row>
    <row r="466" customFormat="false" ht="15" hidden="false" customHeight="false" outlineLevel="0" collapsed="false">
      <c r="A466" s="30"/>
      <c r="B466" s="15"/>
      <c r="C466" s="15"/>
      <c r="D466" s="15"/>
      <c r="E466" s="15"/>
      <c r="F466" s="15"/>
      <c r="G466" s="16" t="str">
        <f aca="false">IF($A466="","",WEEKNUM($A466,1))</f>
        <v/>
      </c>
      <c r="H466" s="16" t="str">
        <f aca="false">IF($A466="","",YEAR($A466))</f>
        <v/>
      </c>
    </row>
    <row r="467" customFormat="false" ht="15" hidden="false" customHeight="false" outlineLevel="0" collapsed="false">
      <c r="A467" s="30"/>
      <c r="B467" s="15"/>
      <c r="C467" s="15"/>
      <c r="D467" s="15"/>
      <c r="E467" s="15"/>
      <c r="F467" s="15"/>
      <c r="G467" s="16" t="str">
        <f aca="false">IF($A467="","",WEEKNUM($A467,1))</f>
        <v/>
      </c>
      <c r="H467" s="16" t="str">
        <f aca="false">IF($A467="","",YEAR($A467))</f>
        <v/>
      </c>
    </row>
    <row r="468" customFormat="false" ht="15" hidden="false" customHeight="false" outlineLevel="0" collapsed="false">
      <c r="A468" s="30"/>
      <c r="B468" s="15"/>
      <c r="C468" s="15"/>
      <c r="D468" s="15"/>
      <c r="E468" s="15"/>
      <c r="F468" s="15"/>
      <c r="G468" s="16" t="str">
        <f aca="false">IF($A468="","",WEEKNUM($A468,1))</f>
        <v/>
      </c>
      <c r="H468" s="16" t="str">
        <f aca="false">IF($A468="","",YEAR($A468))</f>
        <v/>
      </c>
    </row>
    <row r="469" customFormat="false" ht="15" hidden="false" customHeight="false" outlineLevel="0" collapsed="false">
      <c r="A469" s="30"/>
      <c r="B469" s="15"/>
      <c r="C469" s="15"/>
      <c r="D469" s="15"/>
      <c r="E469" s="15"/>
      <c r="F469" s="15"/>
      <c r="G469" s="16" t="str">
        <f aca="false">IF($A469="","",WEEKNUM($A469,1))</f>
        <v/>
      </c>
      <c r="H469" s="16" t="str">
        <f aca="false">IF($A469="","",YEAR($A469))</f>
        <v/>
      </c>
    </row>
    <row r="470" customFormat="false" ht="15" hidden="false" customHeight="false" outlineLevel="0" collapsed="false">
      <c r="A470" s="30"/>
      <c r="B470" s="15"/>
      <c r="C470" s="15"/>
      <c r="D470" s="15"/>
      <c r="E470" s="15"/>
      <c r="F470" s="15"/>
      <c r="G470" s="16" t="str">
        <f aca="false">IF($A470="","",WEEKNUM($A470,1))</f>
        <v/>
      </c>
      <c r="H470" s="16" t="str">
        <f aca="false">IF($A470="","",YEAR($A470))</f>
        <v/>
      </c>
    </row>
    <row r="471" customFormat="false" ht="15" hidden="false" customHeight="false" outlineLevel="0" collapsed="false">
      <c r="A471" s="30"/>
      <c r="B471" s="15"/>
      <c r="C471" s="15"/>
      <c r="D471" s="15"/>
      <c r="E471" s="15"/>
      <c r="F471" s="15"/>
      <c r="G471" s="16" t="str">
        <f aca="false">IF($A471="","",WEEKNUM($A471,1))</f>
        <v/>
      </c>
      <c r="H471" s="16" t="str">
        <f aca="false">IF($A471="","",YEAR($A471))</f>
        <v/>
      </c>
    </row>
    <row r="472" customFormat="false" ht="15" hidden="false" customHeight="false" outlineLevel="0" collapsed="false">
      <c r="A472" s="30"/>
      <c r="B472" s="15"/>
      <c r="C472" s="15"/>
      <c r="D472" s="15"/>
      <c r="E472" s="15"/>
      <c r="F472" s="15"/>
      <c r="G472" s="16" t="str">
        <f aca="false">IF($A472="","",WEEKNUM($A472,1))</f>
        <v/>
      </c>
      <c r="H472" s="16" t="str">
        <f aca="false">IF($A472="","",YEAR($A472))</f>
        <v/>
      </c>
    </row>
    <row r="473" customFormat="false" ht="15" hidden="false" customHeight="false" outlineLevel="0" collapsed="false">
      <c r="A473" s="30"/>
      <c r="B473" s="15"/>
      <c r="C473" s="15"/>
      <c r="D473" s="15"/>
      <c r="E473" s="15"/>
      <c r="F473" s="15"/>
      <c r="G473" s="16" t="str">
        <f aca="false">IF($A473="","",WEEKNUM($A473,1))</f>
        <v/>
      </c>
      <c r="H473" s="16" t="str">
        <f aca="false">IF($A473="","",YEAR($A473))</f>
        <v/>
      </c>
    </row>
    <row r="474" customFormat="false" ht="15" hidden="false" customHeight="false" outlineLevel="0" collapsed="false">
      <c r="A474" s="30"/>
      <c r="B474" s="15"/>
      <c r="C474" s="15"/>
      <c r="D474" s="15"/>
      <c r="E474" s="15"/>
      <c r="F474" s="15"/>
      <c r="G474" s="16" t="str">
        <f aca="false">IF($A474="","",WEEKNUM($A474,1))</f>
        <v/>
      </c>
      <c r="H474" s="16" t="str">
        <f aca="false">IF($A474="","",YEAR($A474))</f>
        <v/>
      </c>
    </row>
    <row r="475" customFormat="false" ht="15" hidden="false" customHeight="false" outlineLevel="0" collapsed="false">
      <c r="A475" s="30"/>
      <c r="B475" s="15"/>
      <c r="C475" s="15"/>
      <c r="D475" s="15"/>
      <c r="E475" s="15"/>
      <c r="F475" s="15"/>
      <c r="G475" s="16" t="str">
        <f aca="false">IF($A475="","",WEEKNUM($A475,1))</f>
        <v/>
      </c>
      <c r="H475" s="16" t="str">
        <f aca="false">IF($A475="","",YEAR($A475))</f>
        <v/>
      </c>
    </row>
    <row r="476" customFormat="false" ht="15" hidden="false" customHeight="false" outlineLevel="0" collapsed="false">
      <c r="A476" s="30"/>
      <c r="B476" s="15"/>
      <c r="C476" s="15"/>
      <c r="D476" s="15"/>
      <c r="E476" s="15"/>
      <c r="F476" s="15"/>
      <c r="G476" s="16" t="str">
        <f aca="false">IF($A476="","",WEEKNUM($A476,1))</f>
        <v/>
      </c>
      <c r="H476" s="16" t="str">
        <f aca="false">IF($A476="","",YEAR($A476))</f>
        <v/>
      </c>
    </row>
    <row r="477" customFormat="false" ht="15" hidden="false" customHeight="false" outlineLevel="0" collapsed="false">
      <c r="A477" s="30"/>
      <c r="B477" s="15"/>
      <c r="C477" s="15"/>
      <c r="D477" s="15"/>
      <c r="E477" s="15"/>
      <c r="F477" s="15"/>
      <c r="G477" s="16" t="str">
        <f aca="false">IF($A477="","",WEEKNUM($A477,1))</f>
        <v/>
      </c>
      <c r="H477" s="16" t="str">
        <f aca="false">IF($A477="","",YEAR($A477))</f>
        <v/>
      </c>
    </row>
    <row r="478" customFormat="false" ht="15" hidden="false" customHeight="false" outlineLevel="0" collapsed="false">
      <c r="A478" s="30"/>
      <c r="B478" s="15"/>
      <c r="C478" s="15"/>
      <c r="D478" s="15"/>
      <c r="E478" s="15"/>
      <c r="F478" s="15"/>
      <c r="G478" s="16" t="str">
        <f aca="false">IF($A478="","",WEEKNUM($A478,1))</f>
        <v/>
      </c>
      <c r="H478" s="16" t="str">
        <f aca="false">IF($A478="","",YEAR($A478))</f>
        <v/>
      </c>
    </row>
    <row r="479" customFormat="false" ht="15" hidden="false" customHeight="false" outlineLevel="0" collapsed="false">
      <c r="A479" s="30"/>
      <c r="B479" s="15"/>
      <c r="C479" s="15"/>
      <c r="D479" s="15"/>
      <c r="E479" s="15"/>
      <c r="F479" s="15"/>
      <c r="G479" s="16" t="str">
        <f aca="false">IF($A479="","",WEEKNUM($A479,1))</f>
        <v/>
      </c>
      <c r="H479" s="16" t="str">
        <f aca="false">IF($A479="","",YEAR($A479))</f>
        <v/>
      </c>
    </row>
    <row r="480" customFormat="false" ht="15" hidden="false" customHeight="false" outlineLevel="0" collapsed="false">
      <c r="A480" s="30"/>
      <c r="B480" s="15"/>
      <c r="C480" s="15"/>
      <c r="D480" s="15"/>
      <c r="E480" s="15"/>
      <c r="F480" s="15"/>
      <c r="G480" s="16" t="str">
        <f aca="false">IF($A480="","",WEEKNUM($A480,1))</f>
        <v/>
      </c>
      <c r="H480" s="16" t="str">
        <f aca="false">IF($A480="","",YEAR($A480))</f>
        <v/>
      </c>
    </row>
    <row r="481" customFormat="false" ht="15" hidden="false" customHeight="false" outlineLevel="0" collapsed="false">
      <c r="A481" s="30"/>
      <c r="B481" s="15"/>
      <c r="C481" s="15"/>
      <c r="D481" s="15"/>
      <c r="E481" s="15"/>
      <c r="F481" s="15"/>
      <c r="G481" s="16" t="str">
        <f aca="false">IF($A481="","",WEEKNUM($A481,1))</f>
        <v/>
      </c>
      <c r="H481" s="16" t="str">
        <f aca="false">IF($A481="","",YEAR($A481))</f>
        <v/>
      </c>
    </row>
    <row r="482" customFormat="false" ht="15" hidden="false" customHeight="false" outlineLevel="0" collapsed="false">
      <c r="A482" s="30"/>
      <c r="B482" s="15"/>
      <c r="C482" s="15"/>
      <c r="D482" s="15"/>
      <c r="E482" s="15"/>
      <c r="F482" s="15"/>
      <c r="G482" s="16" t="str">
        <f aca="false">IF($A482="","",WEEKNUM($A482,1))</f>
        <v/>
      </c>
      <c r="H482" s="16" t="str">
        <f aca="false">IF($A482="","",YEAR($A482))</f>
        <v/>
      </c>
    </row>
    <row r="483" customFormat="false" ht="15" hidden="false" customHeight="false" outlineLevel="0" collapsed="false">
      <c r="A483" s="30"/>
      <c r="B483" s="15"/>
      <c r="C483" s="15"/>
      <c r="D483" s="15"/>
      <c r="E483" s="15"/>
      <c r="F483" s="15"/>
      <c r="G483" s="16" t="str">
        <f aca="false">IF($A483="","",WEEKNUM($A483,1))</f>
        <v/>
      </c>
      <c r="H483" s="16" t="str">
        <f aca="false">IF($A483="","",YEAR($A483))</f>
        <v/>
      </c>
    </row>
    <row r="484" customFormat="false" ht="15" hidden="false" customHeight="false" outlineLevel="0" collapsed="false">
      <c r="A484" s="30"/>
      <c r="B484" s="15"/>
      <c r="C484" s="15"/>
      <c r="D484" s="15"/>
      <c r="E484" s="15"/>
      <c r="F484" s="15"/>
      <c r="G484" s="16" t="str">
        <f aca="false">IF($A484="","",WEEKNUM($A484,1))</f>
        <v/>
      </c>
      <c r="H484" s="16" t="str">
        <f aca="false">IF($A484="","",YEAR($A484))</f>
        <v/>
      </c>
    </row>
    <row r="485" customFormat="false" ht="15" hidden="false" customHeight="false" outlineLevel="0" collapsed="false">
      <c r="A485" s="30"/>
      <c r="B485" s="15"/>
      <c r="C485" s="15"/>
      <c r="D485" s="15"/>
      <c r="E485" s="15"/>
      <c r="F485" s="15"/>
      <c r="G485" s="16" t="str">
        <f aca="false">IF($A485="","",WEEKNUM($A485,1))</f>
        <v/>
      </c>
      <c r="H485" s="16" t="str">
        <f aca="false">IF($A485="","",YEAR($A485))</f>
        <v/>
      </c>
    </row>
    <row r="486" customFormat="false" ht="15" hidden="false" customHeight="false" outlineLevel="0" collapsed="false">
      <c r="A486" s="30"/>
      <c r="B486" s="15"/>
      <c r="C486" s="15"/>
      <c r="D486" s="15"/>
      <c r="E486" s="15"/>
      <c r="F486" s="15"/>
      <c r="G486" s="16" t="str">
        <f aca="false">IF($A486="","",WEEKNUM($A486,1))</f>
        <v/>
      </c>
      <c r="H486" s="16" t="str">
        <f aca="false">IF($A486="","",YEAR($A486))</f>
        <v/>
      </c>
    </row>
    <row r="487" customFormat="false" ht="15" hidden="false" customHeight="false" outlineLevel="0" collapsed="false">
      <c r="A487" s="30"/>
      <c r="B487" s="15"/>
      <c r="C487" s="15"/>
      <c r="D487" s="15"/>
      <c r="E487" s="15"/>
      <c r="F487" s="15"/>
      <c r="G487" s="16" t="str">
        <f aca="false">IF($A487="","",WEEKNUM($A487,1))</f>
        <v/>
      </c>
      <c r="H487" s="16" t="str">
        <f aca="false">IF($A487="","",YEAR($A487))</f>
        <v/>
      </c>
    </row>
    <row r="488" customFormat="false" ht="15" hidden="false" customHeight="false" outlineLevel="0" collapsed="false">
      <c r="A488" s="30"/>
      <c r="B488" s="15"/>
      <c r="C488" s="15"/>
      <c r="D488" s="15"/>
      <c r="E488" s="15"/>
      <c r="F488" s="15"/>
      <c r="G488" s="16" t="str">
        <f aca="false">IF($A488="","",WEEKNUM($A488,1))</f>
        <v/>
      </c>
      <c r="H488" s="16" t="str">
        <f aca="false">IF($A488="","",YEAR($A488))</f>
        <v/>
      </c>
    </row>
    <row r="489" customFormat="false" ht="15" hidden="false" customHeight="false" outlineLevel="0" collapsed="false">
      <c r="A489" s="30"/>
      <c r="B489" s="15"/>
      <c r="C489" s="15"/>
      <c r="D489" s="15"/>
      <c r="E489" s="15"/>
      <c r="F489" s="15"/>
      <c r="G489" s="16" t="str">
        <f aca="false">IF($A489="","",WEEKNUM($A489,1))</f>
        <v/>
      </c>
      <c r="H489" s="16" t="str">
        <f aca="false">IF($A489="","",YEAR($A489))</f>
        <v/>
      </c>
    </row>
    <row r="490" customFormat="false" ht="15" hidden="false" customHeight="false" outlineLevel="0" collapsed="false">
      <c r="A490" s="30"/>
      <c r="B490" s="15"/>
      <c r="C490" s="15"/>
      <c r="D490" s="15"/>
      <c r="E490" s="15"/>
      <c r="F490" s="15"/>
      <c r="G490" s="16" t="str">
        <f aca="false">IF($A490="","",WEEKNUM($A490,1))</f>
        <v/>
      </c>
      <c r="H490" s="16" t="str">
        <f aca="false">IF($A490="","",YEAR($A490))</f>
        <v/>
      </c>
    </row>
    <row r="491" customFormat="false" ht="15" hidden="false" customHeight="false" outlineLevel="0" collapsed="false">
      <c r="A491" s="30"/>
      <c r="B491" s="15"/>
      <c r="C491" s="15"/>
      <c r="D491" s="15"/>
      <c r="E491" s="15"/>
      <c r="F491" s="15"/>
      <c r="G491" s="16" t="str">
        <f aca="false">IF($A491="","",WEEKNUM($A491,1))</f>
        <v/>
      </c>
      <c r="H491" s="16" t="str">
        <f aca="false">IF($A491="","",YEAR($A491))</f>
        <v/>
      </c>
    </row>
    <row r="492" customFormat="false" ht="15" hidden="false" customHeight="false" outlineLevel="0" collapsed="false">
      <c r="A492" s="30"/>
      <c r="B492" s="15"/>
      <c r="C492" s="15"/>
      <c r="D492" s="15"/>
      <c r="E492" s="15"/>
      <c r="F492" s="15"/>
      <c r="G492" s="16" t="str">
        <f aca="false">IF($A492="","",WEEKNUM($A492,1))</f>
        <v/>
      </c>
      <c r="H492" s="16" t="str">
        <f aca="false">IF($A492="","",YEAR($A492))</f>
        <v/>
      </c>
    </row>
    <row r="493" customFormat="false" ht="15" hidden="false" customHeight="false" outlineLevel="0" collapsed="false">
      <c r="A493" s="30"/>
      <c r="B493" s="15"/>
      <c r="C493" s="15"/>
      <c r="D493" s="15"/>
      <c r="E493" s="15"/>
      <c r="F493" s="15"/>
      <c r="G493" s="16" t="str">
        <f aca="false">IF($A493="","",WEEKNUM($A493,1))</f>
        <v/>
      </c>
      <c r="H493" s="16" t="str">
        <f aca="false">IF($A493="","",YEAR($A493))</f>
        <v/>
      </c>
    </row>
    <row r="494" customFormat="false" ht="15" hidden="false" customHeight="false" outlineLevel="0" collapsed="false">
      <c r="A494" s="30"/>
      <c r="B494" s="15"/>
      <c r="C494" s="15"/>
      <c r="D494" s="15"/>
      <c r="E494" s="15"/>
      <c r="F494" s="15"/>
      <c r="G494" s="16" t="str">
        <f aca="false">IF($A494="","",WEEKNUM($A494,1))</f>
        <v/>
      </c>
      <c r="H494" s="16" t="str">
        <f aca="false">IF($A494="","",YEAR($A494))</f>
        <v/>
      </c>
    </row>
    <row r="495" customFormat="false" ht="15" hidden="false" customHeight="false" outlineLevel="0" collapsed="false">
      <c r="A495" s="30"/>
      <c r="B495" s="15"/>
      <c r="C495" s="15"/>
      <c r="D495" s="15"/>
      <c r="E495" s="15"/>
      <c r="F495" s="15"/>
      <c r="G495" s="16" t="str">
        <f aca="false">IF($A495="","",WEEKNUM($A495,1))</f>
        <v/>
      </c>
      <c r="H495" s="16" t="str">
        <f aca="false">IF($A495="","",YEAR($A495))</f>
        <v/>
      </c>
    </row>
    <row r="496" customFormat="false" ht="15" hidden="false" customHeight="false" outlineLevel="0" collapsed="false">
      <c r="A496" s="30"/>
      <c r="B496" s="15"/>
      <c r="C496" s="15"/>
      <c r="D496" s="15"/>
      <c r="E496" s="15"/>
      <c r="F496" s="15"/>
      <c r="G496" s="16" t="str">
        <f aca="false">IF($A496="","",WEEKNUM($A496,1))</f>
        <v/>
      </c>
      <c r="H496" s="16" t="str">
        <f aca="false">IF($A496="","",YEAR($A496))</f>
        <v/>
      </c>
    </row>
    <row r="497" customFormat="false" ht="15" hidden="false" customHeight="false" outlineLevel="0" collapsed="false">
      <c r="A497" s="30"/>
      <c r="B497" s="15"/>
      <c r="C497" s="15"/>
      <c r="D497" s="15"/>
      <c r="E497" s="15"/>
      <c r="F497" s="15"/>
      <c r="G497" s="16" t="str">
        <f aca="false">IF($A497="","",WEEKNUM($A497,1))</f>
        <v/>
      </c>
      <c r="H497" s="16" t="str">
        <f aca="false">IF($A497="","",YEAR($A497))</f>
        <v/>
      </c>
    </row>
    <row r="498" customFormat="false" ht="15" hidden="false" customHeight="false" outlineLevel="0" collapsed="false">
      <c r="A498" s="30"/>
      <c r="B498" s="15"/>
      <c r="C498" s="15"/>
      <c r="D498" s="15"/>
      <c r="E498" s="15"/>
      <c r="F498" s="15"/>
      <c r="G498" s="16" t="str">
        <f aca="false">IF($A498="","",WEEKNUM($A498,1))</f>
        <v/>
      </c>
      <c r="H498" s="16" t="str">
        <f aca="false">IF($A498="","",YEAR($A498))</f>
        <v/>
      </c>
    </row>
    <row r="499" customFormat="false" ht="15" hidden="false" customHeight="false" outlineLevel="0" collapsed="false">
      <c r="A499" s="30"/>
      <c r="B499" s="15"/>
      <c r="C499" s="15"/>
      <c r="D499" s="15"/>
      <c r="E499" s="15"/>
      <c r="F499" s="15"/>
      <c r="G499" s="16" t="str">
        <f aca="false">IF($A499="","",WEEKNUM($A499,1))</f>
        <v/>
      </c>
      <c r="H499" s="16" t="str">
        <f aca="false">IF($A499="","",YEAR($A499))</f>
        <v/>
      </c>
    </row>
    <row r="500" customFormat="false" ht="15" hidden="false" customHeight="false" outlineLevel="0" collapsed="false">
      <c r="A500" s="30"/>
      <c r="B500" s="15"/>
      <c r="C500" s="15"/>
      <c r="D500" s="15"/>
      <c r="E500" s="15"/>
      <c r="F500" s="15"/>
      <c r="G500" s="16" t="str">
        <f aca="false">IF($A500="","",WEEKNUM($A500,1))</f>
        <v/>
      </c>
      <c r="H500" s="16" t="str">
        <f aca="false">IF($A500="","",YEAR($A500))</f>
        <v/>
      </c>
    </row>
    <row r="501" customFormat="false" ht="15" hidden="false" customHeight="false" outlineLevel="0" collapsed="false">
      <c r="A501" s="30"/>
      <c r="B501" s="15"/>
      <c r="C501" s="15"/>
      <c r="D501" s="15"/>
      <c r="E501" s="15"/>
      <c r="F501" s="15"/>
      <c r="G501" s="16" t="str">
        <f aca="false">IF($A501="","",WEEKNUM($A501,1))</f>
        <v/>
      </c>
      <c r="H501" s="16" t="str">
        <f aca="false">IF($A501="","",YEAR($A501))</f>
        <v/>
      </c>
    </row>
    <row r="502" customFormat="false" ht="15" hidden="false" customHeight="false" outlineLevel="0" collapsed="false">
      <c r="A502" s="30"/>
      <c r="B502" s="15"/>
      <c r="C502" s="15"/>
      <c r="D502" s="15"/>
      <c r="E502" s="15"/>
      <c r="F502" s="15"/>
      <c r="G502" s="16" t="str">
        <f aca="false">IF($A502="","",WEEKNUM($A502,1))</f>
        <v/>
      </c>
      <c r="H502" s="16" t="str">
        <f aca="false">IF($A502="","",YEAR($A502))</f>
        <v/>
      </c>
    </row>
  </sheetData>
  <sheetProtection sheet="true" formatCells="false" formatColumns="false" formatRows="false" insertRows="false" sort="false" autoFilter="false"/>
  <mergeCells count="2">
    <mergeCell ref="B1:E1"/>
    <mergeCell ref="F1:H1"/>
  </mergeCells>
  <dataValidations count="2">
    <dataValidation allowBlank="true" errorStyle="stop" operator="between" showDropDown="false" showErrorMessage="false" showInputMessage="false" sqref="B3:B502" type="list">
      <formula1>Equipos!$B$3:$B$202</formula1>
      <formula2>0</formula2>
    </dataValidation>
    <dataValidation allowBlank="true" errorStyle="stop" operator="between" showDropDown="false" showErrorMessage="false" showInputMessage="false" sqref="C3:C502" type="list">
      <formula1>Actividades!$C$3:$C$62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7" min="15" style="0" width="13"/>
    <col collapsed="false" customWidth="true" hidden="false" outlineLevel="0" max="18" min="18" style="0" width="14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18"/>
    <col collapsed="false" customWidth="true" hidden="false" outlineLevel="0" max="23" min="23" style="0" width="9"/>
    <col collapsed="false" customWidth="true" hidden="false" outlineLevel="0" max="24" min="24" style="0" width="24"/>
  </cols>
  <sheetData>
    <row r="1" customFormat="false" ht="43.5" hidden="false" customHeight="true" outlineLevel="0" collapsed="false">
      <c r="A1" s="1"/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1</v>
      </c>
      <c r="W1" s="3"/>
      <c r="X1" s="3"/>
    </row>
    <row r="2" customFormat="false" ht="27.75" hidden="false" customHeight="true" outlineLevel="0" collapsed="false">
      <c r="A2" s="14" t="s">
        <v>127</v>
      </c>
      <c r="B2" s="14" t="s">
        <v>31</v>
      </c>
      <c r="C2" s="14" t="s">
        <v>128</v>
      </c>
      <c r="D2" s="14" t="s">
        <v>33</v>
      </c>
      <c r="E2" s="14" t="s">
        <v>129</v>
      </c>
      <c r="F2" s="14" t="s">
        <v>34</v>
      </c>
      <c r="G2" s="14" t="s">
        <v>35</v>
      </c>
      <c r="H2" s="14" t="s">
        <v>130</v>
      </c>
      <c r="I2" s="14" t="s">
        <v>131</v>
      </c>
      <c r="J2" s="14" t="s">
        <v>132</v>
      </c>
      <c r="K2" s="14" t="s">
        <v>97</v>
      </c>
      <c r="L2" s="14" t="s">
        <v>133</v>
      </c>
      <c r="M2" s="14" t="s">
        <v>134</v>
      </c>
      <c r="N2" s="14" t="s">
        <v>135</v>
      </c>
      <c r="O2" s="14" t="s">
        <v>136</v>
      </c>
      <c r="P2" s="14" t="s">
        <v>137</v>
      </c>
      <c r="Q2" s="14" t="s">
        <v>138</v>
      </c>
      <c r="R2" s="14" t="s">
        <v>139</v>
      </c>
      <c r="S2" s="14" t="s">
        <v>140</v>
      </c>
      <c r="T2" s="14" t="s">
        <v>141</v>
      </c>
      <c r="U2" s="14" t="s">
        <v>142</v>
      </c>
      <c r="V2" s="14" t="s">
        <v>143</v>
      </c>
      <c r="W2" s="14" t="s">
        <v>144</v>
      </c>
      <c r="X2" s="14" t="s">
        <v>145</v>
      </c>
    </row>
    <row r="3" customFormat="false" ht="15" hidden="false" customHeight="false" outlineLevel="0" collapsed="false">
      <c r="A3" s="15" t="s">
        <v>146</v>
      </c>
      <c r="B3" s="15" t="s">
        <v>41</v>
      </c>
      <c r="C3" s="16" t="str">
        <f aca="false">IF($B3="","",IFERROR(INDEX(Equipos!$C$3:$C$202,MATCH($B3,Equipos!$B$3:$B$202,0)),""))</f>
        <v>Emisiones</v>
      </c>
      <c r="D3" s="15" t="s">
        <v>43</v>
      </c>
      <c r="E3" s="15" t="s">
        <v>147</v>
      </c>
      <c r="F3" s="15" t="s">
        <v>148</v>
      </c>
      <c r="G3" s="15" t="s">
        <v>45</v>
      </c>
      <c r="H3" s="15"/>
      <c r="I3" s="15" t="s">
        <v>149</v>
      </c>
      <c r="J3" s="15"/>
      <c r="K3" s="15"/>
      <c r="L3" s="15"/>
      <c r="M3" s="15"/>
      <c r="N3" s="15"/>
      <c r="O3" s="30"/>
      <c r="P3" s="31" t="str">
        <f aca="false">IF(OR($B3="",$I3="No",$O3=""),"",$O3+IFERROR(VLOOKUP($K3,Listas!$H$2:$I$4,2,0),365))</f>
        <v/>
      </c>
      <c r="Q3" s="16" t="str">
        <f aca="true">IF($B3="","",IF($I3="No","NO APLICA",IF($P3="","SIN REGISTRO",IF($P3&lt;TODAY(),"VENCIDO",IF($P3&lt;=TODAY()+60,"POR VENCER","VIGENTE")))))</f>
        <v>NO APLICA</v>
      </c>
      <c r="R3" s="15"/>
      <c r="S3" s="15" t="s">
        <v>150</v>
      </c>
      <c r="T3" s="15" t="s">
        <v>151</v>
      </c>
      <c r="U3" s="15" t="s">
        <v>152</v>
      </c>
      <c r="V3" s="15" t="s">
        <v>153</v>
      </c>
      <c r="W3" s="15" t="s">
        <v>149</v>
      </c>
      <c r="X3" s="15"/>
    </row>
    <row r="4" customFormat="false" ht="15" hidden="false" customHeight="false" outlineLevel="0" collapsed="false">
      <c r="A4" s="15" t="s">
        <v>154</v>
      </c>
      <c r="B4" s="15" t="s">
        <v>41</v>
      </c>
      <c r="C4" s="16" t="str">
        <f aca="false">IF($B4="","",IFERROR(INDEX(Equipos!$C$3:$C$202,MATCH($B4,Equipos!$B$3:$B$202,0)),""))</f>
        <v>Emisiones</v>
      </c>
      <c r="D4" s="15" t="s">
        <v>43</v>
      </c>
      <c r="E4" s="15" t="s">
        <v>155</v>
      </c>
      <c r="F4" s="15" t="s">
        <v>148</v>
      </c>
      <c r="G4" s="15" t="s">
        <v>45</v>
      </c>
      <c r="H4" s="15"/>
      <c r="I4" s="15" t="s">
        <v>149</v>
      </c>
      <c r="J4" s="15"/>
      <c r="K4" s="15"/>
      <c r="L4" s="15"/>
      <c r="M4" s="15"/>
      <c r="N4" s="15"/>
      <c r="O4" s="30"/>
      <c r="P4" s="31" t="str">
        <f aca="false">IF(OR($B4="",$I4="No",$O4=""),"",$O4+IFERROR(VLOOKUP($K4,Listas!$H$2:$I$4,2,0),365))</f>
        <v/>
      </c>
      <c r="Q4" s="16" t="str">
        <f aca="true">IF($B4="","",IF($I4="No","NO APLICA",IF($P4="","SIN REGISTRO",IF($P4&lt;TODAY(),"VENCIDO",IF($P4&lt;=TODAY()+60,"POR VENCER","VIGENTE")))))</f>
        <v>NO APLICA</v>
      </c>
      <c r="R4" s="15"/>
      <c r="S4" s="15" t="s">
        <v>156</v>
      </c>
      <c r="T4" s="15" t="s">
        <v>156</v>
      </c>
      <c r="U4" s="15" t="s">
        <v>157</v>
      </c>
      <c r="V4" s="15" t="s">
        <v>153</v>
      </c>
      <c r="W4" s="15" t="s">
        <v>149</v>
      </c>
      <c r="X4" s="15"/>
    </row>
    <row r="5" customFormat="false" ht="15" hidden="false" customHeight="false" outlineLevel="0" collapsed="false">
      <c r="A5" s="15" t="s">
        <v>158</v>
      </c>
      <c r="B5" s="15" t="s">
        <v>41</v>
      </c>
      <c r="C5" s="16" t="str">
        <f aca="false">IF($B5="","",IFERROR(INDEX(Equipos!$C$3:$C$202,MATCH($B5,Equipos!$B$3:$B$202,0)),""))</f>
        <v>Emisiones</v>
      </c>
      <c r="D5" s="15" t="s">
        <v>43</v>
      </c>
      <c r="E5" s="15" t="s">
        <v>147</v>
      </c>
      <c r="F5" s="15" t="s">
        <v>159</v>
      </c>
      <c r="G5" s="15"/>
      <c r="H5" s="15" t="s">
        <v>160</v>
      </c>
      <c r="I5" s="15" t="s">
        <v>161</v>
      </c>
      <c r="J5" s="15" t="s">
        <v>162</v>
      </c>
      <c r="K5" s="15" t="s">
        <v>163</v>
      </c>
      <c r="L5" s="15" t="s">
        <v>164</v>
      </c>
      <c r="M5" s="15" t="s">
        <v>165</v>
      </c>
      <c r="N5" s="15" t="s">
        <v>166</v>
      </c>
      <c r="O5" s="30" t="n">
        <v>45709</v>
      </c>
      <c r="P5" s="31" t="n">
        <f aca="false">IF(OR($B5="",$I5="No",$O5=""),"",$O5+IFERROR(VLOOKUP($K5,Listas!$H$2:$I$4,2,0),365))</f>
        <v>46074</v>
      </c>
      <c r="Q5" s="16" t="str">
        <f aca="true">IF($B5="","",IF($I5="No","NO APLICA",IF($P5="","SIN REGISTRO",IF($P5&lt;TODAY(),"VENCIDO",IF($P5&lt;=TODAY()+60,"POR VENCER","VIGENTE")))))</f>
        <v>VENCIDO</v>
      </c>
      <c r="R5" s="15" t="s">
        <v>167</v>
      </c>
      <c r="S5" s="15" t="s">
        <v>150</v>
      </c>
      <c r="T5" s="15" t="s">
        <v>151</v>
      </c>
      <c r="U5" s="15" t="s">
        <v>152</v>
      </c>
      <c r="V5" s="15" t="s">
        <v>168</v>
      </c>
      <c r="W5" s="15" t="s">
        <v>161</v>
      </c>
      <c r="X5" s="15"/>
    </row>
    <row r="6" customFormat="false" ht="15" hidden="false" customHeight="false" outlineLevel="0" collapsed="false">
      <c r="A6" s="15" t="s">
        <v>169</v>
      </c>
      <c r="B6" s="15" t="s">
        <v>41</v>
      </c>
      <c r="C6" s="16" t="str">
        <f aca="false">IF($B6="","",IFERROR(INDEX(Equipos!$C$3:$C$202,MATCH($B6,Equipos!$B$3:$B$202,0)),""))</f>
        <v>Emisiones</v>
      </c>
      <c r="D6" s="15" t="s">
        <v>43</v>
      </c>
      <c r="E6" s="15" t="s">
        <v>155</v>
      </c>
      <c r="F6" s="15" t="s">
        <v>159</v>
      </c>
      <c r="G6" s="15"/>
      <c r="H6" s="15" t="s">
        <v>160</v>
      </c>
      <c r="I6" s="15" t="s">
        <v>161</v>
      </c>
      <c r="J6" s="15" t="s">
        <v>162</v>
      </c>
      <c r="K6" s="15" t="s">
        <v>163</v>
      </c>
      <c r="L6" s="15" t="s">
        <v>164</v>
      </c>
      <c r="M6" s="15" t="s">
        <v>165</v>
      </c>
      <c r="N6" s="15" t="s">
        <v>166</v>
      </c>
      <c r="O6" s="30" t="n">
        <v>45709</v>
      </c>
      <c r="P6" s="31" t="n">
        <f aca="false">IF(OR($B6="",$I6="No",$O6=""),"",$O6+IFERROR(VLOOKUP($K6,Listas!$H$2:$I$4,2,0),365))</f>
        <v>46074</v>
      </c>
      <c r="Q6" s="16" t="str">
        <f aca="true">IF($B6="","",IF($I6="No","NO APLICA",IF($P6="","SIN REGISTRO",IF($P6&lt;TODAY(),"VENCIDO",IF($P6&lt;=TODAY()+60,"POR VENCER","VIGENTE")))))</f>
        <v>VENCIDO</v>
      </c>
      <c r="R6" s="15" t="s">
        <v>170</v>
      </c>
      <c r="S6" s="15" t="s">
        <v>156</v>
      </c>
      <c r="T6" s="15" t="s">
        <v>156</v>
      </c>
      <c r="U6" s="15" t="s">
        <v>157</v>
      </c>
      <c r="V6" s="15" t="s">
        <v>168</v>
      </c>
      <c r="W6" s="15" t="s">
        <v>161</v>
      </c>
      <c r="X6" s="15"/>
    </row>
    <row r="7" customFormat="false" ht="15" hidden="false" customHeight="false" outlineLevel="0" collapsed="false">
      <c r="A7" s="15" t="s">
        <v>171</v>
      </c>
      <c r="B7" s="15" t="s">
        <v>48</v>
      </c>
      <c r="C7" s="16" t="str">
        <f aca="false">IF($B7="","",IFERROR(INDEX(Equipos!$C$3:$C$202,MATCH($B7,Equipos!$B$3:$B$202,0)),""))</f>
        <v>Emisiones</v>
      </c>
      <c r="D7" s="15" t="s">
        <v>49</v>
      </c>
      <c r="E7" s="15" t="s">
        <v>172</v>
      </c>
      <c r="F7" s="15" t="s">
        <v>50</v>
      </c>
      <c r="G7" s="15" t="s">
        <v>173</v>
      </c>
      <c r="H7" s="15" t="s">
        <v>174</v>
      </c>
      <c r="I7" s="15" t="s">
        <v>161</v>
      </c>
      <c r="J7" s="15" t="s">
        <v>162</v>
      </c>
      <c r="K7" s="15" t="s">
        <v>163</v>
      </c>
      <c r="L7" s="15" t="s">
        <v>49</v>
      </c>
      <c r="M7" s="15" t="s">
        <v>165</v>
      </c>
      <c r="N7" s="15" t="s">
        <v>166</v>
      </c>
      <c r="O7" s="30" t="n">
        <v>45778</v>
      </c>
      <c r="P7" s="31" t="n">
        <f aca="false">IF(OR($B7="",$I7="No",$O7=""),"",$O7+IFERROR(VLOOKUP($K7,Listas!$H$2:$I$4,2,0),365))</f>
        <v>46143</v>
      </c>
      <c r="Q7" s="16" t="str">
        <f aca="true">IF($B7="","",IF($I7="No","NO APLICA",IF($P7="","SIN REGISTRO",IF($P7&lt;TODAY(),"VENCIDO",IF($P7&lt;=TODAY()+60,"POR VENCER","VIGENTE")))))</f>
        <v>VENCIDO</v>
      </c>
      <c r="R7" s="15"/>
      <c r="S7" s="15" t="s">
        <v>175</v>
      </c>
      <c r="T7" s="15" t="s">
        <v>176</v>
      </c>
      <c r="U7" s="15" t="s">
        <v>177</v>
      </c>
      <c r="V7" s="15" t="s">
        <v>153</v>
      </c>
      <c r="W7" s="15" t="s">
        <v>161</v>
      </c>
      <c r="X7" s="15"/>
    </row>
    <row r="8" customFormat="false" ht="15" hidden="false" customHeight="false" outlineLevel="0" collapsed="false">
      <c r="A8" s="15" t="s">
        <v>178</v>
      </c>
      <c r="B8" s="15" t="s">
        <v>48</v>
      </c>
      <c r="C8" s="16" t="str">
        <f aca="false">IF($B8="","",IFERROR(INDEX(Equipos!$C$3:$C$202,MATCH($B8,Equipos!$B$3:$B$202,0)),""))</f>
        <v>Emisiones</v>
      </c>
      <c r="D8" s="15" t="s">
        <v>49</v>
      </c>
      <c r="E8" s="15" t="s">
        <v>147</v>
      </c>
      <c r="F8" s="15" t="s">
        <v>50</v>
      </c>
      <c r="G8" s="15" t="s">
        <v>179</v>
      </c>
      <c r="H8" s="15" t="s">
        <v>180</v>
      </c>
      <c r="I8" s="15" t="s">
        <v>161</v>
      </c>
      <c r="J8" s="15" t="s">
        <v>162</v>
      </c>
      <c r="K8" s="15" t="s">
        <v>163</v>
      </c>
      <c r="L8" s="15" t="s">
        <v>49</v>
      </c>
      <c r="M8" s="15" t="s">
        <v>165</v>
      </c>
      <c r="N8" s="15" t="s">
        <v>166</v>
      </c>
      <c r="O8" s="30" t="n">
        <v>45778</v>
      </c>
      <c r="P8" s="31" t="n">
        <f aca="false">IF(OR($B8="",$I8="No",$O8=""),"",$O8+IFERROR(VLOOKUP($K8,Listas!$H$2:$I$4,2,0),365))</f>
        <v>46143</v>
      </c>
      <c r="Q8" s="16" t="str">
        <f aca="true">IF($B8="","",IF($I8="No","NO APLICA",IF($P8="","SIN REGISTRO",IF($P8&lt;TODAY(),"VENCIDO",IF($P8&lt;=TODAY()+60,"POR VENCER","VIGENTE")))))</f>
        <v>VENCIDO</v>
      </c>
      <c r="R8" s="15"/>
      <c r="S8" s="15" t="s">
        <v>181</v>
      </c>
      <c r="T8" s="15" t="s">
        <v>176</v>
      </c>
      <c r="U8" s="15" t="s">
        <v>182</v>
      </c>
      <c r="V8" s="15" t="s">
        <v>153</v>
      </c>
      <c r="W8" s="15" t="s">
        <v>161</v>
      </c>
      <c r="X8" s="15"/>
    </row>
    <row r="9" customFormat="false" ht="15" hidden="false" customHeight="false" outlineLevel="0" collapsed="false">
      <c r="A9" s="15" t="s">
        <v>183</v>
      </c>
      <c r="B9" s="15" t="s">
        <v>48</v>
      </c>
      <c r="C9" s="16" t="str">
        <f aca="false">IF($B9="","",IFERROR(INDEX(Equipos!$C$3:$C$202,MATCH($B9,Equipos!$B$3:$B$202,0)),""))</f>
        <v>Emisiones</v>
      </c>
      <c r="D9" s="15" t="s">
        <v>49</v>
      </c>
      <c r="E9" s="15" t="s">
        <v>155</v>
      </c>
      <c r="F9" s="15" t="s">
        <v>50</v>
      </c>
      <c r="G9" s="15" t="s">
        <v>184</v>
      </c>
      <c r="H9" s="15" t="s">
        <v>185</v>
      </c>
      <c r="I9" s="15" t="s">
        <v>161</v>
      </c>
      <c r="J9" s="15" t="s">
        <v>162</v>
      </c>
      <c r="K9" s="15" t="s">
        <v>163</v>
      </c>
      <c r="L9" s="15" t="s">
        <v>49</v>
      </c>
      <c r="M9" s="15" t="s">
        <v>165</v>
      </c>
      <c r="N9" s="15" t="s">
        <v>166</v>
      </c>
      <c r="O9" s="30" t="n">
        <v>45778</v>
      </c>
      <c r="P9" s="31" t="n">
        <f aca="false">IF(OR($B9="",$I9="No",$O9=""),"",$O9+IFERROR(VLOOKUP($K9,Listas!$H$2:$I$4,2,0),365))</f>
        <v>46143</v>
      </c>
      <c r="Q9" s="16" t="str">
        <f aca="true">IF($B9="","",IF($I9="No","NO APLICA",IF($P9="","SIN REGISTRO",IF($P9&lt;TODAY(),"VENCIDO",IF($P9&lt;=TODAY()+60,"POR VENCER","VIGENTE")))))</f>
        <v>VENCIDO</v>
      </c>
      <c r="R9" s="15"/>
      <c r="S9" s="15" t="s">
        <v>186</v>
      </c>
      <c r="T9" s="15" t="s">
        <v>176</v>
      </c>
      <c r="U9" s="15" t="s">
        <v>187</v>
      </c>
      <c r="V9" s="15" t="s">
        <v>153</v>
      </c>
      <c r="W9" s="15" t="s">
        <v>161</v>
      </c>
      <c r="X9" s="15"/>
    </row>
    <row r="10" customFormat="false" ht="15" hidden="false" customHeight="false" outlineLevel="0" collapsed="false">
      <c r="A10" s="15" t="s">
        <v>188</v>
      </c>
      <c r="B10" s="15" t="s">
        <v>48</v>
      </c>
      <c r="C10" s="16" t="str">
        <f aca="false">IF($B10="","",IFERROR(INDEX(Equipos!$C$3:$C$202,MATCH($B10,Equipos!$B$3:$B$202,0)),""))</f>
        <v>Emisiones</v>
      </c>
      <c r="D10" s="15" t="s">
        <v>49</v>
      </c>
      <c r="E10" s="15" t="s">
        <v>172</v>
      </c>
      <c r="F10" s="15" t="s">
        <v>50</v>
      </c>
      <c r="G10" s="15" t="s">
        <v>189</v>
      </c>
      <c r="H10" s="15" t="s">
        <v>190</v>
      </c>
      <c r="I10" s="15" t="s">
        <v>161</v>
      </c>
      <c r="J10" s="15" t="s">
        <v>162</v>
      </c>
      <c r="K10" s="15" t="s">
        <v>163</v>
      </c>
      <c r="L10" s="15" t="s">
        <v>49</v>
      </c>
      <c r="M10" s="15" t="s">
        <v>165</v>
      </c>
      <c r="N10" s="15" t="s">
        <v>166</v>
      </c>
      <c r="O10" s="30" t="n">
        <v>45778</v>
      </c>
      <c r="P10" s="31" t="n">
        <f aca="false">IF(OR($B10="",$I10="No",$O10=""),"",$O10+IFERROR(VLOOKUP($K10,Listas!$H$2:$I$4,2,0),365))</f>
        <v>46143</v>
      </c>
      <c r="Q10" s="16" t="str">
        <f aca="true">IF($B10="","",IF($I10="No","NO APLICA",IF($P10="","SIN REGISTRO",IF($P10&lt;TODAY(),"VENCIDO",IF($P10&lt;=TODAY()+60,"POR VENCER","VIGENTE")))))</f>
        <v>VENCIDO</v>
      </c>
      <c r="R10" s="15"/>
      <c r="S10" s="15" t="s">
        <v>175</v>
      </c>
      <c r="T10" s="15" t="s">
        <v>176</v>
      </c>
      <c r="U10" s="15" t="s">
        <v>177</v>
      </c>
      <c r="V10" s="15" t="s">
        <v>153</v>
      </c>
      <c r="W10" s="15" t="s">
        <v>161</v>
      </c>
      <c r="X10" s="15"/>
    </row>
    <row r="11" customFormat="false" ht="15" hidden="false" customHeight="false" outlineLevel="0" collapsed="false">
      <c r="A11" s="15" t="s">
        <v>191</v>
      </c>
      <c r="B11" s="15" t="s">
        <v>48</v>
      </c>
      <c r="C11" s="16" t="str">
        <f aca="false">IF($B11="","",IFERROR(INDEX(Equipos!$C$3:$C$202,MATCH($B11,Equipos!$B$3:$B$202,0)),""))</f>
        <v>Emisiones</v>
      </c>
      <c r="D11" s="15" t="s">
        <v>49</v>
      </c>
      <c r="E11" s="15" t="s">
        <v>147</v>
      </c>
      <c r="F11" s="15" t="s">
        <v>50</v>
      </c>
      <c r="G11" s="15" t="s">
        <v>192</v>
      </c>
      <c r="H11" s="15" t="s">
        <v>193</v>
      </c>
      <c r="I11" s="15" t="s">
        <v>161</v>
      </c>
      <c r="J11" s="15" t="s">
        <v>162</v>
      </c>
      <c r="K11" s="15" t="s">
        <v>163</v>
      </c>
      <c r="L11" s="15" t="s">
        <v>49</v>
      </c>
      <c r="M11" s="15" t="s">
        <v>165</v>
      </c>
      <c r="N11" s="15" t="s">
        <v>166</v>
      </c>
      <c r="O11" s="30" t="n">
        <v>45778</v>
      </c>
      <c r="P11" s="31" t="n">
        <f aca="false">IF(OR($B11="",$I11="No",$O11=""),"",$O11+IFERROR(VLOOKUP($K11,Listas!$H$2:$I$4,2,0),365))</f>
        <v>46143</v>
      </c>
      <c r="Q11" s="16" t="str">
        <f aca="true">IF($B11="","",IF($I11="No","NO APLICA",IF($P11="","SIN REGISTRO",IF($P11&lt;TODAY(),"VENCIDO",IF($P11&lt;=TODAY()+60,"POR VENCER","VIGENTE")))))</f>
        <v>VENCIDO</v>
      </c>
      <c r="R11" s="15"/>
      <c r="S11" s="15" t="s">
        <v>181</v>
      </c>
      <c r="T11" s="15" t="s">
        <v>176</v>
      </c>
      <c r="U11" s="15" t="s">
        <v>182</v>
      </c>
      <c r="V11" s="15" t="s">
        <v>153</v>
      </c>
      <c r="W11" s="15" t="s">
        <v>161</v>
      </c>
      <c r="X11" s="15"/>
    </row>
    <row r="12" customFormat="false" ht="15" hidden="false" customHeight="false" outlineLevel="0" collapsed="false">
      <c r="A12" s="15" t="s">
        <v>194</v>
      </c>
      <c r="B12" s="15" t="s">
        <v>48</v>
      </c>
      <c r="C12" s="16" t="str">
        <f aca="false">IF($B12="","",IFERROR(INDEX(Equipos!$C$3:$C$202,MATCH($B12,Equipos!$B$3:$B$202,0)),""))</f>
        <v>Emisiones</v>
      </c>
      <c r="D12" s="15" t="s">
        <v>49</v>
      </c>
      <c r="E12" s="15" t="s">
        <v>155</v>
      </c>
      <c r="F12" s="15" t="s">
        <v>50</v>
      </c>
      <c r="G12" s="15" t="s">
        <v>195</v>
      </c>
      <c r="H12" s="15" t="s">
        <v>196</v>
      </c>
      <c r="I12" s="15" t="s">
        <v>161</v>
      </c>
      <c r="J12" s="15" t="s">
        <v>162</v>
      </c>
      <c r="K12" s="15" t="s">
        <v>163</v>
      </c>
      <c r="L12" s="15" t="s">
        <v>49</v>
      </c>
      <c r="M12" s="15" t="s">
        <v>165</v>
      </c>
      <c r="N12" s="15" t="s">
        <v>166</v>
      </c>
      <c r="O12" s="30" t="n">
        <v>45778</v>
      </c>
      <c r="P12" s="31" t="n">
        <f aca="false">IF(OR($B12="",$I12="No",$O12=""),"",$O12+IFERROR(VLOOKUP($K12,Listas!$H$2:$I$4,2,0),365))</f>
        <v>46143</v>
      </c>
      <c r="Q12" s="16" t="str">
        <f aca="true">IF($B12="","",IF($I12="No","NO APLICA",IF($P12="","SIN REGISTRO",IF($P12&lt;TODAY(),"VENCIDO",IF($P12&lt;=TODAY()+60,"POR VENCER","VIGENTE")))))</f>
        <v>VENCIDO</v>
      </c>
      <c r="R12" s="15"/>
      <c r="S12" s="15" t="s">
        <v>186</v>
      </c>
      <c r="T12" s="15" t="s">
        <v>176</v>
      </c>
      <c r="U12" s="15" t="s">
        <v>187</v>
      </c>
      <c r="V12" s="15" t="s">
        <v>153</v>
      </c>
      <c r="W12" s="15" t="s">
        <v>161</v>
      </c>
      <c r="X12" s="15"/>
    </row>
    <row r="13" customFormat="false" ht="15" hidden="false" customHeight="false" outlineLevel="0" collapsed="false">
      <c r="A13" s="15" t="s">
        <v>197</v>
      </c>
      <c r="B13" s="15" t="s">
        <v>53</v>
      </c>
      <c r="C13" s="16" t="str">
        <f aca="false">IF($B13="","",IFERROR(INDEX(Equipos!$C$3:$C$202,MATCH($B13,Equipos!$B$3:$B$202,0)),""))</f>
        <v>Emisiones</v>
      </c>
      <c r="D13" s="15" t="s">
        <v>54</v>
      </c>
      <c r="E13" s="15" t="s">
        <v>155</v>
      </c>
      <c r="F13" s="15" t="s">
        <v>198</v>
      </c>
      <c r="G13" s="15"/>
      <c r="H13" s="15"/>
      <c r="I13" s="15" t="s">
        <v>161</v>
      </c>
      <c r="J13" s="15"/>
      <c r="K13" s="15" t="s">
        <v>163</v>
      </c>
      <c r="L13" s="15" t="s">
        <v>199</v>
      </c>
      <c r="M13" s="15" t="s">
        <v>200</v>
      </c>
      <c r="N13" s="15" t="s">
        <v>201</v>
      </c>
      <c r="O13" s="30" t="n">
        <v>43175</v>
      </c>
      <c r="P13" s="31" t="n">
        <f aca="false">IF(OR($B13="",$I13="No",$O13=""),"",$O13+IFERROR(VLOOKUP($K13,Listas!$H$2:$I$4,2,0),365))</f>
        <v>43540</v>
      </c>
      <c r="Q13" s="16" t="str">
        <f aca="true">IF($B13="","",IF($I13="No","NO APLICA",IF($P13="","SIN REGISTRO",IF($P13&lt;TODAY(),"VENCIDO",IF($P13&lt;=TODAY()+60,"POR VENCER","VIGENTE")))))</f>
        <v>VENCIDO</v>
      </c>
      <c r="R13" s="15"/>
      <c r="S13" s="15"/>
      <c r="T13" s="15"/>
      <c r="U13" s="15"/>
      <c r="V13" s="15" t="s">
        <v>153</v>
      </c>
      <c r="W13" s="15" t="s">
        <v>149</v>
      </c>
      <c r="X13" s="15"/>
    </row>
    <row r="14" customFormat="false" ht="15" hidden="false" customHeight="false" outlineLevel="0" collapsed="false">
      <c r="A14" s="15" t="s">
        <v>202</v>
      </c>
      <c r="B14" s="15" t="s">
        <v>53</v>
      </c>
      <c r="C14" s="16" t="str">
        <f aca="false">IF($B14="","",IFERROR(INDEX(Equipos!$C$3:$C$202,MATCH($B14,Equipos!$B$3:$B$202,0)),""))</f>
        <v>Emisiones</v>
      </c>
      <c r="D14" s="15" t="s">
        <v>49</v>
      </c>
      <c r="E14" s="15" t="s">
        <v>172</v>
      </c>
      <c r="F14" s="15" t="s">
        <v>203</v>
      </c>
      <c r="G14" s="15" t="s">
        <v>204</v>
      </c>
      <c r="H14" s="15"/>
      <c r="I14" s="15" t="s">
        <v>149</v>
      </c>
      <c r="J14" s="15"/>
      <c r="K14" s="15"/>
      <c r="L14" s="15"/>
      <c r="M14" s="15"/>
      <c r="N14" s="15"/>
      <c r="O14" s="30"/>
      <c r="P14" s="31" t="str">
        <f aca="false">IF(OR($B14="",$I14="No",$O14=""),"",$O14+IFERROR(VLOOKUP($K14,Listas!$H$2:$I$4,2,0),365))</f>
        <v/>
      </c>
      <c r="Q14" s="16" t="str">
        <f aca="true">IF($B14="","",IF($I14="No","NO APLICA",IF($P14="","SIN REGISTRO",IF($P14&lt;TODAY(),"VENCIDO",IF($P14&lt;=TODAY()+60,"POR VENCER","VIGENTE")))))</f>
        <v>NO APLICA</v>
      </c>
      <c r="R14" s="15"/>
      <c r="S14" s="15"/>
      <c r="T14" s="15"/>
      <c r="U14" s="15"/>
      <c r="V14" s="15" t="s">
        <v>153</v>
      </c>
      <c r="W14" s="15" t="s">
        <v>149</v>
      </c>
      <c r="X14" s="15"/>
    </row>
    <row r="15" customFormat="false" ht="15" hidden="false" customHeight="false" outlineLevel="0" collapsed="false">
      <c r="A15" s="15" t="s">
        <v>205</v>
      </c>
      <c r="B15" s="15" t="s">
        <v>53</v>
      </c>
      <c r="C15" s="16" t="str">
        <f aca="false">IF($B15="","",IFERROR(INDEX(Equipos!$C$3:$C$202,MATCH($B15,Equipos!$B$3:$B$202,0)),""))</f>
        <v>Emisiones</v>
      </c>
      <c r="D15" s="15" t="s">
        <v>57</v>
      </c>
      <c r="E15" s="15" t="s">
        <v>147</v>
      </c>
      <c r="F15" s="15" t="s">
        <v>206</v>
      </c>
      <c r="G15" s="15" t="s">
        <v>207</v>
      </c>
      <c r="H15" s="15"/>
      <c r="I15" s="15" t="s">
        <v>161</v>
      </c>
      <c r="J15" s="15"/>
      <c r="K15" s="15" t="s">
        <v>163</v>
      </c>
      <c r="L15" s="15" t="s">
        <v>208</v>
      </c>
      <c r="M15" s="15" t="s">
        <v>209</v>
      </c>
      <c r="N15" s="15"/>
      <c r="O15" s="30" t="n">
        <v>43056</v>
      </c>
      <c r="P15" s="31" t="n">
        <f aca="false">IF(OR($B15="",$I15="No",$O15=""),"",$O15+IFERROR(VLOOKUP($K15,Listas!$H$2:$I$4,2,0),365))</f>
        <v>43421</v>
      </c>
      <c r="Q15" s="16" t="str">
        <f aca="true">IF($B15="","",IF($I15="No","NO APLICA",IF($P15="","SIN REGISTRO",IF($P15&lt;TODAY(),"VENCIDO",IF($P15&lt;=TODAY()+60,"POR VENCER","VIGENTE")))))</f>
        <v>VENCIDO</v>
      </c>
      <c r="R15" s="15"/>
      <c r="S15" s="15"/>
      <c r="T15" s="15"/>
      <c r="U15" s="15"/>
      <c r="V15" s="15" t="s">
        <v>153</v>
      </c>
      <c r="W15" s="15" t="s">
        <v>149</v>
      </c>
      <c r="X15" s="15"/>
    </row>
    <row r="16" customFormat="false" ht="15" hidden="false" customHeight="false" outlineLevel="0" collapsed="false">
      <c r="A16" s="15" t="s">
        <v>210</v>
      </c>
      <c r="B16" s="15" t="s">
        <v>53</v>
      </c>
      <c r="C16" s="16" t="str">
        <f aca="false">IF($B16="","",IFERROR(INDEX(Equipos!$C$3:$C$202,MATCH($B16,Equipos!$B$3:$B$202,0)),""))</f>
        <v>Emisiones</v>
      </c>
      <c r="D16" s="15" t="s">
        <v>57</v>
      </c>
      <c r="E16" s="15" t="s">
        <v>155</v>
      </c>
      <c r="F16" s="15" t="s">
        <v>206</v>
      </c>
      <c r="G16" s="15" t="s">
        <v>207</v>
      </c>
      <c r="H16" s="15"/>
      <c r="I16" s="15" t="s">
        <v>149</v>
      </c>
      <c r="J16" s="15"/>
      <c r="K16" s="15"/>
      <c r="L16" s="15"/>
      <c r="M16" s="15"/>
      <c r="N16" s="15"/>
      <c r="O16" s="30"/>
      <c r="P16" s="31" t="str">
        <f aca="false">IF(OR($B16="",$I16="No",$O16=""),"",$O16+IFERROR(VLOOKUP($K16,Listas!$H$2:$I$4,2,0),365))</f>
        <v/>
      </c>
      <c r="Q16" s="16" t="str">
        <f aca="true">IF($B16="","",IF($I16="No","NO APLICA",IF($P16="","SIN REGISTRO",IF($P16&lt;TODAY(),"VENCIDO",IF($P16&lt;=TODAY()+60,"POR VENCER","VIGENTE")))))</f>
        <v>NO APLICA</v>
      </c>
      <c r="R16" s="15"/>
      <c r="S16" s="15"/>
      <c r="T16" s="15"/>
      <c r="U16" s="15"/>
      <c r="V16" s="15" t="s">
        <v>153</v>
      </c>
      <c r="W16" s="15" t="s">
        <v>149</v>
      </c>
      <c r="X16" s="15"/>
    </row>
    <row r="17" customFormat="false" ht="15" hidden="false" customHeight="false" outlineLevel="0" collapsed="false">
      <c r="A17" s="15" t="s">
        <v>211</v>
      </c>
      <c r="B17" s="15" t="s">
        <v>53</v>
      </c>
      <c r="C17" s="16" t="str">
        <f aca="false">IF($B17="","",IFERROR(INDEX(Equipos!$C$3:$C$202,MATCH($B17,Equipos!$B$3:$B$202,0)),""))</f>
        <v>Emisiones</v>
      </c>
      <c r="D17" s="15" t="s">
        <v>57</v>
      </c>
      <c r="E17" s="15" t="s">
        <v>172</v>
      </c>
      <c r="F17" s="15" t="s">
        <v>206</v>
      </c>
      <c r="G17" s="15" t="s">
        <v>207</v>
      </c>
      <c r="H17" s="15"/>
      <c r="I17" s="15" t="s">
        <v>149</v>
      </c>
      <c r="J17" s="15"/>
      <c r="K17" s="15"/>
      <c r="L17" s="15"/>
      <c r="M17" s="15"/>
      <c r="N17" s="15"/>
      <c r="O17" s="30"/>
      <c r="P17" s="31" t="str">
        <f aca="false">IF(OR($B17="",$I17="No",$O17=""),"",$O17+IFERROR(VLOOKUP($K17,Listas!$H$2:$I$4,2,0),365))</f>
        <v/>
      </c>
      <c r="Q17" s="16" t="str">
        <f aca="true">IF($B17="","",IF($I17="No","NO APLICA",IF($P17="","SIN REGISTRO",IF($P17&lt;TODAY(),"VENCIDO",IF($P17&lt;=TODAY()+60,"POR VENCER","VIGENTE")))))</f>
        <v>NO APLICA</v>
      </c>
      <c r="R17" s="15"/>
      <c r="S17" s="15"/>
      <c r="T17" s="15"/>
      <c r="U17" s="15"/>
      <c r="V17" s="15" t="s">
        <v>153</v>
      </c>
      <c r="W17" s="15" t="s">
        <v>149</v>
      </c>
      <c r="X17" s="15"/>
    </row>
    <row r="18" customFormat="false" ht="15" hidden="false" customHeight="false" outlineLevel="0" collapsed="false">
      <c r="A18" s="15" t="s">
        <v>212</v>
      </c>
      <c r="B18" s="15" t="s">
        <v>53</v>
      </c>
      <c r="C18" s="16" t="str">
        <f aca="false">IF($B18="","",IFERROR(INDEX(Equipos!$C$3:$C$202,MATCH($B18,Equipos!$B$3:$B$202,0)),""))</f>
        <v>Emisiones</v>
      </c>
      <c r="D18" s="15" t="s">
        <v>213</v>
      </c>
      <c r="E18" s="15" t="s">
        <v>214</v>
      </c>
      <c r="F18" s="15" t="s">
        <v>215</v>
      </c>
      <c r="G18" s="15" t="s">
        <v>216</v>
      </c>
      <c r="H18" s="15"/>
      <c r="I18" s="15" t="s">
        <v>161</v>
      </c>
      <c r="J18" s="15" t="s">
        <v>217</v>
      </c>
      <c r="K18" s="15" t="s">
        <v>163</v>
      </c>
      <c r="L18" s="15" t="s">
        <v>218</v>
      </c>
      <c r="M18" s="15" t="s">
        <v>219</v>
      </c>
      <c r="N18" s="15" t="s">
        <v>201</v>
      </c>
      <c r="O18" s="30" t="n">
        <v>43208</v>
      </c>
      <c r="P18" s="31" t="n">
        <f aca="false">IF(OR($B18="",$I18="No",$O18=""),"",$O18+IFERROR(VLOOKUP($K18,Listas!$H$2:$I$4,2,0),365))</f>
        <v>43573</v>
      </c>
      <c r="Q18" s="16" t="str">
        <f aca="true">IF($B18="","",IF($I18="No","NO APLICA",IF($P18="","SIN REGISTRO",IF($P18&lt;TODAY(),"VENCIDO",IF($P18&lt;=TODAY()+60,"POR VENCER","VIGENTE")))))</f>
        <v>VENCIDO</v>
      </c>
      <c r="R18" s="15"/>
      <c r="S18" s="15"/>
      <c r="T18" s="15"/>
      <c r="U18" s="15"/>
      <c r="V18" s="15" t="s">
        <v>153</v>
      </c>
      <c r="W18" s="15" t="s">
        <v>149</v>
      </c>
      <c r="X18" s="15"/>
    </row>
    <row r="19" customFormat="false" ht="15" hidden="false" customHeight="false" outlineLevel="0" collapsed="false">
      <c r="A19" s="15" t="s">
        <v>220</v>
      </c>
      <c r="B19" s="15" t="s">
        <v>56</v>
      </c>
      <c r="C19" s="16" t="str">
        <f aca="false">IF($B19="","",IFERROR(INDEX(Equipos!$C$3:$C$202,MATCH($B19,Equipos!$B$3:$B$202,0)),""))</f>
        <v>Emisiones</v>
      </c>
      <c r="D19" s="15" t="s">
        <v>57</v>
      </c>
      <c r="E19" s="15" t="s">
        <v>221</v>
      </c>
      <c r="F19" s="15" t="s">
        <v>58</v>
      </c>
      <c r="G19" s="15" t="s">
        <v>59</v>
      </c>
      <c r="H19" s="15" t="s">
        <v>222</v>
      </c>
      <c r="I19" s="15" t="s">
        <v>161</v>
      </c>
      <c r="J19" s="15" t="s">
        <v>162</v>
      </c>
      <c r="K19" s="15" t="s">
        <v>223</v>
      </c>
      <c r="L19" s="15" t="s">
        <v>224</v>
      </c>
      <c r="M19" s="15" t="s">
        <v>200</v>
      </c>
      <c r="N19" s="15" t="s">
        <v>225</v>
      </c>
      <c r="O19" s="30" t="n">
        <v>45443</v>
      </c>
      <c r="P19" s="31" t="n">
        <f aca="false">IF(OR($B19="",$I19="No",$O19=""),"",$O19+IFERROR(VLOOKUP($K19,Listas!$H$2:$I$4,2,0),365))</f>
        <v>46173</v>
      </c>
      <c r="Q19" s="16" t="str">
        <f aca="true">IF($B19="","",IF($I19="No","NO APLICA",IF($P19="","SIN REGISTRO",IF($P19&lt;TODAY(),"VENCIDO",IF($P19&lt;=TODAY()+60,"POR VENCER","VIGENTE")))))</f>
        <v>VENCIDO</v>
      </c>
      <c r="R19" s="15"/>
      <c r="S19" s="15"/>
      <c r="T19" s="15"/>
      <c r="U19" s="15"/>
      <c r="V19" s="15" t="s">
        <v>153</v>
      </c>
      <c r="W19" s="15" t="s">
        <v>161</v>
      </c>
      <c r="X19" s="15" t="s">
        <v>226</v>
      </c>
    </row>
    <row r="20" customFormat="false" ht="15" hidden="false" customHeight="false" outlineLevel="0" collapsed="false">
      <c r="A20" s="15" t="s">
        <v>227</v>
      </c>
      <c r="B20" s="15" t="s">
        <v>61</v>
      </c>
      <c r="C20" s="16" t="str">
        <f aca="false">IF($B20="","",IFERROR(INDEX(Equipos!$C$3:$C$202,MATCH($B20,Equipos!$B$3:$B$202,0)),""))</f>
        <v>Emisiones</v>
      </c>
      <c r="D20" s="15" t="s">
        <v>57</v>
      </c>
      <c r="E20" s="15" t="s">
        <v>228</v>
      </c>
      <c r="F20" s="15" t="s">
        <v>61</v>
      </c>
      <c r="G20" s="15" t="s">
        <v>62</v>
      </c>
      <c r="H20" s="15"/>
      <c r="I20" s="15" t="s">
        <v>161</v>
      </c>
      <c r="J20" s="15"/>
      <c r="K20" s="15"/>
      <c r="L20" s="15" t="s">
        <v>224</v>
      </c>
      <c r="M20" s="15" t="s">
        <v>229</v>
      </c>
      <c r="N20" s="15" t="s">
        <v>225</v>
      </c>
      <c r="O20" s="30"/>
      <c r="P20" s="31" t="str">
        <f aca="false">IF(OR($B20="",$I20="No",$O20=""),"",$O20+IFERROR(VLOOKUP($K20,Listas!$H$2:$I$4,2,0),365))</f>
        <v/>
      </c>
      <c r="Q20" s="16" t="str">
        <f aca="true">IF($B20="","",IF($I20="No","NO APLICA",IF($P20="","SIN REGISTRO",IF($P20&lt;TODAY(),"VENCIDO",IF($P20&lt;=TODAY()+60,"POR VENCER","VIGENTE")))))</f>
        <v>SIN REGISTRO</v>
      </c>
      <c r="R20" s="15"/>
      <c r="S20" s="15"/>
      <c r="T20" s="15"/>
      <c r="U20" s="15"/>
      <c r="V20" s="15" t="s">
        <v>153</v>
      </c>
      <c r="W20" s="15" t="s">
        <v>149</v>
      </c>
      <c r="X20" s="15"/>
    </row>
    <row r="21" customFormat="false" ht="15" hidden="false" customHeight="false" outlineLevel="0" collapsed="false">
      <c r="A21" s="15" t="s">
        <v>230</v>
      </c>
      <c r="B21" s="15" t="s">
        <v>64</v>
      </c>
      <c r="C21" s="16" t="str">
        <f aca="false">IF($B21="","",IFERROR(INDEX(Equipos!$C$3:$C$202,MATCH($B21,Equipos!$B$3:$B$202,0)),""))</f>
        <v>Emisiones</v>
      </c>
      <c r="D21" s="15" t="s">
        <v>57</v>
      </c>
      <c r="E21" s="15" t="s">
        <v>231</v>
      </c>
      <c r="F21" s="15" t="s">
        <v>65</v>
      </c>
      <c r="G21" s="15" t="s">
        <v>66</v>
      </c>
      <c r="H21" s="15"/>
      <c r="I21" s="15" t="s">
        <v>161</v>
      </c>
      <c r="J21" s="15"/>
      <c r="K21" s="15" t="s">
        <v>223</v>
      </c>
      <c r="L21" s="15" t="s">
        <v>224</v>
      </c>
      <c r="M21" s="15" t="s">
        <v>232</v>
      </c>
      <c r="N21" s="15"/>
      <c r="O21" s="30" t="n">
        <v>44686</v>
      </c>
      <c r="P21" s="31" t="n">
        <f aca="false">IF(OR($B21="",$I21="No",$O21=""),"",$O21+IFERROR(VLOOKUP($K21,Listas!$H$2:$I$4,2,0),365))</f>
        <v>45416</v>
      </c>
      <c r="Q21" s="16" t="str">
        <f aca="true">IF($B21="","",IF($I21="No","NO APLICA",IF($P21="","SIN REGISTRO",IF($P21&lt;TODAY(),"VENCIDO",IF($P21&lt;=TODAY()+60,"POR VENCER","VIGENTE")))))</f>
        <v>VENCIDO</v>
      </c>
      <c r="R21" s="15"/>
      <c r="S21" s="15"/>
      <c r="T21" s="15"/>
      <c r="U21" s="15"/>
      <c r="V21" s="15" t="s">
        <v>153</v>
      </c>
      <c r="W21" s="15" t="s">
        <v>149</v>
      </c>
      <c r="X21" s="15"/>
    </row>
    <row r="22" customFormat="false" ht="15" hidden="false" customHeight="false" outlineLevel="0" collapsed="false">
      <c r="A22" s="15" t="s">
        <v>233</v>
      </c>
      <c r="B22" s="15" t="s">
        <v>68</v>
      </c>
      <c r="C22" s="16" t="str">
        <f aca="false">IF($B22="","",IFERROR(INDEX(Equipos!$C$3:$C$202,MATCH($B22,Equipos!$B$3:$B$202,0)),""))</f>
        <v>Emisiones</v>
      </c>
      <c r="D22" s="15" t="s">
        <v>57</v>
      </c>
      <c r="E22" s="15" t="s">
        <v>231</v>
      </c>
      <c r="F22" s="15" t="s">
        <v>69</v>
      </c>
      <c r="G22" s="15" t="s">
        <v>70</v>
      </c>
      <c r="H22" s="15"/>
      <c r="I22" s="15" t="s">
        <v>161</v>
      </c>
      <c r="J22" s="15"/>
      <c r="K22" s="15" t="s">
        <v>223</v>
      </c>
      <c r="L22" s="15" t="s">
        <v>224</v>
      </c>
      <c r="M22" s="15" t="s">
        <v>232</v>
      </c>
      <c r="N22" s="15"/>
      <c r="O22" s="30" t="n">
        <v>44701</v>
      </c>
      <c r="P22" s="31" t="n">
        <f aca="false">IF(OR($B22="",$I22="No",$O22=""),"",$O22+IFERROR(VLOOKUP($K22,Listas!$H$2:$I$4,2,0),365))</f>
        <v>45431</v>
      </c>
      <c r="Q22" s="16" t="str">
        <f aca="true">IF($B22="","",IF($I22="No","NO APLICA",IF($P22="","SIN REGISTRO",IF($P22&lt;TODAY(),"VENCIDO",IF($P22&lt;=TODAY()+60,"POR VENCER","VIGENTE")))))</f>
        <v>VENCIDO</v>
      </c>
      <c r="R22" s="15"/>
      <c r="S22" s="15"/>
      <c r="T22" s="15"/>
      <c r="U22" s="15"/>
      <c r="V22" s="15" t="s">
        <v>153</v>
      </c>
      <c r="W22" s="15" t="s">
        <v>149</v>
      </c>
      <c r="X22" s="15"/>
    </row>
    <row r="23" customFormat="false" ht="15" hidden="false" customHeight="false" outlineLevel="0" collapsed="false">
      <c r="A23" s="15" t="s">
        <v>234</v>
      </c>
      <c r="B23" s="15" t="s">
        <v>72</v>
      </c>
      <c r="C23" s="16" t="str">
        <f aca="false">IF($B23="","",IFERROR(INDEX(Equipos!$C$3:$C$202,MATCH($B23,Equipos!$B$3:$B$202,0)),""))</f>
        <v>Emisiones</v>
      </c>
      <c r="D23" s="15" t="s">
        <v>57</v>
      </c>
      <c r="E23" s="15" t="s">
        <v>235</v>
      </c>
      <c r="F23" s="15" t="s">
        <v>73</v>
      </c>
      <c r="G23" s="15" t="s">
        <v>74</v>
      </c>
      <c r="H23" s="15" t="s">
        <v>236</v>
      </c>
      <c r="I23" s="15" t="s">
        <v>161</v>
      </c>
      <c r="J23" s="15" t="s">
        <v>162</v>
      </c>
      <c r="K23" s="15" t="s">
        <v>223</v>
      </c>
      <c r="L23" s="15" t="s">
        <v>224</v>
      </c>
      <c r="M23" s="15" t="s">
        <v>200</v>
      </c>
      <c r="N23" s="15" t="s">
        <v>225</v>
      </c>
      <c r="O23" s="30" t="n">
        <v>45615</v>
      </c>
      <c r="P23" s="31" t="n">
        <f aca="false">IF(OR($B23="",$I23="No",$O23=""),"",$O23+IFERROR(VLOOKUP($K23,Listas!$H$2:$I$4,2,0),365))</f>
        <v>46345</v>
      </c>
      <c r="Q23" s="16" t="str">
        <f aca="true">IF($B23="","",IF($I23="No","NO APLICA",IF($P23="","SIN REGISTRO",IF($P23&lt;TODAY(),"VENCIDO",IF($P23&lt;=TODAY()+60,"POR VENCER","VIGENTE")))))</f>
        <v>VIGENTE</v>
      </c>
      <c r="R23" s="15"/>
      <c r="S23" s="15"/>
      <c r="T23" s="15"/>
      <c r="U23" s="15"/>
      <c r="V23" s="15" t="s">
        <v>153</v>
      </c>
      <c r="W23" s="15" t="s">
        <v>161</v>
      </c>
      <c r="X23" s="15" t="s">
        <v>226</v>
      </c>
    </row>
    <row r="24" customFormat="false" ht="15" hidden="false" customHeight="false" outlineLevel="0" collapsed="false">
      <c r="A24" s="15" t="s">
        <v>237</v>
      </c>
      <c r="B24" s="15" t="s">
        <v>76</v>
      </c>
      <c r="C24" s="16" t="str">
        <f aca="false">IF($B24="","",IFERROR(INDEX(Equipos!$C$3:$C$202,MATCH($B24,Equipos!$B$3:$B$202,0)),""))</f>
        <v>Emisiones</v>
      </c>
      <c r="D24" s="15" t="s">
        <v>57</v>
      </c>
      <c r="E24" s="15" t="s">
        <v>238</v>
      </c>
      <c r="F24" s="15" t="s">
        <v>77</v>
      </c>
      <c r="G24" s="15" t="s">
        <v>78</v>
      </c>
      <c r="H24" s="15"/>
      <c r="I24" s="15" t="s">
        <v>161</v>
      </c>
      <c r="J24" s="15" t="s">
        <v>162</v>
      </c>
      <c r="K24" s="15" t="s">
        <v>163</v>
      </c>
      <c r="L24" s="15" t="s">
        <v>224</v>
      </c>
      <c r="M24" s="15" t="s">
        <v>239</v>
      </c>
      <c r="N24" s="15" t="s">
        <v>225</v>
      </c>
      <c r="O24" s="30" t="n">
        <v>45462</v>
      </c>
      <c r="P24" s="31" t="n">
        <f aca="false">IF(OR($B24="",$I24="No",$O24=""),"",$O24+IFERROR(VLOOKUP($K24,Listas!$H$2:$I$4,2,0),365))</f>
        <v>45827</v>
      </c>
      <c r="Q24" s="16" t="str">
        <f aca="true">IF($B24="","",IF($I24="No","NO APLICA",IF($P24="","SIN REGISTRO",IF($P24&lt;TODAY(),"VENCIDO",IF($P24&lt;=TODAY()+60,"POR VENCER","VIGENTE")))))</f>
        <v>VENCIDO</v>
      </c>
      <c r="R24" s="15"/>
      <c r="S24" s="15"/>
      <c r="T24" s="15"/>
      <c r="U24" s="15"/>
      <c r="V24" s="15" t="s">
        <v>153</v>
      </c>
      <c r="W24" s="15" t="s">
        <v>149</v>
      </c>
      <c r="X24" s="15"/>
    </row>
    <row r="25" customFormat="false" ht="15" hidden="false" customHeight="false" outlineLevel="0" collapsed="false">
      <c r="A25" s="15" t="s">
        <v>240</v>
      </c>
      <c r="B25" s="15" t="s">
        <v>80</v>
      </c>
      <c r="C25" s="16" t="str">
        <f aca="false">IF($B25="","",IFERROR(INDEX(Equipos!$C$3:$C$202,MATCH($B25,Equipos!$B$3:$B$202,0)),""))</f>
        <v>Emisiones</v>
      </c>
      <c r="D25" s="15"/>
      <c r="E25" s="15" t="s">
        <v>241</v>
      </c>
      <c r="F25" s="15" t="s">
        <v>81</v>
      </c>
      <c r="G25" s="15"/>
      <c r="H25" s="15" t="s">
        <v>242</v>
      </c>
      <c r="I25" s="15" t="s">
        <v>161</v>
      </c>
      <c r="J25" s="15" t="s">
        <v>162</v>
      </c>
      <c r="K25" s="15" t="s">
        <v>163</v>
      </c>
      <c r="L25" s="15" t="s">
        <v>243</v>
      </c>
      <c r="M25" s="15" t="s">
        <v>165</v>
      </c>
      <c r="N25" s="15" t="s">
        <v>201</v>
      </c>
      <c r="O25" s="30" t="n">
        <v>45937</v>
      </c>
      <c r="P25" s="31" t="n">
        <f aca="false">IF(OR($B25="",$I25="No",$O25=""),"",$O25+IFERROR(VLOOKUP($K25,Listas!$H$2:$I$4,2,0),365))</f>
        <v>46302</v>
      </c>
      <c r="Q25" s="16" t="str">
        <f aca="true">IF($B25="","",IF($I25="No","NO APLICA",IF($P25="","SIN REGISTRO",IF($P25&lt;TODAY(),"VENCIDO",IF($P25&lt;=TODAY()+60,"POR VENCER","VIGENTE")))))</f>
        <v>VIGENTE</v>
      </c>
      <c r="R25" s="15"/>
      <c r="S25" s="15" t="s">
        <v>244</v>
      </c>
      <c r="T25" s="15" t="s">
        <v>245</v>
      </c>
      <c r="U25" s="15" t="s">
        <v>246</v>
      </c>
      <c r="V25" s="15" t="s">
        <v>247</v>
      </c>
      <c r="W25" s="15" t="s">
        <v>161</v>
      </c>
      <c r="X25" s="15"/>
    </row>
    <row r="26" customFormat="false" ht="15" hidden="false" customHeight="false" outlineLevel="0" collapsed="false">
      <c r="A26" s="15" t="s">
        <v>248</v>
      </c>
      <c r="B26" s="15" t="s">
        <v>83</v>
      </c>
      <c r="C26" s="16" t="str">
        <f aca="false">IF($B26="","",IFERROR(INDEX(Equipos!$C$3:$C$202,MATCH($B26,Equipos!$B$3:$B$202,0)),""))</f>
        <v>Emisiones</v>
      </c>
      <c r="D26" s="15" t="s">
        <v>84</v>
      </c>
      <c r="E26" s="15" t="s">
        <v>249</v>
      </c>
      <c r="F26" s="15" t="s">
        <v>85</v>
      </c>
      <c r="G26" s="15"/>
      <c r="H26" s="15" t="s">
        <v>250</v>
      </c>
      <c r="I26" s="15" t="s">
        <v>161</v>
      </c>
      <c r="J26" s="15" t="s">
        <v>162</v>
      </c>
      <c r="K26" s="15" t="s">
        <v>163</v>
      </c>
      <c r="L26" s="15" t="s">
        <v>243</v>
      </c>
      <c r="M26" s="15" t="s">
        <v>165</v>
      </c>
      <c r="N26" s="15" t="s">
        <v>201</v>
      </c>
      <c r="O26" s="30" t="n">
        <v>45937</v>
      </c>
      <c r="P26" s="31" t="n">
        <f aca="false">IF(OR($B26="",$I26="No",$O26=""),"",$O26+IFERROR(VLOOKUP($K26,Listas!$H$2:$I$4,2,0),365))</f>
        <v>46302</v>
      </c>
      <c r="Q26" s="16" t="str">
        <f aca="true">IF($B26="","",IF($I26="No","NO APLICA",IF($P26="","SIN REGISTRO",IF($P26&lt;TODAY(),"VENCIDO",IF($P26&lt;=TODAY()+60,"POR VENCER","VIGENTE")))))</f>
        <v>VIGENTE</v>
      </c>
      <c r="R26" s="15"/>
      <c r="S26" s="15" t="s">
        <v>251</v>
      </c>
      <c r="T26" s="15" t="s">
        <v>252</v>
      </c>
      <c r="U26" s="15" t="s">
        <v>253</v>
      </c>
      <c r="V26" s="15" t="s">
        <v>247</v>
      </c>
      <c r="W26" s="15" t="s">
        <v>161</v>
      </c>
      <c r="X26" s="15"/>
    </row>
    <row r="27" customFormat="false" ht="15" hidden="false" customHeight="false" outlineLevel="0" collapsed="false">
      <c r="A27" s="15" t="s">
        <v>254</v>
      </c>
      <c r="B27" s="15" t="s">
        <v>87</v>
      </c>
      <c r="C27" s="16" t="str">
        <f aca="false">IF($B27="","",IFERROR(INDEX(Equipos!$C$3:$C$202,MATCH($B27,Equipos!$B$3:$B$202,0)),""))</f>
        <v>Emisiones</v>
      </c>
      <c r="D27" s="15" t="s">
        <v>84</v>
      </c>
      <c r="E27" s="15" t="s">
        <v>255</v>
      </c>
      <c r="F27" s="15" t="s">
        <v>88</v>
      </c>
      <c r="G27" s="15"/>
      <c r="H27" s="15" t="s">
        <v>256</v>
      </c>
      <c r="I27" s="15" t="s">
        <v>161</v>
      </c>
      <c r="J27" s="15" t="s">
        <v>162</v>
      </c>
      <c r="K27" s="15" t="s">
        <v>163</v>
      </c>
      <c r="L27" s="15" t="s">
        <v>243</v>
      </c>
      <c r="M27" s="15" t="s">
        <v>165</v>
      </c>
      <c r="N27" s="15" t="s">
        <v>201</v>
      </c>
      <c r="O27" s="30" t="n">
        <v>45937</v>
      </c>
      <c r="P27" s="31" t="n">
        <f aca="false">IF(OR($B27="",$I27="No",$O27=""),"",$O27+IFERROR(VLOOKUP($K27,Listas!$H$2:$I$4,2,0),365))</f>
        <v>46302</v>
      </c>
      <c r="Q27" s="16" t="str">
        <f aca="true">IF($B27="","",IF($I27="No","NO APLICA",IF($P27="","SIN REGISTRO",IF($P27&lt;TODAY(),"VENCIDO",IF($P27&lt;=TODAY()+60,"POR VENCER","VIGENTE")))))</f>
        <v>VIGENTE</v>
      </c>
      <c r="R27" s="15"/>
      <c r="S27" s="15" t="s">
        <v>257</v>
      </c>
      <c r="T27" s="15" t="s">
        <v>258</v>
      </c>
      <c r="U27" s="15" t="s">
        <v>253</v>
      </c>
      <c r="V27" s="15" t="s">
        <v>259</v>
      </c>
      <c r="W27" s="15" t="s">
        <v>161</v>
      </c>
      <c r="X27" s="15"/>
    </row>
    <row r="28" customFormat="false" ht="15" hidden="false" customHeight="false" outlineLevel="0" collapsed="false">
      <c r="A28" s="15" t="s">
        <v>260</v>
      </c>
      <c r="B28" s="15" t="s">
        <v>90</v>
      </c>
      <c r="C28" s="16" t="str">
        <f aca="false">IF($B28="","",IFERROR(INDEX(Equipos!$C$3:$C$202,MATCH($B28,Equipos!$B$3:$B$202,0)),""))</f>
        <v>Emisiones</v>
      </c>
      <c r="D28" s="15" t="s">
        <v>91</v>
      </c>
      <c r="E28" s="15" t="s">
        <v>261</v>
      </c>
      <c r="F28" s="15" t="s">
        <v>262</v>
      </c>
      <c r="G28" s="15" t="s">
        <v>263</v>
      </c>
      <c r="H28" s="15"/>
      <c r="I28" s="15" t="s">
        <v>161</v>
      </c>
      <c r="J28" s="15"/>
      <c r="K28" s="15"/>
      <c r="L28" s="15" t="s">
        <v>208</v>
      </c>
      <c r="M28" s="15" t="s">
        <v>264</v>
      </c>
      <c r="N28" s="15" t="s">
        <v>201</v>
      </c>
      <c r="O28" s="30"/>
      <c r="P28" s="31" t="str">
        <f aca="false">IF(OR($B28="",$I28="No",$O28=""),"",$O28+IFERROR(VLOOKUP($K28,Listas!$H$2:$I$4,2,0),365))</f>
        <v/>
      </c>
      <c r="Q28" s="16" t="str">
        <f aca="true">IF($B28="","",IF($I28="No","NO APLICA",IF($P28="","SIN REGISTRO",IF($P28&lt;TODAY(),"VENCIDO",IF($P28&lt;=TODAY()+60,"POR VENCER","VIGENTE")))))</f>
        <v>SIN REGISTRO</v>
      </c>
      <c r="R28" s="15"/>
      <c r="S28" s="15"/>
      <c r="T28" s="15"/>
      <c r="U28" s="15"/>
      <c r="V28" s="15" t="s">
        <v>153</v>
      </c>
      <c r="W28" s="15" t="s">
        <v>149</v>
      </c>
      <c r="X28" s="15"/>
    </row>
    <row r="29" customFormat="false" ht="15" hidden="false" customHeight="false" outlineLevel="0" collapsed="false">
      <c r="A29" s="15" t="s">
        <v>265</v>
      </c>
      <c r="B29" s="15" t="s">
        <v>90</v>
      </c>
      <c r="C29" s="16" t="str">
        <f aca="false">IF($B29="","",IFERROR(INDEX(Equipos!$C$3:$C$202,MATCH($B29,Equipos!$B$3:$B$202,0)),""))</f>
        <v>Emisiones</v>
      </c>
      <c r="D29" s="15" t="s">
        <v>91</v>
      </c>
      <c r="E29" s="15" t="s">
        <v>266</v>
      </c>
      <c r="F29" s="15" t="s">
        <v>267</v>
      </c>
      <c r="G29" s="15"/>
      <c r="H29" s="15"/>
      <c r="I29" s="15" t="s">
        <v>161</v>
      </c>
      <c r="J29" s="15" t="s">
        <v>217</v>
      </c>
      <c r="K29" s="15" t="s">
        <v>163</v>
      </c>
      <c r="L29" s="15" t="s">
        <v>268</v>
      </c>
      <c r="M29" s="15" t="s">
        <v>269</v>
      </c>
      <c r="N29" s="15" t="s">
        <v>201</v>
      </c>
      <c r="O29" s="30" t="n">
        <v>45717</v>
      </c>
      <c r="P29" s="31" t="n">
        <f aca="false">IF(OR($B29="",$I29="No",$O29=""),"",$O29+IFERROR(VLOOKUP($K29,Listas!$H$2:$I$4,2,0),365))</f>
        <v>46082</v>
      </c>
      <c r="Q29" s="16" t="str">
        <f aca="true">IF($B29="","",IF($I29="No","NO APLICA",IF($P29="","SIN REGISTRO",IF($P29&lt;TODAY(),"VENCIDO",IF($P29&lt;=TODAY()+60,"POR VENCER","VIGENTE")))))</f>
        <v>VENCIDO</v>
      </c>
      <c r="R29" s="15"/>
      <c r="S29" s="15"/>
      <c r="T29" s="15"/>
      <c r="U29" s="15"/>
      <c r="V29" s="15" t="s">
        <v>153</v>
      </c>
      <c r="W29" s="15" t="s">
        <v>161</v>
      </c>
      <c r="X29" s="15"/>
    </row>
    <row r="30" customFormat="false" ht="15" hidden="false" customHeight="false" outlineLevel="0" collapsed="false">
      <c r="A30" s="15" t="s">
        <v>270</v>
      </c>
      <c r="B30" s="15" t="s">
        <v>90</v>
      </c>
      <c r="C30" s="16" t="str">
        <f aca="false">IF($B30="","",IFERROR(INDEX(Equipos!$C$3:$C$202,MATCH($B30,Equipos!$B$3:$B$202,0)),""))</f>
        <v>Emisiones</v>
      </c>
      <c r="D30" s="15" t="s">
        <v>91</v>
      </c>
      <c r="E30" s="15" t="s">
        <v>271</v>
      </c>
      <c r="F30" s="15" t="s">
        <v>272</v>
      </c>
      <c r="G30" s="15"/>
      <c r="H30" s="15" t="s">
        <v>273</v>
      </c>
      <c r="I30" s="15" t="s">
        <v>161</v>
      </c>
      <c r="J30" s="15" t="s">
        <v>162</v>
      </c>
      <c r="K30" s="15" t="s">
        <v>163</v>
      </c>
      <c r="L30" s="15" t="s">
        <v>243</v>
      </c>
      <c r="M30" s="15" t="s">
        <v>165</v>
      </c>
      <c r="N30" s="15" t="s">
        <v>201</v>
      </c>
      <c r="O30" s="30" t="n">
        <v>45937</v>
      </c>
      <c r="P30" s="31" t="n">
        <f aca="false">IF(OR($B30="",$I30="No",$O30=""),"",$O30+IFERROR(VLOOKUP($K30,Listas!$H$2:$I$4,2,0),365))</f>
        <v>46302</v>
      </c>
      <c r="Q30" s="16" t="str">
        <f aca="true">IF($B30="","",IF($I30="No","NO APLICA",IF($P30="","SIN REGISTRO",IF($P30&lt;TODAY(),"VENCIDO",IF($P30&lt;=TODAY()+60,"POR VENCER","VIGENTE")))))</f>
        <v>VIGENTE</v>
      </c>
      <c r="R30" s="15"/>
      <c r="S30" s="15"/>
      <c r="T30" s="15"/>
      <c r="U30" s="15"/>
      <c r="V30" s="15" t="s">
        <v>274</v>
      </c>
      <c r="W30" s="15" t="s">
        <v>161</v>
      </c>
      <c r="X30" s="15"/>
    </row>
    <row r="31" customFormat="false" ht="15" hidden="false" customHeight="false" outlineLevel="0" collapsed="false">
      <c r="A31" s="15" t="s">
        <v>275</v>
      </c>
      <c r="B31" s="15" t="s">
        <v>90</v>
      </c>
      <c r="C31" s="16" t="str">
        <f aca="false">IF($B31="","",IFERROR(INDEX(Equipos!$C$3:$C$202,MATCH($B31,Equipos!$B$3:$B$202,0)),""))</f>
        <v>Emisiones</v>
      </c>
      <c r="D31" s="15" t="s">
        <v>91</v>
      </c>
      <c r="E31" s="15" t="s">
        <v>271</v>
      </c>
      <c r="F31" s="15" t="s">
        <v>276</v>
      </c>
      <c r="G31" s="15"/>
      <c r="H31" s="15"/>
      <c r="I31" s="15" t="s">
        <v>161</v>
      </c>
      <c r="J31" s="15" t="s">
        <v>162</v>
      </c>
      <c r="K31" s="15" t="s">
        <v>163</v>
      </c>
      <c r="L31" s="15" t="s">
        <v>243</v>
      </c>
      <c r="M31" s="15" t="s">
        <v>165</v>
      </c>
      <c r="N31" s="15" t="s">
        <v>201</v>
      </c>
      <c r="O31" s="30" t="n">
        <v>45937</v>
      </c>
      <c r="P31" s="31" t="n">
        <f aca="false">IF(OR($B31="",$I31="No",$O31=""),"",$O31+IFERROR(VLOOKUP($K31,Listas!$H$2:$I$4,2,0),365))</f>
        <v>46302</v>
      </c>
      <c r="Q31" s="16" t="str">
        <f aca="true">IF($B31="","",IF($I31="No","NO APLICA",IF($P31="","SIN REGISTRO",IF($P31&lt;TODAY(),"VENCIDO",IF($P31&lt;=TODAY()+60,"POR VENCER","VIGENTE")))))</f>
        <v>VIGENTE</v>
      </c>
      <c r="R31" s="15"/>
      <c r="S31" s="15"/>
      <c r="T31" s="15"/>
      <c r="U31" s="15"/>
      <c r="V31" s="15" t="s">
        <v>274</v>
      </c>
      <c r="W31" s="15"/>
      <c r="X31" s="15"/>
    </row>
    <row r="32" customFormat="false" ht="15" hidden="false" customHeight="false" outlineLevel="0" collapsed="false">
      <c r="A32" s="15" t="s">
        <v>277</v>
      </c>
      <c r="B32" s="15" t="s">
        <v>90</v>
      </c>
      <c r="C32" s="16" t="str">
        <f aca="false">IF($B32="","",IFERROR(INDEX(Equipos!$C$3:$C$202,MATCH($B32,Equipos!$B$3:$B$202,0)),""))</f>
        <v>Emisiones</v>
      </c>
      <c r="D32" s="15" t="s">
        <v>91</v>
      </c>
      <c r="E32" s="15" t="s">
        <v>278</v>
      </c>
      <c r="F32" s="15" t="s">
        <v>267</v>
      </c>
      <c r="G32" s="15"/>
      <c r="H32" s="15"/>
      <c r="I32" s="15" t="s">
        <v>161</v>
      </c>
      <c r="J32" s="15" t="s">
        <v>162</v>
      </c>
      <c r="K32" s="15" t="s">
        <v>163</v>
      </c>
      <c r="L32" s="15" t="s">
        <v>243</v>
      </c>
      <c r="M32" s="15" t="s">
        <v>165</v>
      </c>
      <c r="N32" s="15" t="s">
        <v>201</v>
      </c>
      <c r="O32" s="30" t="n">
        <v>45937</v>
      </c>
      <c r="P32" s="31" t="n">
        <f aca="false">IF(OR($B32="",$I32="No",$O32=""),"",$O32+IFERROR(VLOOKUP($K32,Listas!$H$2:$I$4,2,0),365))</f>
        <v>46302</v>
      </c>
      <c r="Q32" s="16" t="str">
        <f aca="true">IF($B32="","",IF($I32="No","NO APLICA",IF($P32="","SIN REGISTRO",IF($P32&lt;TODAY(),"VENCIDO",IF($P32&lt;=TODAY()+60,"POR VENCER","VIGENTE")))))</f>
        <v>VIGENTE</v>
      </c>
      <c r="R32" s="15"/>
      <c r="S32" s="15"/>
      <c r="T32" s="15"/>
      <c r="U32" s="15"/>
      <c r="V32" s="15" t="s">
        <v>153</v>
      </c>
      <c r="W32" s="15" t="s">
        <v>161</v>
      </c>
      <c r="X32" s="15"/>
    </row>
    <row r="33" customFormat="false" ht="15" hidden="false" customHeight="false" outlineLevel="0" collapsed="false">
      <c r="A33" s="15" t="s">
        <v>279</v>
      </c>
      <c r="B33" s="15" t="s">
        <v>90</v>
      </c>
      <c r="C33" s="16" t="str">
        <f aca="false">IF($B33="","",IFERROR(INDEX(Equipos!$C$3:$C$202,MATCH($B33,Equipos!$B$3:$B$202,0)),""))</f>
        <v>Emisiones</v>
      </c>
      <c r="D33" s="15" t="s">
        <v>91</v>
      </c>
      <c r="E33" s="15" t="s">
        <v>280</v>
      </c>
      <c r="F33" s="15"/>
      <c r="G33" s="15" t="s">
        <v>253</v>
      </c>
      <c r="H33" s="15" t="s">
        <v>281</v>
      </c>
      <c r="I33" s="15" t="s">
        <v>161</v>
      </c>
      <c r="J33" s="15" t="s">
        <v>162</v>
      </c>
      <c r="K33" s="15" t="s">
        <v>163</v>
      </c>
      <c r="L33" s="15" t="s">
        <v>243</v>
      </c>
      <c r="M33" s="15" t="s">
        <v>165</v>
      </c>
      <c r="N33" s="15" t="s">
        <v>166</v>
      </c>
      <c r="O33" s="30" t="n">
        <v>45918</v>
      </c>
      <c r="P33" s="31" t="n">
        <f aca="false">IF(OR($B33="",$I33="No",$O33=""),"",$O33+IFERROR(VLOOKUP($K33,Listas!$H$2:$I$4,2,0),365))</f>
        <v>46283</v>
      </c>
      <c r="Q33" s="16" t="str">
        <f aca="true">IF($B33="","",IF($I33="No","NO APLICA",IF($P33="","SIN REGISTRO",IF($P33&lt;TODAY(),"VENCIDO",IF($P33&lt;=TODAY()+60,"POR VENCER","VIGENTE")))))</f>
        <v>VIGENTE</v>
      </c>
      <c r="R33" s="15"/>
      <c r="S33" s="15" t="s">
        <v>282</v>
      </c>
      <c r="T33" s="15" t="s">
        <v>283</v>
      </c>
      <c r="U33" s="15" t="s">
        <v>284</v>
      </c>
      <c r="V33" s="15" t="s">
        <v>153</v>
      </c>
      <c r="W33" s="15" t="s">
        <v>161</v>
      </c>
      <c r="X33" s="15"/>
    </row>
    <row r="34" customFormat="false" ht="15" hidden="false" customHeight="false" outlineLevel="0" collapsed="false">
      <c r="A34" s="15" t="s">
        <v>285</v>
      </c>
      <c r="B34" s="15" t="s">
        <v>90</v>
      </c>
      <c r="C34" s="16" t="str">
        <f aca="false">IF($B34="","",IFERROR(INDEX(Equipos!$C$3:$C$202,MATCH($B34,Equipos!$B$3:$B$202,0)),""))</f>
        <v>Emisiones</v>
      </c>
      <c r="D34" s="15" t="s">
        <v>91</v>
      </c>
      <c r="E34" s="15" t="s">
        <v>286</v>
      </c>
      <c r="F34" s="15"/>
      <c r="G34" s="15" t="s">
        <v>287</v>
      </c>
      <c r="H34" s="15" t="s">
        <v>288</v>
      </c>
      <c r="I34" s="15" t="s">
        <v>161</v>
      </c>
      <c r="J34" s="15" t="s">
        <v>162</v>
      </c>
      <c r="K34" s="15" t="s">
        <v>163</v>
      </c>
      <c r="L34" s="15" t="s">
        <v>243</v>
      </c>
      <c r="M34" s="15" t="s">
        <v>165</v>
      </c>
      <c r="N34" s="15" t="s">
        <v>166</v>
      </c>
      <c r="O34" s="30" t="n">
        <v>45918</v>
      </c>
      <c r="P34" s="31" t="n">
        <f aca="false">IF(OR($B34="",$I34="No",$O34=""),"",$O34+IFERROR(VLOOKUP($K34,Listas!$H$2:$I$4,2,0),365))</f>
        <v>46283</v>
      </c>
      <c r="Q34" s="16" t="str">
        <f aca="true">IF($B34="","",IF($I34="No","NO APLICA",IF($P34="","SIN REGISTRO",IF($P34&lt;TODAY(),"VENCIDO",IF($P34&lt;=TODAY()+60,"POR VENCER","VIGENTE")))))</f>
        <v>VIGENTE</v>
      </c>
      <c r="R34" s="15"/>
      <c r="S34" s="15" t="s">
        <v>282</v>
      </c>
      <c r="T34" s="15" t="s">
        <v>283</v>
      </c>
      <c r="U34" s="15" t="s">
        <v>284</v>
      </c>
      <c r="V34" s="15" t="s">
        <v>153</v>
      </c>
      <c r="W34" s="15" t="s">
        <v>161</v>
      </c>
      <c r="X34" s="15"/>
    </row>
    <row r="35" customFormat="false" ht="15" hidden="false" customHeight="false" outlineLevel="0" collapsed="false">
      <c r="A35" s="15" t="s">
        <v>289</v>
      </c>
      <c r="B35" s="15" t="s">
        <v>90</v>
      </c>
      <c r="C35" s="16" t="str">
        <f aca="false">IF($B35="","",IFERROR(INDEX(Equipos!$C$3:$C$202,MATCH($B35,Equipos!$B$3:$B$202,0)),""))</f>
        <v>Emisiones</v>
      </c>
      <c r="D35" s="15" t="s">
        <v>91</v>
      </c>
      <c r="E35" s="15" t="s">
        <v>290</v>
      </c>
      <c r="F35" s="15"/>
      <c r="G35" s="15" t="s">
        <v>291</v>
      </c>
      <c r="H35" s="15" t="s">
        <v>292</v>
      </c>
      <c r="I35" s="15" t="s">
        <v>161</v>
      </c>
      <c r="J35" s="15" t="s">
        <v>162</v>
      </c>
      <c r="K35" s="15" t="s">
        <v>163</v>
      </c>
      <c r="L35" s="15" t="s">
        <v>243</v>
      </c>
      <c r="M35" s="15" t="s">
        <v>165</v>
      </c>
      <c r="N35" s="15" t="s">
        <v>166</v>
      </c>
      <c r="O35" s="30" t="n">
        <v>45918</v>
      </c>
      <c r="P35" s="31" t="n">
        <f aca="false">IF(OR($B35="",$I35="No",$O35=""),"",$O35+IFERROR(VLOOKUP($K35,Listas!$H$2:$I$4,2,0),365))</f>
        <v>46283</v>
      </c>
      <c r="Q35" s="16" t="str">
        <f aca="true">IF($B35="","",IF($I35="No","NO APLICA",IF($P35="","SIN REGISTRO",IF($P35&lt;TODAY(),"VENCIDO",IF($P35&lt;=TODAY()+60,"POR VENCER","VIGENTE")))))</f>
        <v>VIGENTE</v>
      </c>
      <c r="R35" s="15"/>
      <c r="S35" s="15" t="s">
        <v>282</v>
      </c>
      <c r="T35" s="15" t="s">
        <v>283</v>
      </c>
      <c r="U35" s="15" t="s">
        <v>284</v>
      </c>
      <c r="V35" s="15" t="s">
        <v>153</v>
      </c>
      <c r="W35" s="15" t="s">
        <v>161</v>
      </c>
      <c r="X35" s="15"/>
    </row>
    <row r="36" customFormat="false" ht="15" hidden="false" customHeight="false" outlineLevel="0" collapsed="false">
      <c r="A36" s="15" t="s">
        <v>293</v>
      </c>
      <c r="B36" s="15" t="s">
        <v>90</v>
      </c>
      <c r="C36" s="16" t="str">
        <f aca="false">IF($B36="","",IFERROR(INDEX(Equipos!$C$3:$C$202,MATCH($B36,Equipos!$B$3:$B$202,0)),""))</f>
        <v>Emisiones</v>
      </c>
      <c r="D36" s="15" t="s">
        <v>91</v>
      </c>
      <c r="E36" s="15" t="s">
        <v>294</v>
      </c>
      <c r="F36" s="15"/>
      <c r="G36" s="15" t="s">
        <v>295</v>
      </c>
      <c r="H36" s="15" t="s">
        <v>296</v>
      </c>
      <c r="I36" s="15" t="s">
        <v>161</v>
      </c>
      <c r="J36" s="15" t="s">
        <v>162</v>
      </c>
      <c r="K36" s="15" t="s">
        <v>163</v>
      </c>
      <c r="L36" s="15" t="s">
        <v>243</v>
      </c>
      <c r="M36" s="15" t="s">
        <v>165</v>
      </c>
      <c r="N36" s="15" t="s">
        <v>166</v>
      </c>
      <c r="O36" s="30" t="n">
        <v>45918</v>
      </c>
      <c r="P36" s="31" t="n">
        <f aca="false">IF(OR($B36="",$I36="No",$O36=""),"",$O36+IFERROR(VLOOKUP($K36,Listas!$H$2:$I$4,2,0),365))</f>
        <v>46283</v>
      </c>
      <c r="Q36" s="16" t="str">
        <f aca="true">IF($B36="","",IF($I36="No","NO APLICA",IF($P36="","SIN REGISTRO",IF($P36&lt;TODAY(),"VENCIDO",IF($P36&lt;=TODAY()+60,"POR VENCER","VIGENTE")))))</f>
        <v>VIGENTE</v>
      </c>
      <c r="R36" s="15"/>
      <c r="S36" s="15" t="s">
        <v>282</v>
      </c>
      <c r="T36" s="15" t="s">
        <v>283</v>
      </c>
      <c r="U36" s="15" t="s">
        <v>284</v>
      </c>
      <c r="V36" s="15" t="s">
        <v>153</v>
      </c>
      <c r="W36" s="15" t="s">
        <v>161</v>
      </c>
      <c r="X36" s="15"/>
    </row>
    <row r="37" customFormat="false" ht="15" hidden="false" customHeight="false" outlineLevel="0" collapsed="false">
      <c r="A37" s="15" t="s">
        <v>297</v>
      </c>
      <c r="B37" s="15" t="s">
        <v>90</v>
      </c>
      <c r="C37" s="16" t="str">
        <f aca="false">IF($B37="","",IFERROR(INDEX(Equipos!$C$3:$C$202,MATCH($B37,Equipos!$B$3:$B$202,0)),""))</f>
        <v>Emisiones</v>
      </c>
      <c r="D37" s="15" t="s">
        <v>91</v>
      </c>
      <c r="E37" s="15" t="s">
        <v>298</v>
      </c>
      <c r="F37" s="15"/>
      <c r="G37" s="15" t="s">
        <v>299</v>
      </c>
      <c r="H37" s="15" t="s">
        <v>300</v>
      </c>
      <c r="I37" s="15" t="s">
        <v>161</v>
      </c>
      <c r="J37" s="15" t="s">
        <v>162</v>
      </c>
      <c r="K37" s="15" t="s">
        <v>163</v>
      </c>
      <c r="L37" s="15" t="s">
        <v>243</v>
      </c>
      <c r="M37" s="15" t="s">
        <v>165</v>
      </c>
      <c r="N37" s="15" t="s">
        <v>166</v>
      </c>
      <c r="O37" s="30" t="n">
        <v>45918</v>
      </c>
      <c r="P37" s="31" t="n">
        <f aca="false">IF(OR($B37="",$I37="No",$O37=""),"",$O37+IFERROR(VLOOKUP($K37,Listas!$H$2:$I$4,2,0),365))</f>
        <v>46283</v>
      </c>
      <c r="Q37" s="16" t="str">
        <f aca="true">IF($B37="","",IF($I37="No","NO APLICA",IF($P37="","SIN REGISTRO",IF($P37&lt;TODAY(),"VENCIDO",IF($P37&lt;=TODAY()+60,"POR VENCER","VIGENTE")))))</f>
        <v>VIGENTE</v>
      </c>
      <c r="R37" s="15"/>
      <c r="S37" s="15" t="s">
        <v>282</v>
      </c>
      <c r="T37" s="15" t="s">
        <v>283</v>
      </c>
      <c r="U37" s="15" t="s">
        <v>284</v>
      </c>
      <c r="V37" s="15" t="s">
        <v>153</v>
      </c>
      <c r="W37" s="15" t="s">
        <v>161</v>
      </c>
      <c r="X37" s="15"/>
    </row>
    <row r="38" customFormat="false" ht="15" hidden="false" customHeight="false" outlineLevel="0" collapsed="false">
      <c r="A38" s="15" t="s">
        <v>301</v>
      </c>
      <c r="B38" s="15" t="s">
        <v>90</v>
      </c>
      <c r="C38" s="16" t="str">
        <f aca="false">IF($B38="","",IFERROR(INDEX(Equipos!$C$3:$C$202,MATCH($B38,Equipos!$B$3:$B$202,0)),""))</f>
        <v>Emisiones</v>
      </c>
      <c r="D38" s="15" t="s">
        <v>91</v>
      </c>
      <c r="E38" s="15" t="s">
        <v>302</v>
      </c>
      <c r="F38" s="15"/>
      <c r="G38" s="15" t="s">
        <v>303</v>
      </c>
      <c r="H38" s="15" t="s">
        <v>304</v>
      </c>
      <c r="I38" s="15" t="s">
        <v>161</v>
      </c>
      <c r="J38" s="15" t="s">
        <v>162</v>
      </c>
      <c r="K38" s="15" t="s">
        <v>163</v>
      </c>
      <c r="L38" s="15" t="s">
        <v>243</v>
      </c>
      <c r="M38" s="15" t="s">
        <v>165</v>
      </c>
      <c r="N38" s="15" t="s">
        <v>166</v>
      </c>
      <c r="O38" s="30" t="n">
        <v>45918</v>
      </c>
      <c r="P38" s="31" t="n">
        <f aca="false">IF(OR($B38="",$I38="No",$O38=""),"",$O38+IFERROR(VLOOKUP($K38,Listas!$H$2:$I$4,2,0),365))</f>
        <v>46283</v>
      </c>
      <c r="Q38" s="16" t="str">
        <f aca="true">IF($B38="","",IF($I38="No","NO APLICA",IF($P38="","SIN REGISTRO",IF($P38&lt;TODAY(),"VENCIDO",IF($P38&lt;=TODAY()+60,"POR VENCER","VIGENTE")))))</f>
        <v>VIGENTE</v>
      </c>
      <c r="R38" s="15"/>
      <c r="S38" s="15" t="s">
        <v>282</v>
      </c>
      <c r="T38" s="15" t="s">
        <v>283</v>
      </c>
      <c r="U38" s="15" t="s">
        <v>284</v>
      </c>
      <c r="V38" s="15" t="s">
        <v>153</v>
      </c>
      <c r="W38" s="15" t="s">
        <v>161</v>
      </c>
      <c r="X38" s="15"/>
    </row>
    <row r="39" customFormat="false" ht="15" hidden="false" customHeight="false" outlineLevel="0" collapsed="false">
      <c r="A39" s="15" t="s">
        <v>305</v>
      </c>
      <c r="B39" s="15" t="s">
        <v>90</v>
      </c>
      <c r="C39" s="16" t="str">
        <f aca="false">IF($B39="","",IFERROR(INDEX(Equipos!$C$3:$C$202,MATCH($B39,Equipos!$B$3:$B$202,0)),""))</f>
        <v>Emisiones</v>
      </c>
      <c r="D39" s="15" t="s">
        <v>91</v>
      </c>
      <c r="E39" s="15" t="s">
        <v>306</v>
      </c>
      <c r="F39" s="15"/>
      <c r="G39" s="15" t="s">
        <v>307</v>
      </c>
      <c r="H39" s="15" t="s">
        <v>308</v>
      </c>
      <c r="I39" s="15" t="s">
        <v>161</v>
      </c>
      <c r="J39" s="15" t="s">
        <v>162</v>
      </c>
      <c r="K39" s="15" t="s">
        <v>163</v>
      </c>
      <c r="L39" s="15" t="s">
        <v>243</v>
      </c>
      <c r="M39" s="15" t="s">
        <v>165</v>
      </c>
      <c r="N39" s="15" t="s">
        <v>166</v>
      </c>
      <c r="O39" s="30" t="n">
        <v>45918</v>
      </c>
      <c r="P39" s="31" t="n">
        <f aca="false">IF(OR($B39="",$I39="No",$O39=""),"",$O39+IFERROR(VLOOKUP($K39,Listas!$H$2:$I$4,2,0),365))</f>
        <v>46283</v>
      </c>
      <c r="Q39" s="16" t="str">
        <f aca="true">IF($B39="","",IF($I39="No","NO APLICA",IF($P39="","SIN REGISTRO",IF($P39&lt;TODAY(),"VENCIDO",IF($P39&lt;=TODAY()+60,"POR VENCER","VIGENTE")))))</f>
        <v>VIGENTE</v>
      </c>
      <c r="R39" s="15"/>
      <c r="S39" s="15" t="s">
        <v>282</v>
      </c>
      <c r="T39" s="15" t="s">
        <v>283</v>
      </c>
      <c r="U39" s="15" t="s">
        <v>284</v>
      </c>
      <c r="V39" s="15" t="s">
        <v>153</v>
      </c>
      <c r="W39" s="15" t="s">
        <v>161</v>
      </c>
      <c r="X39" s="15"/>
    </row>
    <row r="40" customFormat="false" ht="15" hidden="false" customHeight="false" outlineLevel="0" collapsed="false">
      <c r="A40" s="15" t="s">
        <v>309</v>
      </c>
      <c r="B40" s="15" t="s">
        <v>90</v>
      </c>
      <c r="C40" s="16" t="str">
        <f aca="false">IF($B40="","",IFERROR(INDEX(Equipos!$C$3:$C$202,MATCH($B40,Equipos!$B$3:$B$202,0)),""))</f>
        <v>Emisiones</v>
      </c>
      <c r="D40" s="15" t="s">
        <v>91</v>
      </c>
      <c r="E40" s="15" t="s">
        <v>310</v>
      </c>
      <c r="F40" s="15"/>
      <c r="G40" s="15" t="s">
        <v>311</v>
      </c>
      <c r="H40" s="15" t="s">
        <v>312</v>
      </c>
      <c r="I40" s="15" t="s">
        <v>161</v>
      </c>
      <c r="J40" s="15" t="s">
        <v>162</v>
      </c>
      <c r="K40" s="15" t="s">
        <v>163</v>
      </c>
      <c r="L40" s="15" t="s">
        <v>243</v>
      </c>
      <c r="M40" s="15" t="s">
        <v>165</v>
      </c>
      <c r="N40" s="15" t="s">
        <v>166</v>
      </c>
      <c r="O40" s="30" t="n">
        <v>45918</v>
      </c>
      <c r="P40" s="31" t="n">
        <f aca="false">IF(OR($B40="",$I40="No",$O40=""),"",$O40+IFERROR(VLOOKUP($K40,Listas!$H$2:$I$4,2,0),365))</f>
        <v>46283</v>
      </c>
      <c r="Q40" s="16" t="str">
        <f aca="true">IF($B40="","",IF($I40="No","NO APLICA",IF($P40="","SIN REGISTRO",IF($P40&lt;TODAY(),"VENCIDO",IF($P40&lt;=TODAY()+60,"POR VENCER","VIGENTE")))))</f>
        <v>VIGENTE</v>
      </c>
      <c r="R40" s="15"/>
      <c r="S40" s="15" t="s">
        <v>282</v>
      </c>
      <c r="T40" s="15" t="s">
        <v>283</v>
      </c>
      <c r="U40" s="15" t="s">
        <v>284</v>
      </c>
      <c r="V40" s="15" t="s">
        <v>153</v>
      </c>
      <c r="W40" s="15" t="s">
        <v>161</v>
      </c>
      <c r="X40" s="15"/>
    </row>
    <row r="41" customFormat="false" ht="15" hidden="false" customHeight="false" outlineLevel="0" collapsed="false">
      <c r="A41" s="15" t="s">
        <v>313</v>
      </c>
      <c r="B41" s="15" t="s">
        <v>90</v>
      </c>
      <c r="C41" s="16" t="str">
        <f aca="false">IF($B41="","",IFERROR(INDEX(Equipos!$C$3:$C$202,MATCH($B41,Equipos!$B$3:$B$202,0)),""))</f>
        <v>Emisiones</v>
      </c>
      <c r="D41" s="15" t="s">
        <v>91</v>
      </c>
      <c r="E41" s="15" t="s">
        <v>314</v>
      </c>
      <c r="F41" s="15"/>
      <c r="G41" s="15" t="s">
        <v>315</v>
      </c>
      <c r="H41" s="15" t="s">
        <v>316</v>
      </c>
      <c r="I41" s="15" t="s">
        <v>161</v>
      </c>
      <c r="J41" s="15" t="s">
        <v>162</v>
      </c>
      <c r="K41" s="15" t="s">
        <v>163</v>
      </c>
      <c r="L41" s="15" t="s">
        <v>243</v>
      </c>
      <c r="M41" s="15" t="s">
        <v>165</v>
      </c>
      <c r="N41" s="15" t="s">
        <v>166</v>
      </c>
      <c r="O41" s="30" t="n">
        <v>45918</v>
      </c>
      <c r="P41" s="31" t="n">
        <f aca="false">IF(OR($B41="",$I41="No",$O41=""),"",$O41+IFERROR(VLOOKUP($K41,Listas!$H$2:$I$4,2,0),365))</f>
        <v>46283</v>
      </c>
      <c r="Q41" s="16" t="str">
        <f aca="true">IF($B41="","",IF($I41="No","NO APLICA",IF($P41="","SIN REGISTRO",IF($P41&lt;TODAY(),"VENCIDO",IF($P41&lt;=TODAY()+60,"POR VENCER","VIGENTE")))))</f>
        <v>VIGENTE</v>
      </c>
      <c r="R41" s="15"/>
      <c r="S41" s="15" t="s">
        <v>282</v>
      </c>
      <c r="T41" s="15" t="s">
        <v>283</v>
      </c>
      <c r="U41" s="15" t="s">
        <v>284</v>
      </c>
      <c r="V41" s="15" t="s">
        <v>153</v>
      </c>
      <c r="W41" s="15" t="s">
        <v>161</v>
      </c>
      <c r="X41" s="15"/>
    </row>
    <row r="42" customFormat="false" ht="15" hidden="false" customHeight="false" outlineLevel="0" collapsed="false">
      <c r="A42" s="15" t="s">
        <v>317</v>
      </c>
      <c r="B42" s="15" t="s">
        <v>90</v>
      </c>
      <c r="C42" s="16" t="str">
        <f aca="false">IF($B42="","",IFERROR(INDEX(Equipos!$C$3:$C$202,MATCH($B42,Equipos!$B$3:$B$202,0)),""))</f>
        <v>Emisiones</v>
      </c>
      <c r="D42" s="15" t="s">
        <v>91</v>
      </c>
      <c r="E42" s="15" t="s">
        <v>318</v>
      </c>
      <c r="F42" s="15"/>
      <c r="G42" s="15" t="s">
        <v>319</v>
      </c>
      <c r="H42" s="15" t="s">
        <v>320</v>
      </c>
      <c r="I42" s="15" t="s">
        <v>161</v>
      </c>
      <c r="J42" s="15" t="s">
        <v>162</v>
      </c>
      <c r="K42" s="15" t="s">
        <v>163</v>
      </c>
      <c r="L42" s="15" t="s">
        <v>243</v>
      </c>
      <c r="M42" s="15" t="s">
        <v>165</v>
      </c>
      <c r="N42" s="15" t="s">
        <v>166</v>
      </c>
      <c r="O42" s="30" t="n">
        <v>45918</v>
      </c>
      <c r="P42" s="31" t="n">
        <f aca="false">IF(OR($B42="",$I42="No",$O42=""),"",$O42+IFERROR(VLOOKUP($K42,Listas!$H$2:$I$4,2,0),365))</f>
        <v>46283</v>
      </c>
      <c r="Q42" s="16" t="str">
        <f aca="true">IF($B42="","",IF($I42="No","NO APLICA",IF($P42="","SIN REGISTRO",IF($P42&lt;TODAY(),"VENCIDO",IF($P42&lt;=TODAY()+60,"POR VENCER","VIGENTE")))))</f>
        <v>VIGENTE</v>
      </c>
      <c r="R42" s="15"/>
      <c r="S42" s="15" t="s">
        <v>282</v>
      </c>
      <c r="T42" s="15" t="s">
        <v>283</v>
      </c>
      <c r="U42" s="15" t="s">
        <v>284</v>
      </c>
      <c r="V42" s="15" t="s">
        <v>153</v>
      </c>
      <c r="W42" s="15" t="s">
        <v>161</v>
      </c>
      <c r="X42" s="15"/>
    </row>
    <row r="43" customFormat="false" ht="15" hidden="false" customHeight="false" outlineLevel="0" collapsed="false">
      <c r="A43" s="15" t="s">
        <v>321</v>
      </c>
      <c r="B43" s="15" t="s">
        <v>90</v>
      </c>
      <c r="C43" s="16" t="str">
        <f aca="false">IF($B43="","",IFERROR(INDEX(Equipos!$C$3:$C$202,MATCH($B43,Equipos!$B$3:$B$202,0)),""))</f>
        <v>Emisiones</v>
      </c>
      <c r="D43" s="15" t="s">
        <v>91</v>
      </c>
      <c r="E43" s="15" t="s">
        <v>322</v>
      </c>
      <c r="F43" s="15" t="s">
        <v>272</v>
      </c>
      <c r="G43" s="15"/>
      <c r="H43" s="15"/>
      <c r="I43" s="15" t="s">
        <v>161</v>
      </c>
      <c r="J43" s="15" t="s">
        <v>162</v>
      </c>
      <c r="K43" s="15" t="s">
        <v>163</v>
      </c>
      <c r="L43" s="15" t="s">
        <v>243</v>
      </c>
      <c r="M43" s="15" t="s">
        <v>165</v>
      </c>
      <c r="N43" s="15" t="s">
        <v>166</v>
      </c>
      <c r="O43" s="30" t="n">
        <v>45937</v>
      </c>
      <c r="P43" s="31" t="n">
        <f aca="false">IF(OR($B43="",$I43="No",$O43=""),"",$O43+IFERROR(VLOOKUP($K43,Listas!$H$2:$I$4,2,0),365))</f>
        <v>46302</v>
      </c>
      <c r="Q43" s="16" t="str">
        <f aca="true">IF($B43="","",IF($I43="No","NO APLICA",IF($P43="","SIN REGISTRO",IF($P43&lt;TODAY(),"VENCIDO",IF($P43&lt;=TODAY()+60,"POR VENCER","VIGENTE")))))</f>
        <v>VIGENTE</v>
      </c>
      <c r="R43" s="15"/>
      <c r="S43" s="15"/>
      <c r="T43" s="15"/>
      <c r="U43" s="15"/>
      <c r="V43" s="15" t="s">
        <v>153</v>
      </c>
      <c r="W43" s="15" t="s">
        <v>161</v>
      </c>
      <c r="X43" s="15"/>
    </row>
    <row r="44" customFormat="false" ht="15" hidden="false" customHeight="false" outlineLevel="0" collapsed="false">
      <c r="A44" s="15" t="s">
        <v>323</v>
      </c>
      <c r="B44" s="15" t="s">
        <v>90</v>
      </c>
      <c r="C44" s="16" t="str">
        <f aca="false">IF($B44="","",IFERROR(INDEX(Equipos!$C$3:$C$202,MATCH($B44,Equipos!$B$3:$B$202,0)),""))</f>
        <v>Emisiones</v>
      </c>
      <c r="D44" s="15" t="s">
        <v>91</v>
      </c>
      <c r="E44" s="15" t="s">
        <v>322</v>
      </c>
      <c r="F44" s="15" t="s">
        <v>276</v>
      </c>
      <c r="G44" s="15"/>
      <c r="H44" s="15"/>
      <c r="I44" s="15" t="s">
        <v>161</v>
      </c>
      <c r="J44" s="15" t="s">
        <v>162</v>
      </c>
      <c r="K44" s="15" t="s">
        <v>163</v>
      </c>
      <c r="L44" s="15" t="s">
        <v>243</v>
      </c>
      <c r="M44" s="15" t="s">
        <v>165</v>
      </c>
      <c r="N44" s="15" t="s">
        <v>166</v>
      </c>
      <c r="O44" s="30" t="n">
        <v>45937</v>
      </c>
      <c r="P44" s="31" t="n">
        <f aca="false">IF(OR($B44="",$I44="No",$O44=""),"",$O44+IFERROR(VLOOKUP($K44,Listas!$H$2:$I$4,2,0),365))</f>
        <v>46302</v>
      </c>
      <c r="Q44" s="16" t="str">
        <f aca="true">IF($B44="","",IF($I44="No","NO APLICA",IF($P44="","SIN REGISTRO",IF($P44&lt;TODAY(),"VENCIDO",IF($P44&lt;=TODAY()+60,"POR VENCER","VIGENTE")))))</f>
        <v>VIGENTE</v>
      </c>
      <c r="R44" s="15"/>
      <c r="S44" s="15"/>
      <c r="T44" s="15"/>
      <c r="U44" s="15"/>
      <c r="V44" s="15" t="s">
        <v>153</v>
      </c>
      <c r="W44" s="15" t="s">
        <v>161</v>
      </c>
      <c r="X44" s="15"/>
    </row>
    <row r="45" customFormat="false" ht="15" hidden="false" customHeight="false" outlineLevel="0" collapsed="false">
      <c r="A45" s="15" t="s">
        <v>324</v>
      </c>
      <c r="B45" s="15" t="s">
        <v>90</v>
      </c>
      <c r="C45" s="16" t="str">
        <f aca="false">IF($B45="","",IFERROR(INDEX(Equipos!$C$3:$C$202,MATCH($B45,Equipos!$B$3:$B$202,0)),""))</f>
        <v>Emisiones</v>
      </c>
      <c r="D45" s="15" t="s">
        <v>91</v>
      </c>
      <c r="E45" s="15" t="s">
        <v>325</v>
      </c>
      <c r="F45" s="15" t="s">
        <v>272</v>
      </c>
      <c r="G45" s="15"/>
      <c r="H45" s="15" t="s">
        <v>326</v>
      </c>
      <c r="I45" s="15" t="s">
        <v>161</v>
      </c>
      <c r="J45" s="15" t="s">
        <v>162</v>
      </c>
      <c r="K45" s="15" t="s">
        <v>163</v>
      </c>
      <c r="L45" s="15" t="s">
        <v>243</v>
      </c>
      <c r="M45" s="15" t="s">
        <v>165</v>
      </c>
      <c r="N45" s="15" t="s">
        <v>166</v>
      </c>
      <c r="O45" s="30" t="n">
        <v>45937</v>
      </c>
      <c r="P45" s="31" t="n">
        <f aca="false">IF(OR($B45="",$I45="No",$O45=""),"",$O45+IFERROR(VLOOKUP($K45,Listas!$H$2:$I$4,2,0),365))</f>
        <v>46302</v>
      </c>
      <c r="Q45" s="16" t="str">
        <f aca="true">IF($B45="","",IF($I45="No","NO APLICA",IF($P45="","SIN REGISTRO",IF($P45&lt;TODAY(),"VENCIDO",IF($P45&lt;=TODAY()+60,"POR VENCER","VIGENTE")))))</f>
        <v>VIGENTE</v>
      </c>
      <c r="R45" s="15"/>
      <c r="S45" s="15"/>
      <c r="T45" s="15"/>
      <c r="U45" s="15"/>
      <c r="V45" s="15" t="s">
        <v>153</v>
      </c>
      <c r="W45" s="15" t="s">
        <v>161</v>
      </c>
      <c r="X45" s="15"/>
    </row>
    <row r="46" customFormat="false" ht="15" hidden="false" customHeight="false" outlineLevel="0" collapsed="false">
      <c r="A46" s="15" t="s">
        <v>327</v>
      </c>
      <c r="B46" s="15" t="s">
        <v>90</v>
      </c>
      <c r="C46" s="16" t="str">
        <f aca="false">IF($B46="","",IFERROR(INDEX(Equipos!$C$3:$C$202,MATCH($B46,Equipos!$B$3:$B$202,0)),""))</f>
        <v>Emisiones</v>
      </c>
      <c r="D46" s="15" t="s">
        <v>91</v>
      </c>
      <c r="E46" s="15" t="s">
        <v>325</v>
      </c>
      <c r="F46" s="15" t="s">
        <v>276</v>
      </c>
      <c r="G46" s="15"/>
      <c r="H46" s="15"/>
      <c r="I46" s="15" t="s">
        <v>161</v>
      </c>
      <c r="J46" s="15" t="s">
        <v>162</v>
      </c>
      <c r="K46" s="15" t="s">
        <v>163</v>
      </c>
      <c r="L46" s="15" t="s">
        <v>243</v>
      </c>
      <c r="M46" s="15" t="s">
        <v>165</v>
      </c>
      <c r="N46" s="15" t="s">
        <v>166</v>
      </c>
      <c r="O46" s="30" t="n">
        <v>45937</v>
      </c>
      <c r="P46" s="31" t="n">
        <f aca="false">IF(OR($B46="",$I46="No",$O46=""),"",$O46+IFERROR(VLOOKUP($K46,Listas!$H$2:$I$4,2,0),365))</f>
        <v>46302</v>
      </c>
      <c r="Q46" s="16" t="str">
        <f aca="true">IF($B46="","",IF($I46="No","NO APLICA",IF($P46="","SIN REGISTRO",IF($P46&lt;TODAY(),"VENCIDO",IF($P46&lt;=TODAY()+60,"POR VENCER","VIGENTE")))))</f>
        <v>VIGENTE</v>
      </c>
      <c r="R46" s="15"/>
      <c r="S46" s="15"/>
      <c r="T46" s="15"/>
      <c r="U46" s="15"/>
      <c r="V46" s="15" t="s">
        <v>153</v>
      </c>
      <c r="W46" s="15" t="s">
        <v>161</v>
      </c>
      <c r="X46" s="15"/>
    </row>
    <row r="47" customFormat="false" ht="15" hidden="false" customHeight="false" outlineLevel="0" collapsed="false">
      <c r="A47" s="15" t="s">
        <v>328</v>
      </c>
      <c r="B47" s="15" t="s">
        <v>90</v>
      </c>
      <c r="C47" s="16" t="str">
        <f aca="false">IF($B47="","",IFERROR(INDEX(Equipos!$C$3:$C$202,MATCH($B47,Equipos!$B$3:$B$202,0)),""))</f>
        <v>Emisiones</v>
      </c>
      <c r="D47" s="15" t="s">
        <v>91</v>
      </c>
      <c r="E47" s="15" t="s">
        <v>329</v>
      </c>
      <c r="F47" s="15" t="s">
        <v>272</v>
      </c>
      <c r="G47" s="15"/>
      <c r="H47" s="15"/>
      <c r="I47" s="15" t="s">
        <v>161</v>
      </c>
      <c r="J47" s="15" t="s">
        <v>162</v>
      </c>
      <c r="K47" s="15" t="s">
        <v>163</v>
      </c>
      <c r="L47" s="15" t="s">
        <v>243</v>
      </c>
      <c r="M47" s="15" t="s">
        <v>165</v>
      </c>
      <c r="N47" s="15" t="s">
        <v>166</v>
      </c>
      <c r="O47" s="30" t="n">
        <v>45937</v>
      </c>
      <c r="P47" s="31" t="n">
        <f aca="false">IF(OR($B47="",$I47="No",$O47=""),"",$O47+IFERROR(VLOOKUP($K47,Listas!$H$2:$I$4,2,0),365))</f>
        <v>46302</v>
      </c>
      <c r="Q47" s="16" t="str">
        <f aca="true">IF($B47="","",IF($I47="No","NO APLICA",IF($P47="","SIN REGISTRO",IF($P47&lt;TODAY(),"VENCIDO",IF($P47&lt;=TODAY()+60,"POR VENCER","VIGENTE")))))</f>
        <v>VIGENTE</v>
      </c>
      <c r="R47" s="15"/>
      <c r="S47" s="15"/>
      <c r="T47" s="15"/>
      <c r="U47" s="15"/>
      <c r="V47" s="15" t="s">
        <v>153</v>
      </c>
      <c r="W47" s="15" t="s">
        <v>161</v>
      </c>
      <c r="X47" s="15"/>
    </row>
    <row r="48" customFormat="false" ht="15" hidden="false" customHeight="false" outlineLevel="0" collapsed="false">
      <c r="A48" s="15" t="s">
        <v>330</v>
      </c>
      <c r="B48" s="15" t="s">
        <v>90</v>
      </c>
      <c r="C48" s="16" t="str">
        <f aca="false">IF($B48="","",IFERROR(INDEX(Equipos!$C$3:$C$202,MATCH($B48,Equipos!$B$3:$B$202,0)),""))</f>
        <v>Emisiones</v>
      </c>
      <c r="D48" s="15" t="s">
        <v>91</v>
      </c>
      <c r="E48" s="15" t="s">
        <v>329</v>
      </c>
      <c r="F48" s="15" t="s">
        <v>276</v>
      </c>
      <c r="G48" s="15"/>
      <c r="H48" s="15"/>
      <c r="I48" s="15" t="s">
        <v>161</v>
      </c>
      <c r="J48" s="15" t="s">
        <v>162</v>
      </c>
      <c r="K48" s="15" t="s">
        <v>163</v>
      </c>
      <c r="L48" s="15" t="s">
        <v>243</v>
      </c>
      <c r="M48" s="15" t="s">
        <v>165</v>
      </c>
      <c r="N48" s="15" t="s">
        <v>166</v>
      </c>
      <c r="O48" s="30" t="n">
        <v>45937</v>
      </c>
      <c r="P48" s="31" t="n">
        <f aca="false">IF(OR($B48="",$I48="No",$O48=""),"",$O48+IFERROR(VLOOKUP($K48,Listas!$H$2:$I$4,2,0),365))</f>
        <v>46302</v>
      </c>
      <c r="Q48" s="16" t="str">
        <f aca="true">IF($B48="","",IF($I48="No","NO APLICA",IF($P48="","SIN REGISTRO",IF($P48&lt;TODAY(),"VENCIDO",IF($P48&lt;=TODAY()+60,"POR VENCER","VIGENTE")))))</f>
        <v>VIGENTE</v>
      </c>
      <c r="R48" s="15"/>
      <c r="S48" s="15"/>
      <c r="T48" s="15"/>
      <c r="U48" s="15"/>
      <c r="V48" s="15" t="s">
        <v>153</v>
      </c>
      <c r="W48" s="15" t="s">
        <v>161</v>
      </c>
      <c r="X48" s="15"/>
    </row>
    <row r="49" customFormat="false" ht="15" hidden="false" customHeight="false" outlineLevel="0" collapsed="false">
      <c r="A49" s="15" t="s">
        <v>331</v>
      </c>
      <c r="B49" s="15" t="s">
        <v>32</v>
      </c>
      <c r="C49" s="16" t="str">
        <f aca="false">IF($B49="","",IFERROR(INDEX(Equipos!$C$3:$C$202,MATCH($B49,Equipos!$B$3:$B$202,0)),""))</f>
        <v>Emisiones</v>
      </c>
      <c r="D49" s="15" t="s">
        <v>93</v>
      </c>
      <c r="E49" s="15" t="s">
        <v>147</v>
      </c>
      <c r="F49" s="15" t="s">
        <v>332</v>
      </c>
      <c r="G49" s="15" t="s">
        <v>333</v>
      </c>
      <c r="H49" s="15" t="s">
        <v>334</v>
      </c>
      <c r="I49" s="15" t="s">
        <v>161</v>
      </c>
      <c r="J49" s="15" t="s">
        <v>162</v>
      </c>
      <c r="K49" s="15" t="s">
        <v>163</v>
      </c>
      <c r="L49" s="15" t="s">
        <v>243</v>
      </c>
      <c r="M49" s="15" t="s">
        <v>165</v>
      </c>
      <c r="N49" s="15" t="s">
        <v>166</v>
      </c>
      <c r="O49" s="30" t="n">
        <v>45937</v>
      </c>
      <c r="P49" s="31" t="n">
        <f aca="false">IF(OR($B49="",$I49="No",$O49=""),"",$O49+IFERROR(VLOOKUP($K49,Listas!$H$2:$I$4,2,0),365))</f>
        <v>46302</v>
      </c>
      <c r="Q49" s="16" t="str">
        <f aca="true">IF($B49="","",IF($I49="No","NO APLICA",IF($P49="","SIN REGISTRO",IF($P49&lt;TODAY(),"VENCIDO",IF($P49&lt;=TODAY()+60,"POR VENCER","VIGENTE")))))</f>
        <v>VIGENTE</v>
      </c>
      <c r="R49" s="15"/>
      <c r="S49" s="15"/>
      <c r="T49" s="15"/>
      <c r="U49" s="15"/>
      <c r="V49" s="15" t="s">
        <v>335</v>
      </c>
      <c r="W49" s="15" t="s">
        <v>161</v>
      </c>
      <c r="X49" s="15"/>
    </row>
    <row r="50" customFormat="false" ht="15" hidden="false" customHeight="false" outlineLevel="0" collapsed="false">
      <c r="A50" s="15" t="s">
        <v>336</v>
      </c>
      <c r="B50" s="15" t="s">
        <v>32</v>
      </c>
      <c r="C50" s="16" t="str">
        <f aca="false">IF($B50="","",IFERROR(INDEX(Equipos!$C$3:$C$202,MATCH($B50,Equipos!$B$3:$B$202,0)),""))</f>
        <v>Emisiones</v>
      </c>
      <c r="D50" s="15" t="s">
        <v>337</v>
      </c>
      <c r="E50" s="15" t="s">
        <v>338</v>
      </c>
      <c r="F50" s="15" t="s">
        <v>339</v>
      </c>
      <c r="G50" s="15" t="s">
        <v>340</v>
      </c>
      <c r="H50" s="15" t="s">
        <v>341</v>
      </c>
      <c r="I50" s="15" t="s">
        <v>161</v>
      </c>
      <c r="J50" s="15" t="s">
        <v>162</v>
      </c>
      <c r="K50" s="15" t="s">
        <v>163</v>
      </c>
      <c r="L50" s="15" t="s">
        <v>243</v>
      </c>
      <c r="M50" s="15" t="s">
        <v>165</v>
      </c>
      <c r="N50" s="15" t="s">
        <v>166</v>
      </c>
      <c r="O50" s="30" t="n">
        <v>45937</v>
      </c>
      <c r="P50" s="31" t="n">
        <f aca="false">IF(OR($B50="",$I50="No",$O50=""),"",$O50+IFERROR(VLOOKUP($K50,Listas!$H$2:$I$4,2,0),365))</f>
        <v>46302</v>
      </c>
      <c r="Q50" s="16" t="str">
        <f aca="true">IF($B50="","",IF($I50="No","NO APLICA",IF($P50="","SIN REGISTRO",IF($P50&lt;TODAY(),"VENCIDO",IF($P50&lt;=TODAY()+60,"POR VENCER","VIGENTE")))))</f>
        <v>VIGENTE</v>
      </c>
      <c r="R50" s="15"/>
      <c r="S50" s="15"/>
      <c r="T50" s="15"/>
      <c r="U50" s="15"/>
      <c r="V50" s="15" t="s">
        <v>342</v>
      </c>
      <c r="W50" s="15" t="s">
        <v>161</v>
      </c>
      <c r="X50" s="15"/>
    </row>
    <row r="51" customFormat="false" ht="15" hidden="false" customHeight="false" outlineLevel="0" collapsed="false">
      <c r="A51" s="15" t="s">
        <v>343</v>
      </c>
      <c r="B51" s="15" t="s">
        <v>32</v>
      </c>
      <c r="C51" s="16" t="str">
        <f aca="false">IF($B51="","",IFERROR(INDEX(Equipos!$C$3:$C$202,MATCH($B51,Equipos!$B$3:$B$202,0)),""))</f>
        <v>Emisiones</v>
      </c>
      <c r="D51" s="15" t="s">
        <v>344</v>
      </c>
      <c r="E51" s="15" t="s">
        <v>147</v>
      </c>
      <c r="F51" s="15" t="s">
        <v>345</v>
      </c>
      <c r="G51" s="15"/>
      <c r="H51" s="15"/>
      <c r="I51" s="15" t="s">
        <v>149</v>
      </c>
      <c r="J51" s="15"/>
      <c r="K51" s="15"/>
      <c r="L51" s="15"/>
      <c r="M51" s="15"/>
      <c r="N51" s="15"/>
      <c r="O51" s="30"/>
      <c r="P51" s="31" t="str">
        <f aca="false">IF(OR($B51="",$I51="No",$O51=""),"",$O51+IFERROR(VLOOKUP($K51,Listas!$H$2:$I$4,2,0),365))</f>
        <v/>
      </c>
      <c r="Q51" s="16" t="str">
        <f aca="true">IF($B51="","",IF($I51="No","NO APLICA",IF($P51="","SIN REGISTRO",IF($P51&lt;TODAY(),"VENCIDO",IF($P51&lt;=TODAY()+60,"POR VENCER","VIGENTE")))))</f>
        <v>NO APLICA</v>
      </c>
      <c r="R51" s="15"/>
      <c r="S51" s="15"/>
      <c r="T51" s="15"/>
      <c r="U51" s="15"/>
      <c r="V51" s="15" t="s">
        <v>335</v>
      </c>
      <c r="W51" s="15" t="s">
        <v>149</v>
      </c>
      <c r="X51" s="15"/>
    </row>
    <row r="52" customFormat="false" ht="15" hidden="false" customHeight="false" outlineLevel="0" collapsed="false">
      <c r="A52" s="15"/>
      <c r="B52" s="15"/>
      <c r="C52" s="16" t="str">
        <f aca="false">IF($B52="","",IFERROR(INDEX(Equipos!$C$3:$C$202,MATCH($B52,Equipos!$B$3:$B$202,0)),""))</f>
        <v/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30"/>
      <c r="P52" s="31" t="str">
        <f aca="false">IF(OR($B52="",$I52="No",$O52=""),"",$O52+IFERROR(VLOOKUP($K52,Listas!$H$2:$I$4,2,0),365))</f>
        <v/>
      </c>
      <c r="Q52" s="16" t="str">
        <f aca="true">IF($B52="","",IF($I52="No","NO APLICA",IF($P52="","SIN REGISTRO",IF($P52&lt;TODAY(),"VENCIDO",IF($P52&lt;=TODAY()+60,"POR VENCER","VIGENTE")))))</f>
        <v/>
      </c>
      <c r="R52" s="15"/>
      <c r="S52" s="15"/>
      <c r="T52" s="15"/>
      <c r="U52" s="15"/>
      <c r="V52" s="15"/>
      <c r="W52" s="15"/>
      <c r="X52" s="15"/>
    </row>
    <row r="53" customFormat="false" ht="15" hidden="false" customHeight="false" outlineLevel="0" collapsed="false">
      <c r="A53" s="15"/>
      <c r="B53" s="15"/>
      <c r="C53" s="16" t="str">
        <f aca="false">IF($B53="","",IFERROR(INDEX(Equipos!$C$3:$C$202,MATCH($B53,Equipos!$B$3:$B$202,0)),""))</f>
        <v/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30"/>
      <c r="P53" s="31" t="str">
        <f aca="false">IF(OR($B53="",$I53="No",$O53=""),"",$O53+IFERROR(VLOOKUP($K53,Listas!$H$2:$I$4,2,0),365))</f>
        <v/>
      </c>
      <c r="Q53" s="16" t="str">
        <f aca="true">IF($B53="","",IF($I53="No","NO APLICA",IF($P53="","SIN REGISTRO",IF($P53&lt;TODAY(),"VENCIDO",IF($P53&lt;=TODAY()+60,"POR VENCER","VIGENTE")))))</f>
        <v/>
      </c>
      <c r="R53" s="15"/>
      <c r="S53" s="15"/>
      <c r="T53" s="15"/>
      <c r="U53" s="15"/>
      <c r="V53" s="15"/>
      <c r="W53" s="15"/>
      <c r="X53" s="15"/>
    </row>
    <row r="54" customFormat="false" ht="15" hidden="false" customHeight="false" outlineLevel="0" collapsed="false">
      <c r="A54" s="15"/>
      <c r="B54" s="15"/>
      <c r="C54" s="16" t="str">
        <f aca="false">IF($B54="","",IFERROR(INDEX(Equipos!$C$3:$C$202,MATCH($B54,Equipos!$B$3:$B$202,0)),""))</f>
        <v/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30"/>
      <c r="P54" s="31" t="str">
        <f aca="false">IF(OR($B54="",$I54="No",$O54=""),"",$O54+IFERROR(VLOOKUP($K54,Listas!$H$2:$I$4,2,0),365))</f>
        <v/>
      </c>
      <c r="Q54" s="16" t="str">
        <f aca="true">IF($B54="","",IF($I54="No","NO APLICA",IF($P54="","SIN REGISTRO",IF($P54&lt;TODAY(),"VENCIDO",IF($P54&lt;=TODAY()+60,"POR VENCER","VIGENTE")))))</f>
        <v/>
      </c>
      <c r="R54" s="15"/>
      <c r="S54" s="15"/>
      <c r="T54" s="15"/>
      <c r="U54" s="15"/>
      <c r="V54" s="15"/>
      <c r="W54" s="15"/>
      <c r="X54" s="15"/>
    </row>
    <row r="55" customFormat="false" ht="15" hidden="false" customHeight="false" outlineLevel="0" collapsed="false">
      <c r="A55" s="15"/>
      <c r="B55" s="15"/>
      <c r="C55" s="16" t="str">
        <f aca="false">IF($B55="","",IFERROR(INDEX(Equipos!$C$3:$C$202,MATCH($B55,Equipos!$B$3:$B$202,0)),""))</f>
        <v/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30"/>
      <c r="P55" s="31" t="str">
        <f aca="false">IF(OR($B55="",$I55="No",$O55=""),"",$O55+IFERROR(VLOOKUP($K55,Listas!$H$2:$I$4,2,0),365))</f>
        <v/>
      </c>
      <c r="Q55" s="16" t="str">
        <f aca="true">IF($B55="","",IF($I55="No","NO APLICA",IF($P55="","SIN REGISTRO",IF($P55&lt;TODAY(),"VENCIDO",IF($P55&lt;=TODAY()+60,"POR VENCER","VIGENTE")))))</f>
        <v/>
      </c>
      <c r="R55" s="15"/>
      <c r="S55" s="15"/>
      <c r="T55" s="15"/>
      <c r="U55" s="15"/>
      <c r="V55" s="15"/>
      <c r="W55" s="15"/>
      <c r="X55" s="15"/>
    </row>
    <row r="56" customFormat="false" ht="15" hidden="false" customHeight="false" outlineLevel="0" collapsed="false">
      <c r="A56" s="15"/>
      <c r="B56" s="15"/>
      <c r="C56" s="16" t="str">
        <f aca="false">IF($B56="","",IFERROR(INDEX(Equipos!$C$3:$C$202,MATCH($B56,Equipos!$B$3:$B$202,0)),""))</f>
        <v/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30"/>
      <c r="P56" s="31" t="str">
        <f aca="false">IF(OR($B56="",$I56="No",$O56=""),"",$O56+IFERROR(VLOOKUP($K56,Listas!$H$2:$I$4,2,0),365))</f>
        <v/>
      </c>
      <c r="Q56" s="16" t="str">
        <f aca="true">IF($B56="","",IF($I56="No","NO APLICA",IF($P56="","SIN REGISTRO",IF($P56&lt;TODAY(),"VENCIDO",IF($P56&lt;=TODAY()+60,"POR VENCER","VIGENTE")))))</f>
        <v/>
      </c>
      <c r="R56" s="15"/>
      <c r="S56" s="15"/>
      <c r="T56" s="15"/>
      <c r="U56" s="15"/>
      <c r="V56" s="15"/>
      <c r="W56" s="15"/>
      <c r="X56" s="15"/>
    </row>
    <row r="57" customFormat="false" ht="15" hidden="false" customHeight="false" outlineLevel="0" collapsed="false">
      <c r="A57" s="15"/>
      <c r="B57" s="15"/>
      <c r="C57" s="16" t="str">
        <f aca="false">IF($B57="","",IFERROR(INDEX(Equipos!$C$3:$C$202,MATCH($B57,Equipos!$B$3:$B$202,0)),""))</f>
        <v/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30"/>
      <c r="P57" s="31" t="str">
        <f aca="false">IF(OR($B57="",$I57="No",$O57=""),"",$O57+IFERROR(VLOOKUP($K57,Listas!$H$2:$I$4,2,0),365))</f>
        <v/>
      </c>
      <c r="Q57" s="16" t="str">
        <f aca="true">IF($B57="","",IF($I57="No","NO APLICA",IF($P57="","SIN REGISTRO",IF($P57&lt;TODAY(),"VENCIDO",IF($P57&lt;=TODAY()+60,"POR VENCER","VIGENTE")))))</f>
        <v/>
      </c>
      <c r="R57" s="15"/>
      <c r="S57" s="15"/>
      <c r="T57" s="15"/>
      <c r="U57" s="15"/>
      <c r="V57" s="15"/>
      <c r="W57" s="15"/>
      <c r="X57" s="15"/>
    </row>
    <row r="58" customFormat="false" ht="15" hidden="false" customHeight="false" outlineLevel="0" collapsed="false">
      <c r="A58" s="15"/>
      <c r="B58" s="15"/>
      <c r="C58" s="16" t="str">
        <f aca="false">IF($B58="","",IFERROR(INDEX(Equipos!$C$3:$C$202,MATCH($B58,Equipos!$B$3:$B$202,0)),""))</f>
        <v/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30"/>
      <c r="P58" s="31" t="str">
        <f aca="false">IF(OR($B58="",$I58="No",$O58=""),"",$O58+IFERROR(VLOOKUP($K58,Listas!$H$2:$I$4,2,0),365))</f>
        <v/>
      </c>
      <c r="Q58" s="16" t="str">
        <f aca="true">IF($B58="","",IF($I58="No","NO APLICA",IF($P58="","SIN REGISTRO",IF($P58&lt;TODAY(),"VENCIDO",IF($P58&lt;=TODAY()+60,"POR VENCER","VIGENTE")))))</f>
        <v/>
      </c>
      <c r="R58" s="15"/>
      <c r="S58" s="15"/>
      <c r="T58" s="15"/>
      <c r="U58" s="15"/>
      <c r="V58" s="15"/>
      <c r="W58" s="15"/>
      <c r="X58" s="15"/>
    </row>
    <row r="59" customFormat="false" ht="15" hidden="false" customHeight="false" outlineLevel="0" collapsed="false">
      <c r="A59" s="15"/>
      <c r="B59" s="15"/>
      <c r="C59" s="16" t="str">
        <f aca="false">IF($B59="","",IFERROR(INDEX(Equipos!$C$3:$C$202,MATCH($B59,Equipos!$B$3:$B$202,0)),""))</f>
        <v/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30"/>
      <c r="P59" s="31" t="str">
        <f aca="false">IF(OR($B59="",$I59="No",$O59=""),"",$O59+IFERROR(VLOOKUP($K59,Listas!$H$2:$I$4,2,0),365))</f>
        <v/>
      </c>
      <c r="Q59" s="16" t="str">
        <f aca="true">IF($B59="","",IF($I59="No","NO APLICA",IF($P59="","SIN REGISTRO",IF($P59&lt;TODAY(),"VENCIDO",IF($P59&lt;=TODAY()+60,"POR VENCER","VIGENTE")))))</f>
        <v/>
      </c>
      <c r="R59" s="15"/>
      <c r="S59" s="15"/>
      <c r="T59" s="15"/>
      <c r="U59" s="15"/>
      <c r="V59" s="15"/>
      <c r="W59" s="15"/>
      <c r="X59" s="15"/>
    </row>
    <row r="60" customFormat="false" ht="15" hidden="false" customHeight="false" outlineLevel="0" collapsed="false">
      <c r="A60" s="15"/>
      <c r="B60" s="15"/>
      <c r="C60" s="16" t="str">
        <f aca="false">IF($B60="","",IFERROR(INDEX(Equipos!$C$3:$C$202,MATCH($B60,Equipos!$B$3:$B$202,0)),""))</f>
        <v/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30"/>
      <c r="P60" s="31" t="str">
        <f aca="false">IF(OR($B60="",$I60="No",$O60=""),"",$O60+IFERROR(VLOOKUP($K60,Listas!$H$2:$I$4,2,0),365))</f>
        <v/>
      </c>
      <c r="Q60" s="16" t="str">
        <f aca="true">IF($B60="","",IF($I60="No","NO APLICA",IF($P60="","SIN REGISTRO",IF($P60&lt;TODAY(),"VENCIDO",IF($P60&lt;=TODAY()+60,"POR VENCER","VIGENTE")))))</f>
        <v/>
      </c>
      <c r="R60" s="15"/>
      <c r="S60" s="15"/>
      <c r="T60" s="15"/>
      <c r="U60" s="15"/>
      <c r="V60" s="15"/>
      <c r="W60" s="15"/>
      <c r="X60" s="15"/>
    </row>
    <row r="61" customFormat="false" ht="15" hidden="false" customHeight="false" outlineLevel="0" collapsed="false">
      <c r="A61" s="15"/>
      <c r="B61" s="15"/>
      <c r="C61" s="16" t="str">
        <f aca="false">IF($B61="","",IFERROR(INDEX(Equipos!$C$3:$C$202,MATCH($B61,Equipos!$B$3:$B$202,0)),""))</f>
        <v/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30"/>
      <c r="P61" s="31" t="str">
        <f aca="false">IF(OR($B61="",$I61="No",$O61=""),"",$O61+IFERROR(VLOOKUP($K61,Listas!$H$2:$I$4,2,0),365))</f>
        <v/>
      </c>
      <c r="Q61" s="16" t="str">
        <f aca="true">IF($B61="","",IF($I61="No","NO APLICA",IF($P61="","SIN REGISTRO",IF($P61&lt;TODAY(),"VENCIDO",IF($P61&lt;=TODAY()+60,"POR VENCER","VIGENTE")))))</f>
        <v/>
      </c>
      <c r="R61" s="15"/>
      <c r="S61" s="15"/>
      <c r="T61" s="15"/>
      <c r="U61" s="15"/>
      <c r="V61" s="15"/>
      <c r="W61" s="15"/>
      <c r="X61" s="15"/>
    </row>
    <row r="62" customFormat="false" ht="15" hidden="false" customHeight="false" outlineLevel="0" collapsed="false">
      <c r="A62" s="15"/>
      <c r="B62" s="15"/>
      <c r="C62" s="16" t="str">
        <f aca="false">IF($B62="","",IFERROR(INDEX(Equipos!$C$3:$C$202,MATCH($B62,Equipos!$B$3:$B$202,0)),""))</f>
        <v/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30"/>
      <c r="P62" s="31" t="str">
        <f aca="false">IF(OR($B62="",$I62="No",$O62=""),"",$O62+IFERROR(VLOOKUP($K62,Listas!$H$2:$I$4,2,0),365))</f>
        <v/>
      </c>
      <c r="Q62" s="16" t="str">
        <f aca="true">IF($B62="","",IF($I62="No","NO APLICA",IF($P62="","SIN REGISTRO",IF($P62&lt;TODAY(),"VENCIDO",IF($P62&lt;=TODAY()+60,"POR VENCER","VIGENTE")))))</f>
        <v/>
      </c>
      <c r="R62" s="15"/>
      <c r="S62" s="15"/>
      <c r="T62" s="15"/>
      <c r="U62" s="15"/>
      <c r="V62" s="15"/>
      <c r="W62" s="15"/>
      <c r="X62" s="15"/>
    </row>
    <row r="63" customFormat="false" ht="15" hidden="false" customHeight="false" outlineLevel="0" collapsed="false">
      <c r="A63" s="15"/>
      <c r="B63" s="15"/>
      <c r="C63" s="16" t="str">
        <f aca="false">IF($B63="","",IFERROR(INDEX(Equipos!$C$3:$C$202,MATCH($B63,Equipos!$B$3:$B$202,0)),""))</f>
        <v/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30"/>
      <c r="P63" s="31" t="str">
        <f aca="false">IF(OR($B63="",$I63="No",$O63=""),"",$O63+IFERROR(VLOOKUP($K63,Listas!$H$2:$I$4,2,0),365))</f>
        <v/>
      </c>
      <c r="Q63" s="16" t="str">
        <f aca="true">IF($B63="","",IF($I63="No","NO APLICA",IF($P63="","SIN REGISTRO",IF($P63&lt;TODAY(),"VENCIDO",IF($P63&lt;=TODAY()+60,"POR VENCER","VIGENTE")))))</f>
        <v/>
      </c>
      <c r="R63" s="15"/>
      <c r="S63" s="15"/>
      <c r="T63" s="15"/>
      <c r="U63" s="15"/>
      <c r="V63" s="15"/>
      <c r="W63" s="15"/>
      <c r="X63" s="15"/>
    </row>
    <row r="64" customFormat="false" ht="15" hidden="false" customHeight="false" outlineLevel="0" collapsed="false">
      <c r="A64" s="15"/>
      <c r="B64" s="15"/>
      <c r="C64" s="16" t="str">
        <f aca="false">IF($B64="","",IFERROR(INDEX(Equipos!$C$3:$C$202,MATCH($B64,Equipos!$B$3:$B$202,0)),""))</f>
        <v/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30"/>
      <c r="P64" s="31" t="str">
        <f aca="false">IF(OR($B64="",$I64="No",$O64=""),"",$O64+IFERROR(VLOOKUP($K64,Listas!$H$2:$I$4,2,0),365))</f>
        <v/>
      </c>
      <c r="Q64" s="16" t="str">
        <f aca="true">IF($B64="","",IF($I64="No","NO APLICA",IF($P64="","SIN REGISTRO",IF($P64&lt;TODAY(),"VENCIDO",IF($P64&lt;=TODAY()+60,"POR VENCER","VIGENTE")))))</f>
        <v/>
      </c>
      <c r="R64" s="15"/>
      <c r="S64" s="15"/>
      <c r="T64" s="15"/>
      <c r="U64" s="15"/>
      <c r="V64" s="15"/>
      <c r="W64" s="15"/>
      <c r="X64" s="15"/>
    </row>
    <row r="65" customFormat="false" ht="15" hidden="false" customHeight="false" outlineLevel="0" collapsed="false">
      <c r="A65" s="15"/>
      <c r="B65" s="15"/>
      <c r="C65" s="16" t="str">
        <f aca="false">IF($B65="","",IFERROR(INDEX(Equipos!$C$3:$C$202,MATCH($B65,Equipos!$B$3:$B$202,0)),""))</f>
        <v/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30"/>
      <c r="P65" s="31" t="str">
        <f aca="false">IF(OR($B65="",$I65="No",$O65=""),"",$O65+IFERROR(VLOOKUP($K65,Listas!$H$2:$I$4,2,0),365))</f>
        <v/>
      </c>
      <c r="Q65" s="16" t="str">
        <f aca="true">IF($B65="","",IF($I65="No","NO APLICA",IF($P65="","SIN REGISTRO",IF($P65&lt;TODAY(),"VENCIDO",IF($P65&lt;=TODAY()+60,"POR VENCER","VIGENTE")))))</f>
        <v/>
      </c>
      <c r="R65" s="15"/>
      <c r="S65" s="15"/>
      <c r="T65" s="15"/>
      <c r="U65" s="15"/>
      <c r="V65" s="15"/>
      <c r="W65" s="15"/>
      <c r="X65" s="15"/>
    </row>
    <row r="66" customFormat="false" ht="15" hidden="false" customHeight="false" outlineLevel="0" collapsed="false">
      <c r="A66" s="15"/>
      <c r="B66" s="15"/>
      <c r="C66" s="16" t="str">
        <f aca="false">IF($B66="","",IFERROR(INDEX(Equipos!$C$3:$C$202,MATCH($B66,Equipos!$B$3:$B$202,0)),""))</f>
        <v/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30"/>
      <c r="P66" s="31" t="str">
        <f aca="false">IF(OR($B66="",$I66="No",$O66=""),"",$O66+IFERROR(VLOOKUP($K66,Listas!$H$2:$I$4,2,0),365))</f>
        <v/>
      </c>
      <c r="Q66" s="16" t="str">
        <f aca="true">IF($B66="","",IF($I66="No","NO APLICA",IF($P66="","SIN REGISTRO",IF($P66&lt;TODAY(),"VENCIDO",IF($P66&lt;=TODAY()+60,"POR VENCER","VIGENTE")))))</f>
        <v/>
      </c>
      <c r="R66" s="15"/>
      <c r="S66" s="15"/>
      <c r="T66" s="15"/>
      <c r="U66" s="15"/>
      <c r="V66" s="15"/>
      <c r="W66" s="15"/>
      <c r="X66" s="15"/>
    </row>
    <row r="67" customFormat="false" ht="15" hidden="false" customHeight="false" outlineLevel="0" collapsed="false">
      <c r="A67" s="15"/>
      <c r="B67" s="15"/>
      <c r="C67" s="16" t="str">
        <f aca="false">IF($B67="","",IFERROR(INDEX(Equipos!$C$3:$C$202,MATCH($B67,Equipos!$B$3:$B$202,0)),""))</f>
        <v/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30"/>
      <c r="P67" s="31" t="str">
        <f aca="false">IF(OR($B67="",$I67="No",$O67=""),"",$O67+IFERROR(VLOOKUP($K67,Listas!$H$2:$I$4,2,0),365))</f>
        <v/>
      </c>
      <c r="Q67" s="16" t="str">
        <f aca="true">IF($B67="","",IF($I67="No","NO APLICA",IF($P67="","SIN REGISTRO",IF($P67&lt;TODAY(),"VENCIDO",IF($P67&lt;=TODAY()+60,"POR VENCER","VIGENTE")))))</f>
        <v/>
      </c>
      <c r="R67" s="15"/>
      <c r="S67" s="15"/>
      <c r="T67" s="15"/>
      <c r="U67" s="15"/>
      <c r="V67" s="15"/>
      <c r="W67" s="15"/>
      <c r="X67" s="15"/>
    </row>
    <row r="68" customFormat="false" ht="15" hidden="false" customHeight="false" outlineLevel="0" collapsed="false">
      <c r="A68" s="15"/>
      <c r="B68" s="15"/>
      <c r="C68" s="16" t="str">
        <f aca="false">IF($B68="","",IFERROR(INDEX(Equipos!$C$3:$C$202,MATCH($B68,Equipos!$B$3:$B$202,0)),""))</f>
        <v/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30"/>
      <c r="P68" s="31" t="str">
        <f aca="false">IF(OR($B68="",$I68="No",$O68=""),"",$O68+IFERROR(VLOOKUP($K68,Listas!$H$2:$I$4,2,0),365))</f>
        <v/>
      </c>
      <c r="Q68" s="16" t="str">
        <f aca="true">IF($B68="","",IF($I68="No","NO APLICA",IF($P68="","SIN REGISTRO",IF($P68&lt;TODAY(),"VENCIDO",IF($P68&lt;=TODAY()+60,"POR VENCER","VIGENTE")))))</f>
        <v/>
      </c>
      <c r="R68" s="15"/>
      <c r="S68" s="15"/>
      <c r="T68" s="15"/>
      <c r="U68" s="15"/>
      <c r="V68" s="15"/>
      <c r="W68" s="15"/>
      <c r="X68" s="15"/>
    </row>
    <row r="69" customFormat="false" ht="15" hidden="false" customHeight="false" outlineLevel="0" collapsed="false">
      <c r="A69" s="15"/>
      <c r="B69" s="15"/>
      <c r="C69" s="16" t="str">
        <f aca="false">IF($B69="","",IFERROR(INDEX(Equipos!$C$3:$C$202,MATCH($B69,Equipos!$B$3:$B$202,0)),""))</f>
        <v/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30"/>
      <c r="P69" s="31" t="str">
        <f aca="false">IF(OR($B69="",$I69="No",$O69=""),"",$O69+IFERROR(VLOOKUP($K69,Listas!$H$2:$I$4,2,0),365))</f>
        <v/>
      </c>
      <c r="Q69" s="16" t="str">
        <f aca="true">IF($B69="","",IF($I69="No","NO APLICA",IF($P69="","SIN REGISTRO",IF($P69&lt;TODAY(),"VENCIDO",IF($P69&lt;=TODAY()+60,"POR VENCER","VIGENTE")))))</f>
        <v/>
      </c>
      <c r="R69" s="15"/>
      <c r="S69" s="15"/>
      <c r="T69" s="15"/>
      <c r="U69" s="15"/>
      <c r="V69" s="15"/>
      <c r="W69" s="15"/>
      <c r="X69" s="15"/>
    </row>
    <row r="70" customFormat="false" ht="15" hidden="false" customHeight="false" outlineLevel="0" collapsed="false">
      <c r="A70" s="15"/>
      <c r="B70" s="15"/>
      <c r="C70" s="16" t="str">
        <f aca="false">IF($B70="","",IFERROR(INDEX(Equipos!$C$3:$C$202,MATCH($B70,Equipos!$B$3:$B$202,0)),""))</f>
        <v/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30"/>
      <c r="P70" s="31" t="str">
        <f aca="false">IF(OR($B70="",$I70="No",$O70=""),"",$O70+IFERROR(VLOOKUP($K70,Listas!$H$2:$I$4,2,0),365))</f>
        <v/>
      </c>
      <c r="Q70" s="16" t="str">
        <f aca="true">IF($B70="","",IF($I70="No","NO APLICA",IF($P70="","SIN REGISTRO",IF($P70&lt;TODAY(),"VENCIDO",IF($P70&lt;=TODAY()+60,"POR VENCER","VIGENTE")))))</f>
        <v/>
      </c>
      <c r="R70" s="15"/>
      <c r="S70" s="15"/>
      <c r="T70" s="15"/>
      <c r="U70" s="15"/>
      <c r="V70" s="15"/>
      <c r="W70" s="15"/>
      <c r="X70" s="15"/>
    </row>
    <row r="71" customFormat="false" ht="15" hidden="false" customHeight="false" outlineLevel="0" collapsed="false">
      <c r="A71" s="15"/>
      <c r="B71" s="15"/>
      <c r="C71" s="16" t="str">
        <f aca="false">IF($B71="","",IFERROR(INDEX(Equipos!$C$3:$C$202,MATCH($B71,Equipos!$B$3:$B$202,0)),""))</f>
        <v/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30"/>
      <c r="P71" s="31" t="str">
        <f aca="false">IF(OR($B71="",$I71="No",$O71=""),"",$O71+IFERROR(VLOOKUP($K71,Listas!$H$2:$I$4,2,0),365))</f>
        <v/>
      </c>
      <c r="Q71" s="16" t="str">
        <f aca="true">IF($B71="","",IF($I71="No","NO APLICA",IF($P71="","SIN REGISTRO",IF($P71&lt;TODAY(),"VENCIDO",IF($P71&lt;=TODAY()+60,"POR VENCER","VIGENTE")))))</f>
        <v/>
      </c>
      <c r="R71" s="15"/>
      <c r="S71" s="15"/>
      <c r="T71" s="15"/>
      <c r="U71" s="15"/>
      <c r="V71" s="15"/>
      <c r="W71" s="15"/>
      <c r="X71" s="15"/>
    </row>
    <row r="72" customFormat="false" ht="15" hidden="false" customHeight="false" outlineLevel="0" collapsed="false">
      <c r="A72" s="15"/>
      <c r="B72" s="15"/>
      <c r="C72" s="16" t="str">
        <f aca="false">IF($B72="","",IFERROR(INDEX(Equipos!$C$3:$C$202,MATCH($B72,Equipos!$B$3:$B$202,0)),""))</f>
        <v/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30"/>
      <c r="P72" s="31" t="str">
        <f aca="false">IF(OR($B72="",$I72="No",$O72=""),"",$O72+IFERROR(VLOOKUP($K72,Listas!$H$2:$I$4,2,0),365))</f>
        <v/>
      </c>
      <c r="Q72" s="16" t="str">
        <f aca="true">IF($B72="","",IF($I72="No","NO APLICA",IF($P72="","SIN REGISTRO",IF($P72&lt;TODAY(),"VENCIDO",IF($P72&lt;=TODAY()+60,"POR VENCER","VIGENTE")))))</f>
        <v/>
      </c>
      <c r="R72" s="15"/>
      <c r="S72" s="15"/>
      <c r="T72" s="15"/>
      <c r="U72" s="15"/>
      <c r="V72" s="15"/>
      <c r="W72" s="15"/>
      <c r="X72" s="15"/>
    </row>
    <row r="73" customFormat="false" ht="15" hidden="false" customHeight="false" outlineLevel="0" collapsed="false">
      <c r="A73" s="15"/>
      <c r="B73" s="15"/>
      <c r="C73" s="16" t="str">
        <f aca="false">IF($B73="","",IFERROR(INDEX(Equipos!$C$3:$C$202,MATCH($B73,Equipos!$B$3:$B$202,0)),""))</f>
        <v/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30"/>
      <c r="P73" s="31" t="str">
        <f aca="false">IF(OR($B73="",$I73="No",$O73=""),"",$O73+IFERROR(VLOOKUP($K73,Listas!$H$2:$I$4,2,0),365))</f>
        <v/>
      </c>
      <c r="Q73" s="16" t="str">
        <f aca="true">IF($B73="","",IF($I73="No","NO APLICA",IF($P73="","SIN REGISTRO",IF($P73&lt;TODAY(),"VENCIDO",IF($P73&lt;=TODAY()+60,"POR VENCER","VIGENTE")))))</f>
        <v/>
      </c>
      <c r="R73" s="15"/>
      <c r="S73" s="15"/>
      <c r="T73" s="15"/>
      <c r="U73" s="15"/>
      <c r="V73" s="15"/>
      <c r="W73" s="15"/>
      <c r="X73" s="15"/>
    </row>
    <row r="74" customFormat="false" ht="15" hidden="false" customHeight="false" outlineLevel="0" collapsed="false">
      <c r="A74" s="15"/>
      <c r="B74" s="15"/>
      <c r="C74" s="16" t="str">
        <f aca="false">IF($B74="","",IFERROR(INDEX(Equipos!$C$3:$C$202,MATCH($B74,Equipos!$B$3:$B$202,0)),""))</f>
        <v/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0"/>
      <c r="P74" s="31" t="str">
        <f aca="false">IF(OR($B74="",$I74="No",$O74=""),"",$O74+IFERROR(VLOOKUP($K74,Listas!$H$2:$I$4,2,0),365))</f>
        <v/>
      </c>
      <c r="Q74" s="16" t="str">
        <f aca="true">IF($B74="","",IF($I74="No","NO APLICA",IF($P74="","SIN REGISTRO",IF($P74&lt;TODAY(),"VENCIDO",IF($P74&lt;=TODAY()+60,"POR VENCER","VIGENTE")))))</f>
        <v/>
      </c>
      <c r="R74" s="15"/>
      <c r="S74" s="15"/>
      <c r="T74" s="15"/>
      <c r="U74" s="15"/>
      <c r="V74" s="15"/>
      <c r="W74" s="15"/>
      <c r="X74" s="15"/>
    </row>
    <row r="75" customFormat="false" ht="15" hidden="false" customHeight="false" outlineLevel="0" collapsed="false">
      <c r="A75" s="15"/>
      <c r="B75" s="15"/>
      <c r="C75" s="16" t="str">
        <f aca="false">IF($B75="","",IFERROR(INDEX(Equipos!$C$3:$C$202,MATCH($B75,Equipos!$B$3:$B$202,0)),""))</f>
        <v/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0"/>
      <c r="P75" s="31" t="str">
        <f aca="false">IF(OR($B75="",$I75="No",$O75=""),"",$O75+IFERROR(VLOOKUP($K75,Listas!$H$2:$I$4,2,0),365))</f>
        <v/>
      </c>
      <c r="Q75" s="16" t="str">
        <f aca="true">IF($B75="","",IF($I75="No","NO APLICA",IF($P75="","SIN REGISTRO",IF($P75&lt;TODAY(),"VENCIDO",IF($P75&lt;=TODAY()+60,"POR VENCER","VIGENTE")))))</f>
        <v/>
      </c>
      <c r="R75" s="15"/>
      <c r="S75" s="15"/>
      <c r="T75" s="15"/>
      <c r="U75" s="15"/>
      <c r="V75" s="15"/>
      <c r="W75" s="15"/>
      <c r="X75" s="15"/>
    </row>
    <row r="76" customFormat="false" ht="15" hidden="false" customHeight="false" outlineLevel="0" collapsed="false">
      <c r="A76" s="15"/>
      <c r="B76" s="15"/>
      <c r="C76" s="16" t="str">
        <f aca="false">IF($B76="","",IFERROR(INDEX(Equipos!$C$3:$C$202,MATCH($B76,Equipos!$B$3:$B$202,0)),""))</f>
        <v/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30"/>
      <c r="P76" s="31" t="str">
        <f aca="false">IF(OR($B76="",$I76="No",$O76=""),"",$O76+IFERROR(VLOOKUP($K76,Listas!$H$2:$I$4,2,0),365))</f>
        <v/>
      </c>
      <c r="Q76" s="16" t="str">
        <f aca="true">IF($B76="","",IF($I76="No","NO APLICA",IF($P76="","SIN REGISTRO",IF($P76&lt;TODAY(),"VENCIDO",IF($P76&lt;=TODAY()+60,"POR VENCER","VIGENTE")))))</f>
        <v/>
      </c>
      <c r="R76" s="15"/>
      <c r="S76" s="15"/>
      <c r="T76" s="15"/>
      <c r="U76" s="15"/>
      <c r="V76" s="15"/>
      <c r="W76" s="15"/>
      <c r="X76" s="15"/>
    </row>
    <row r="77" customFormat="false" ht="15" hidden="false" customHeight="false" outlineLevel="0" collapsed="false">
      <c r="A77" s="15"/>
      <c r="B77" s="15"/>
      <c r="C77" s="16" t="str">
        <f aca="false">IF($B77="","",IFERROR(INDEX(Equipos!$C$3:$C$202,MATCH($B77,Equipos!$B$3:$B$202,0)),""))</f>
        <v/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30"/>
      <c r="P77" s="31" t="str">
        <f aca="false">IF(OR($B77="",$I77="No",$O77=""),"",$O77+IFERROR(VLOOKUP($K77,Listas!$H$2:$I$4,2,0),365))</f>
        <v/>
      </c>
      <c r="Q77" s="16" t="str">
        <f aca="true">IF($B77="","",IF($I77="No","NO APLICA",IF($P77="","SIN REGISTRO",IF($P77&lt;TODAY(),"VENCIDO",IF($P77&lt;=TODAY()+60,"POR VENCER","VIGENTE")))))</f>
        <v/>
      </c>
      <c r="R77" s="15"/>
      <c r="S77" s="15"/>
      <c r="T77" s="15"/>
      <c r="U77" s="15"/>
      <c r="V77" s="15"/>
      <c r="W77" s="15"/>
      <c r="X77" s="15"/>
    </row>
    <row r="78" customFormat="false" ht="15" hidden="false" customHeight="false" outlineLevel="0" collapsed="false">
      <c r="A78" s="15"/>
      <c r="B78" s="15"/>
      <c r="C78" s="16" t="str">
        <f aca="false">IF($B78="","",IFERROR(INDEX(Equipos!$C$3:$C$202,MATCH($B78,Equipos!$B$3:$B$202,0)),""))</f>
        <v/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30"/>
      <c r="P78" s="31" t="str">
        <f aca="false">IF(OR($B78="",$I78="No",$O78=""),"",$O78+IFERROR(VLOOKUP($K78,Listas!$H$2:$I$4,2,0),365))</f>
        <v/>
      </c>
      <c r="Q78" s="16" t="str">
        <f aca="true">IF($B78="","",IF($I78="No","NO APLICA",IF($P78="","SIN REGISTRO",IF($P78&lt;TODAY(),"VENCIDO",IF($P78&lt;=TODAY()+60,"POR VENCER","VIGENTE")))))</f>
        <v/>
      </c>
      <c r="R78" s="15"/>
      <c r="S78" s="15"/>
      <c r="T78" s="15"/>
      <c r="U78" s="15"/>
      <c r="V78" s="15"/>
      <c r="W78" s="15"/>
      <c r="X78" s="15"/>
    </row>
    <row r="79" customFormat="false" ht="15" hidden="false" customHeight="false" outlineLevel="0" collapsed="false">
      <c r="A79" s="15"/>
      <c r="B79" s="15"/>
      <c r="C79" s="16" t="str">
        <f aca="false">IF($B79="","",IFERROR(INDEX(Equipos!$C$3:$C$202,MATCH($B79,Equipos!$B$3:$B$202,0)),""))</f>
        <v/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30"/>
      <c r="P79" s="31" t="str">
        <f aca="false">IF(OR($B79="",$I79="No",$O79=""),"",$O79+IFERROR(VLOOKUP($K79,Listas!$H$2:$I$4,2,0),365))</f>
        <v/>
      </c>
      <c r="Q79" s="16" t="str">
        <f aca="true">IF($B79="","",IF($I79="No","NO APLICA",IF($P79="","SIN REGISTRO",IF($P79&lt;TODAY(),"VENCIDO",IF($P79&lt;=TODAY()+60,"POR VENCER","VIGENTE")))))</f>
        <v/>
      </c>
      <c r="R79" s="15"/>
      <c r="S79" s="15"/>
      <c r="T79" s="15"/>
      <c r="U79" s="15"/>
      <c r="V79" s="15"/>
      <c r="W79" s="15"/>
      <c r="X79" s="15"/>
    </row>
    <row r="80" customFormat="false" ht="15" hidden="false" customHeight="false" outlineLevel="0" collapsed="false">
      <c r="A80" s="15"/>
      <c r="B80" s="15"/>
      <c r="C80" s="16" t="str">
        <f aca="false">IF($B80="","",IFERROR(INDEX(Equipos!$C$3:$C$202,MATCH($B80,Equipos!$B$3:$B$202,0)),""))</f>
        <v/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30"/>
      <c r="P80" s="31" t="str">
        <f aca="false">IF(OR($B80="",$I80="No",$O80=""),"",$O80+IFERROR(VLOOKUP($K80,Listas!$H$2:$I$4,2,0),365))</f>
        <v/>
      </c>
      <c r="Q80" s="16" t="str">
        <f aca="true">IF($B80="","",IF($I80="No","NO APLICA",IF($P80="","SIN REGISTRO",IF($P80&lt;TODAY(),"VENCIDO",IF($P80&lt;=TODAY()+60,"POR VENCER","VIGENTE")))))</f>
        <v/>
      </c>
      <c r="R80" s="15"/>
      <c r="S80" s="15"/>
      <c r="T80" s="15"/>
      <c r="U80" s="15"/>
      <c r="V80" s="15"/>
      <c r="W80" s="15"/>
      <c r="X80" s="15"/>
    </row>
    <row r="81" customFormat="false" ht="15" hidden="false" customHeight="false" outlineLevel="0" collapsed="false">
      <c r="A81" s="15"/>
      <c r="B81" s="15"/>
      <c r="C81" s="16" t="str">
        <f aca="false">IF($B81="","",IFERROR(INDEX(Equipos!$C$3:$C$202,MATCH($B81,Equipos!$B$3:$B$202,0)),""))</f>
        <v/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30"/>
      <c r="P81" s="31" t="str">
        <f aca="false">IF(OR($B81="",$I81="No",$O81=""),"",$O81+IFERROR(VLOOKUP($K81,Listas!$H$2:$I$4,2,0),365))</f>
        <v/>
      </c>
      <c r="Q81" s="16" t="str">
        <f aca="true">IF($B81="","",IF($I81="No","NO APLICA",IF($P81="","SIN REGISTRO",IF($P81&lt;TODAY(),"VENCIDO",IF($P81&lt;=TODAY()+60,"POR VENCER","VIGENTE")))))</f>
        <v/>
      </c>
      <c r="R81" s="15"/>
      <c r="S81" s="15"/>
      <c r="T81" s="15"/>
      <c r="U81" s="15"/>
      <c r="V81" s="15"/>
      <c r="W81" s="15"/>
      <c r="X81" s="15"/>
    </row>
    <row r="82" customFormat="false" ht="15" hidden="false" customHeight="false" outlineLevel="0" collapsed="false">
      <c r="A82" s="15"/>
      <c r="B82" s="15"/>
      <c r="C82" s="16" t="str">
        <f aca="false">IF($B82="","",IFERROR(INDEX(Equipos!$C$3:$C$202,MATCH($B82,Equipos!$B$3:$B$202,0)),""))</f>
        <v/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30"/>
      <c r="P82" s="31" t="str">
        <f aca="false">IF(OR($B82="",$I82="No",$O82=""),"",$O82+IFERROR(VLOOKUP($K82,Listas!$H$2:$I$4,2,0),365))</f>
        <v/>
      </c>
      <c r="Q82" s="16" t="str">
        <f aca="true">IF($B82="","",IF($I82="No","NO APLICA",IF($P82="","SIN REGISTRO",IF($P82&lt;TODAY(),"VENCIDO",IF($P82&lt;=TODAY()+60,"POR VENCER","VIGENTE")))))</f>
        <v/>
      </c>
      <c r="R82" s="15"/>
      <c r="S82" s="15"/>
      <c r="T82" s="15"/>
      <c r="U82" s="15"/>
      <c r="V82" s="15"/>
      <c r="W82" s="15"/>
      <c r="X82" s="15"/>
    </row>
    <row r="83" customFormat="false" ht="15" hidden="false" customHeight="false" outlineLevel="0" collapsed="false">
      <c r="A83" s="15"/>
      <c r="B83" s="15"/>
      <c r="C83" s="16" t="str">
        <f aca="false">IF($B83="","",IFERROR(INDEX(Equipos!$C$3:$C$202,MATCH($B83,Equipos!$B$3:$B$202,0)),""))</f>
        <v/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30"/>
      <c r="P83" s="31" t="str">
        <f aca="false">IF(OR($B83="",$I83="No",$O83=""),"",$O83+IFERROR(VLOOKUP($K83,Listas!$H$2:$I$4,2,0),365))</f>
        <v/>
      </c>
      <c r="Q83" s="16" t="str">
        <f aca="true">IF($B83="","",IF($I83="No","NO APLICA",IF($P83="","SIN REGISTRO",IF($P83&lt;TODAY(),"VENCIDO",IF($P83&lt;=TODAY()+60,"POR VENCER","VIGENTE")))))</f>
        <v/>
      </c>
      <c r="R83" s="15"/>
      <c r="S83" s="15"/>
      <c r="T83" s="15"/>
      <c r="U83" s="15"/>
      <c r="V83" s="15"/>
      <c r="W83" s="15"/>
      <c r="X83" s="15"/>
    </row>
    <row r="84" customFormat="false" ht="15" hidden="false" customHeight="false" outlineLevel="0" collapsed="false">
      <c r="A84" s="15"/>
      <c r="B84" s="15"/>
      <c r="C84" s="16" t="str">
        <f aca="false">IF($B84="","",IFERROR(INDEX(Equipos!$C$3:$C$202,MATCH($B84,Equipos!$B$3:$B$202,0)),""))</f>
        <v/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30"/>
      <c r="P84" s="31" t="str">
        <f aca="false">IF(OR($B84="",$I84="No",$O84=""),"",$O84+IFERROR(VLOOKUP($K84,Listas!$H$2:$I$4,2,0),365))</f>
        <v/>
      </c>
      <c r="Q84" s="16" t="str">
        <f aca="true">IF($B84="","",IF($I84="No","NO APLICA",IF($P84="","SIN REGISTRO",IF($P84&lt;TODAY(),"VENCIDO",IF($P84&lt;=TODAY()+60,"POR VENCER","VIGENTE")))))</f>
        <v/>
      </c>
      <c r="R84" s="15"/>
      <c r="S84" s="15"/>
      <c r="T84" s="15"/>
      <c r="U84" s="15"/>
      <c r="V84" s="15"/>
      <c r="W84" s="15"/>
      <c r="X84" s="15"/>
    </row>
    <row r="85" customFormat="false" ht="15" hidden="false" customHeight="false" outlineLevel="0" collapsed="false">
      <c r="A85" s="15"/>
      <c r="B85" s="15"/>
      <c r="C85" s="16" t="str">
        <f aca="false">IF($B85="","",IFERROR(INDEX(Equipos!$C$3:$C$202,MATCH($B85,Equipos!$B$3:$B$202,0)),""))</f>
        <v/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30"/>
      <c r="P85" s="31" t="str">
        <f aca="false">IF(OR($B85="",$I85="No",$O85=""),"",$O85+IFERROR(VLOOKUP($K85,Listas!$H$2:$I$4,2,0),365))</f>
        <v/>
      </c>
      <c r="Q85" s="16" t="str">
        <f aca="true">IF($B85="","",IF($I85="No","NO APLICA",IF($P85="","SIN REGISTRO",IF($P85&lt;TODAY(),"VENCIDO",IF($P85&lt;=TODAY()+60,"POR VENCER","VIGENTE")))))</f>
        <v/>
      </c>
      <c r="R85" s="15"/>
      <c r="S85" s="15"/>
      <c r="T85" s="15"/>
      <c r="U85" s="15"/>
      <c r="V85" s="15"/>
      <c r="W85" s="15"/>
      <c r="X85" s="15"/>
    </row>
    <row r="86" customFormat="false" ht="15" hidden="false" customHeight="false" outlineLevel="0" collapsed="false">
      <c r="A86" s="15"/>
      <c r="B86" s="15"/>
      <c r="C86" s="16" t="str">
        <f aca="false">IF($B86="","",IFERROR(INDEX(Equipos!$C$3:$C$202,MATCH($B86,Equipos!$B$3:$B$202,0)),""))</f>
        <v/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30"/>
      <c r="P86" s="31" t="str">
        <f aca="false">IF(OR($B86="",$I86="No",$O86=""),"",$O86+IFERROR(VLOOKUP($K86,Listas!$H$2:$I$4,2,0),365))</f>
        <v/>
      </c>
      <c r="Q86" s="16" t="str">
        <f aca="true">IF($B86="","",IF($I86="No","NO APLICA",IF($P86="","SIN REGISTRO",IF($P86&lt;TODAY(),"VENCIDO",IF($P86&lt;=TODAY()+60,"POR VENCER","VIGENTE")))))</f>
        <v/>
      </c>
      <c r="R86" s="15"/>
      <c r="S86" s="15"/>
      <c r="T86" s="15"/>
      <c r="U86" s="15"/>
      <c r="V86" s="15"/>
      <c r="W86" s="15"/>
      <c r="X86" s="15"/>
    </row>
    <row r="87" customFormat="false" ht="15" hidden="false" customHeight="false" outlineLevel="0" collapsed="false">
      <c r="A87" s="15"/>
      <c r="B87" s="15"/>
      <c r="C87" s="16" t="str">
        <f aca="false">IF($B87="","",IFERROR(INDEX(Equipos!$C$3:$C$202,MATCH($B87,Equipos!$B$3:$B$202,0)),""))</f>
        <v/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30"/>
      <c r="P87" s="31" t="str">
        <f aca="false">IF(OR($B87="",$I87="No",$O87=""),"",$O87+IFERROR(VLOOKUP($K87,Listas!$H$2:$I$4,2,0),365))</f>
        <v/>
      </c>
      <c r="Q87" s="16" t="str">
        <f aca="true">IF($B87="","",IF($I87="No","NO APLICA",IF($P87="","SIN REGISTRO",IF($P87&lt;TODAY(),"VENCIDO",IF($P87&lt;=TODAY()+60,"POR VENCER","VIGENTE")))))</f>
        <v/>
      </c>
      <c r="R87" s="15"/>
      <c r="S87" s="15"/>
      <c r="T87" s="15"/>
      <c r="U87" s="15"/>
      <c r="V87" s="15"/>
      <c r="W87" s="15"/>
      <c r="X87" s="15"/>
    </row>
    <row r="88" customFormat="false" ht="15" hidden="false" customHeight="false" outlineLevel="0" collapsed="false">
      <c r="A88" s="15"/>
      <c r="B88" s="15"/>
      <c r="C88" s="16" t="str">
        <f aca="false">IF($B88="","",IFERROR(INDEX(Equipos!$C$3:$C$202,MATCH($B88,Equipos!$B$3:$B$202,0)),""))</f>
        <v/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30"/>
      <c r="P88" s="31" t="str">
        <f aca="false">IF(OR($B88="",$I88="No",$O88=""),"",$O88+IFERROR(VLOOKUP($K88,Listas!$H$2:$I$4,2,0),365))</f>
        <v/>
      </c>
      <c r="Q88" s="16" t="str">
        <f aca="true">IF($B88="","",IF($I88="No","NO APLICA",IF($P88="","SIN REGISTRO",IF($P88&lt;TODAY(),"VENCIDO",IF($P88&lt;=TODAY()+60,"POR VENCER","VIGENTE")))))</f>
        <v/>
      </c>
      <c r="R88" s="15"/>
      <c r="S88" s="15"/>
      <c r="T88" s="15"/>
      <c r="U88" s="15"/>
      <c r="V88" s="15"/>
      <c r="W88" s="15"/>
      <c r="X88" s="15"/>
    </row>
    <row r="89" customFormat="false" ht="15" hidden="false" customHeight="false" outlineLevel="0" collapsed="false">
      <c r="A89" s="15"/>
      <c r="B89" s="15"/>
      <c r="C89" s="16" t="str">
        <f aca="false">IF($B89="","",IFERROR(INDEX(Equipos!$C$3:$C$202,MATCH($B89,Equipos!$B$3:$B$202,0)),""))</f>
        <v/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30"/>
      <c r="P89" s="31" t="str">
        <f aca="false">IF(OR($B89="",$I89="No",$O89=""),"",$O89+IFERROR(VLOOKUP($K89,Listas!$H$2:$I$4,2,0),365))</f>
        <v/>
      </c>
      <c r="Q89" s="16" t="str">
        <f aca="true">IF($B89="","",IF($I89="No","NO APLICA",IF($P89="","SIN REGISTRO",IF($P89&lt;TODAY(),"VENCIDO",IF($P89&lt;=TODAY()+60,"POR VENCER","VIGENTE")))))</f>
        <v/>
      </c>
      <c r="R89" s="15"/>
      <c r="S89" s="15"/>
      <c r="T89" s="15"/>
      <c r="U89" s="15"/>
      <c r="V89" s="15"/>
      <c r="W89" s="15"/>
      <c r="X89" s="15"/>
    </row>
    <row r="90" customFormat="false" ht="15" hidden="false" customHeight="false" outlineLevel="0" collapsed="false">
      <c r="A90" s="15"/>
      <c r="B90" s="15"/>
      <c r="C90" s="16" t="str">
        <f aca="false">IF($B90="","",IFERROR(INDEX(Equipos!$C$3:$C$202,MATCH($B90,Equipos!$B$3:$B$202,0)),""))</f>
        <v/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30"/>
      <c r="P90" s="31" t="str">
        <f aca="false">IF(OR($B90="",$I90="No",$O90=""),"",$O90+IFERROR(VLOOKUP($K90,Listas!$H$2:$I$4,2,0),365))</f>
        <v/>
      </c>
      <c r="Q90" s="16" t="str">
        <f aca="true">IF($B90="","",IF($I90="No","NO APLICA",IF($P90="","SIN REGISTRO",IF($P90&lt;TODAY(),"VENCIDO",IF($P90&lt;=TODAY()+60,"POR VENCER","VIGENTE")))))</f>
        <v/>
      </c>
      <c r="R90" s="15"/>
      <c r="S90" s="15"/>
      <c r="T90" s="15"/>
      <c r="U90" s="15"/>
      <c r="V90" s="15"/>
      <c r="W90" s="15"/>
      <c r="X90" s="15"/>
    </row>
    <row r="91" customFormat="false" ht="15" hidden="false" customHeight="false" outlineLevel="0" collapsed="false">
      <c r="A91" s="15"/>
      <c r="B91" s="15"/>
      <c r="C91" s="16" t="str">
        <f aca="false">IF($B91="","",IFERROR(INDEX(Equipos!$C$3:$C$202,MATCH($B91,Equipos!$B$3:$B$202,0)),""))</f>
        <v/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30"/>
      <c r="P91" s="31" t="str">
        <f aca="false">IF(OR($B91="",$I91="No",$O91=""),"",$O91+IFERROR(VLOOKUP($K91,Listas!$H$2:$I$4,2,0),365))</f>
        <v/>
      </c>
      <c r="Q91" s="16" t="str">
        <f aca="true">IF($B91="","",IF($I91="No","NO APLICA",IF($P91="","SIN REGISTRO",IF($P91&lt;TODAY(),"VENCIDO",IF($P91&lt;=TODAY()+60,"POR VENCER","VIGENTE")))))</f>
        <v/>
      </c>
      <c r="R91" s="15"/>
      <c r="S91" s="15"/>
      <c r="T91" s="15"/>
      <c r="U91" s="15"/>
      <c r="V91" s="15"/>
      <c r="W91" s="15"/>
      <c r="X91" s="15"/>
    </row>
    <row r="92" customFormat="false" ht="15" hidden="false" customHeight="false" outlineLevel="0" collapsed="false">
      <c r="A92" s="15"/>
      <c r="B92" s="15"/>
      <c r="C92" s="16" t="str">
        <f aca="false">IF($B92="","",IFERROR(INDEX(Equipos!$C$3:$C$202,MATCH($B92,Equipos!$B$3:$B$202,0)),""))</f>
        <v/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30"/>
      <c r="P92" s="31" t="str">
        <f aca="false">IF(OR($B92="",$I92="No",$O92=""),"",$O92+IFERROR(VLOOKUP($K92,Listas!$H$2:$I$4,2,0),365))</f>
        <v/>
      </c>
      <c r="Q92" s="16" t="str">
        <f aca="true">IF($B92="","",IF($I92="No","NO APLICA",IF($P92="","SIN REGISTRO",IF($P92&lt;TODAY(),"VENCIDO",IF($P92&lt;=TODAY()+60,"POR VENCER","VIGENTE")))))</f>
        <v/>
      </c>
      <c r="R92" s="15"/>
      <c r="S92" s="15"/>
      <c r="T92" s="15"/>
      <c r="U92" s="15"/>
      <c r="V92" s="15"/>
      <c r="W92" s="15"/>
      <c r="X92" s="15"/>
    </row>
    <row r="93" customFormat="false" ht="15" hidden="false" customHeight="false" outlineLevel="0" collapsed="false">
      <c r="A93" s="15"/>
      <c r="B93" s="15"/>
      <c r="C93" s="16" t="str">
        <f aca="false">IF($B93="","",IFERROR(INDEX(Equipos!$C$3:$C$202,MATCH($B93,Equipos!$B$3:$B$202,0)),""))</f>
        <v/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30"/>
      <c r="P93" s="31" t="str">
        <f aca="false">IF(OR($B93="",$I93="No",$O93=""),"",$O93+IFERROR(VLOOKUP($K93,Listas!$H$2:$I$4,2,0),365))</f>
        <v/>
      </c>
      <c r="Q93" s="16" t="str">
        <f aca="true">IF($B93="","",IF($I93="No","NO APLICA",IF($P93="","SIN REGISTRO",IF($P93&lt;TODAY(),"VENCIDO",IF($P93&lt;=TODAY()+60,"POR VENCER","VIGENTE")))))</f>
        <v/>
      </c>
      <c r="R93" s="15"/>
      <c r="S93" s="15"/>
      <c r="T93" s="15"/>
      <c r="U93" s="15"/>
      <c r="V93" s="15"/>
      <c r="W93" s="15"/>
      <c r="X93" s="15"/>
    </row>
    <row r="94" customFormat="false" ht="15" hidden="false" customHeight="false" outlineLevel="0" collapsed="false">
      <c r="A94" s="15"/>
      <c r="B94" s="15"/>
      <c r="C94" s="16" t="str">
        <f aca="false">IF($B94="","",IFERROR(INDEX(Equipos!$C$3:$C$202,MATCH($B94,Equipos!$B$3:$B$202,0)),""))</f>
        <v/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30"/>
      <c r="P94" s="31" t="str">
        <f aca="false">IF(OR($B94="",$I94="No",$O94=""),"",$O94+IFERROR(VLOOKUP($K94,Listas!$H$2:$I$4,2,0),365))</f>
        <v/>
      </c>
      <c r="Q94" s="16" t="str">
        <f aca="true">IF($B94="","",IF($I94="No","NO APLICA",IF($P94="","SIN REGISTRO",IF($P94&lt;TODAY(),"VENCIDO",IF($P94&lt;=TODAY()+60,"POR VENCER","VIGENTE")))))</f>
        <v/>
      </c>
      <c r="R94" s="15"/>
      <c r="S94" s="15"/>
      <c r="T94" s="15"/>
      <c r="U94" s="15"/>
      <c r="V94" s="15"/>
      <c r="W94" s="15"/>
      <c r="X94" s="15"/>
    </row>
    <row r="95" customFormat="false" ht="15" hidden="false" customHeight="false" outlineLevel="0" collapsed="false">
      <c r="A95" s="15"/>
      <c r="B95" s="15"/>
      <c r="C95" s="16" t="str">
        <f aca="false">IF($B95="","",IFERROR(INDEX(Equipos!$C$3:$C$202,MATCH($B95,Equipos!$B$3:$B$202,0)),""))</f>
        <v/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30"/>
      <c r="P95" s="31" t="str">
        <f aca="false">IF(OR($B95="",$I95="No",$O95=""),"",$O95+IFERROR(VLOOKUP($K95,Listas!$H$2:$I$4,2,0),365))</f>
        <v/>
      </c>
      <c r="Q95" s="16" t="str">
        <f aca="true">IF($B95="","",IF($I95="No","NO APLICA",IF($P95="","SIN REGISTRO",IF($P95&lt;TODAY(),"VENCIDO",IF($P95&lt;=TODAY()+60,"POR VENCER","VIGENTE")))))</f>
        <v/>
      </c>
      <c r="R95" s="15"/>
      <c r="S95" s="15"/>
      <c r="T95" s="15"/>
      <c r="U95" s="15"/>
      <c r="V95" s="15"/>
      <c r="W95" s="15"/>
      <c r="X95" s="15"/>
    </row>
    <row r="96" customFormat="false" ht="15" hidden="false" customHeight="false" outlineLevel="0" collapsed="false">
      <c r="A96" s="15"/>
      <c r="B96" s="15"/>
      <c r="C96" s="16" t="str">
        <f aca="false">IF($B96="","",IFERROR(INDEX(Equipos!$C$3:$C$202,MATCH($B96,Equipos!$B$3:$B$202,0)),""))</f>
        <v/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30"/>
      <c r="P96" s="31" t="str">
        <f aca="false">IF(OR($B96="",$I96="No",$O96=""),"",$O96+IFERROR(VLOOKUP($K96,Listas!$H$2:$I$4,2,0),365))</f>
        <v/>
      </c>
      <c r="Q96" s="16" t="str">
        <f aca="true">IF($B96="","",IF($I96="No","NO APLICA",IF($P96="","SIN REGISTRO",IF($P96&lt;TODAY(),"VENCIDO",IF($P96&lt;=TODAY()+60,"POR VENCER","VIGENTE")))))</f>
        <v/>
      </c>
      <c r="R96" s="15"/>
      <c r="S96" s="15"/>
      <c r="T96" s="15"/>
      <c r="U96" s="15"/>
      <c r="V96" s="15"/>
      <c r="W96" s="15"/>
      <c r="X96" s="15"/>
    </row>
    <row r="97" customFormat="false" ht="15" hidden="false" customHeight="false" outlineLevel="0" collapsed="false">
      <c r="A97" s="15"/>
      <c r="B97" s="15"/>
      <c r="C97" s="16" t="str">
        <f aca="false">IF($B97="","",IFERROR(INDEX(Equipos!$C$3:$C$202,MATCH($B97,Equipos!$B$3:$B$202,0)),""))</f>
        <v/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30"/>
      <c r="P97" s="31" t="str">
        <f aca="false">IF(OR($B97="",$I97="No",$O97=""),"",$O97+IFERROR(VLOOKUP($K97,Listas!$H$2:$I$4,2,0),365))</f>
        <v/>
      </c>
      <c r="Q97" s="16" t="str">
        <f aca="true">IF($B97="","",IF($I97="No","NO APLICA",IF($P97="","SIN REGISTRO",IF($P97&lt;TODAY(),"VENCIDO",IF($P97&lt;=TODAY()+60,"POR VENCER","VIGENTE")))))</f>
        <v/>
      </c>
      <c r="R97" s="15"/>
      <c r="S97" s="15"/>
      <c r="T97" s="15"/>
      <c r="U97" s="15"/>
      <c r="V97" s="15"/>
      <c r="W97" s="15"/>
      <c r="X97" s="15"/>
    </row>
    <row r="98" customFormat="false" ht="15" hidden="false" customHeight="false" outlineLevel="0" collapsed="false">
      <c r="A98" s="15"/>
      <c r="B98" s="15"/>
      <c r="C98" s="16" t="str">
        <f aca="false">IF($B98="","",IFERROR(INDEX(Equipos!$C$3:$C$202,MATCH($B98,Equipos!$B$3:$B$202,0)),""))</f>
        <v/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30"/>
      <c r="P98" s="31" t="str">
        <f aca="false">IF(OR($B98="",$I98="No",$O98=""),"",$O98+IFERROR(VLOOKUP($K98,Listas!$H$2:$I$4,2,0),365))</f>
        <v/>
      </c>
      <c r="Q98" s="16" t="str">
        <f aca="true">IF($B98="","",IF($I98="No","NO APLICA",IF($P98="","SIN REGISTRO",IF($P98&lt;TODAY(),"VENCIDO",IF($P98&lt;=TODAY()+60,"POR VENCER","VIGENTE")))))</f>
        <v/>
      </c>
      <c r="R98" s="15"/>
      <c r="S98" s="15"/>
      <c r="T98" s="15"/>
      <c r="U98" s="15"/>
      <c r="V98" s="15"/>
      <c r="W98" s="15"/>
      <c r="X98" s="15"/>
    </row>
    <row r="99" customFormat="false" ht="15" hidden="false" customHeight="false" outlineLevel="0" collapsed="false">
      <c r="A99" s="15"/>
      <c r="B99" s="15"/>
      <c r="C99" s="16" t="str">
        <f aca="false">IF($B99="","",IFERROR(INDEX(Equipos!$C$3:$C$202,MATCH($B99,Equipos!$B$3:$B$202,0)),""))</f>
        <v/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30"/>
      <c r="P99" s="31" t="str">
        <f aca="false">IF(OR($B99="",$I99="No",$O99=""),"",$O99+IFERROR(VLOOKUP($K99,Listas!$H$2:$I$4,2,0),365))</f>
        <v/>
      </c>
      <c r="Q99" s="16" t="str">
        <f aca="true">IF($B99="","",IF($I99="No","NO APLICA",IF($P99="","SIN REGISTRO",IF($P99&lt;TODAY(),"VENCIDO",IF($P99&lt;=TODAY()+60,"POR VENCER","VIGENTE")))))</f>
        <v/>
      </c>
      <c r="R99" s="15"/>
      <c r="S99" s="15"/>
      <c r="T99" s="15"/>
      <c r="U99" s="15"/>
      <c r="V99" s="15"/>
      <c r="W99" s="15"/>
      <c r="X99" s="15"/>
    </row>
    <row r="100" customFormat="false" ht="15" hidden="false" customHeight="false" outlineLevel="0" collapsed="false">
      <c r="A100" s="15"/>
      <c r="B100" s="15"/>
      <c r="C100" s="16" t="str">
        <f aca="false">IF($B100="","",IFERROR(INDEX(Equipos!$C$3:$C$202,MATCH($B100,Equipos!$B$3:$B$202,0)),""))</f>
        <v/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30"/>
      <c r="P100" s="31" t="str">
        <f aca="false">IF(OR($B100="",$I100="No",$O100=""),"",$O100+IFERROR(VLOOKUP($K100,Listas!$H$2:$I$4,2,0),365))</f>
        <v/>
      </c>
      <c r="Q100" s="16" t="str">
        <f aca="true">IF($B100="","",IF($I100="No","NO APLICA",IF($P100="","SIN REGISTRO",IF($P100&lt;TODAY(),"VENCIDO",IF($P100&lt;=TODAY()+60,"POR VENCER","VIGENTE")))))</f>
        <v/>
      </c>
      <c r="R100" s="15"/>
      <c r="S100" s="15"/>
      <c r="T100" s="15"/>
      <c r="U100" s="15"/>
      <c r="V100" s="15"/>
      <c r="W100" s="15"/>
      <c r="X100" s="15"/>
    </row>
    <row r="101" customFormat="false" ht="15" hidden="false" customHeight="false" outlineLevel="0" collapsed="false">
      <c r="A101" s="15"/>
      <c r="B101" s="15"/>
      <c r="C101" s="16" t="str">
        <f aca="false">IF($B101="","",IFERROR(INDEX(Equipos!$C$3:$C$202,MATCH($B101,Equipos!$B$3:$B$202,0)),""))</f>
        <v/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30"/>
      <c r="P101" s="31" t="str">
        <f aca="false">IF(OR($B101="",$I101="No",$O101=""),"",$O101+IFERROR(VLOOKUP($K101,Listas!$H$2:$I$4,2,0),365))</f>
        <v/>
      </c>
      <c r="Q101" s="16" t="str">
        <f aca="true">IF($B101="","",IF($I101="No","NO APLICA",IF($P101="","SIN REGISTRO",IF($P101&lt;TODAY(),"VENCIDO",IF($P101&lt;=TODAY()+60,"POR VENCER","VIGENTE")))))</f>
        <v/>
      </c>
      <c r="R101" s="15"/>
      <c r="S101" s="15"/>
      <c r="T101" s="15"/>
      <c r="U101" s="15"/>
      <c r="V101" s="15"/>
      <c r="W101" s="15"/>
      <c r="X101" s="15"/>
    </row>
    <row r="102" customFormat="false" ht="15" hidden="false" customHeight="false" outlineLevel="0" collapsed="false">
      <c r="A102" s="15"/>
      <c r="B102" s="15"/>
      <c r="C102" s="16" t="str">
        <f aca="false">IF($B102="","",IFERROR(INDEX(Equipos!$C$3:$C$202,MATCH($B102,Equipos!$B$3:$B$202,0)),""))</f>
        <v/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30"/>
      <c r="P102" s="31" t="str">
        <f aca="false">IF(OR($B102="",$I102="No",$O102=""),"",$O102+IFERROR(VLOOKUP($K102,Listas!$H$2:$I$4,2,0),365))</f>
        <v/>
      </c>
      <c r="Q102" s="16" t="str">
        <f aca="true">IF($B102="","",IF($I102="No","NO APLICA",IF($P102="","SIN REGISTRO",IF($P102&lt;TODAY(),"VENCIDO",IF($P102&lt;=TODAY()+60,"POR VENCER","VIGENTE")))))</f>
        <v/>
      </c>
      <c r="R102" s="15"/>
      <c r="S102" s="15"/>
      <c r="T102" s="15"/>
      <c r="U102" s="15"/>
      <c r="V102" s="15"/>
      <c r="W102" s="15"/>
      <c r="X102" s="15"/>
    </row>
    <row r="103" customFormat="false" ht="15" hidden="false" customHeight="false" outlineLevel="0" collapsed="false">
      <c r="A103" s="15"/>
      <c r="B103" s="15"/>
      <c r="C103" s="16" t="str">
        <f aca="false">IF($B103="","",IFERROR(INDEX(Equipos!$C$3:$C$202,MATCH($B103,Equipos!$B$3:$B$202,0)),""))</f>
        <v/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30"/>
      <c r="P103" s="31" t="str">
        <f aca="false">IF(OR($B103="",$I103="No",$O103=""),"",$O103+IFERROR(VLOOKUP($K103,Listas!$H$2:$I$4,2,0),365))</f>
        <v/>
      </c>
      <c r="Q103" s="16" t="str">
        <f aca="true">IF($B103="","",IF($I103="No","NO APLICA",IF($P103="","SIN REGISTRO",IF($P103&lt;TODAY(),"VENCIDO",IF($P103&lt;=TODAY()+60,"POR VENCER","VIGENTE")))))</f>
        <v/>
      </c>
      <c r="R103" s="15"/>
      <c r="S103" s="15"/>
      <c r="T103" s="15"/>
      <c r="U103" s="15"/>
      <c r="V103" s="15"/>
      <c r="W103" s="15"/>
      <c r="X103" s="15"/>
    </row>
    <row r="104" customFormat="false" ht="15" hidden="false" customHeight="false" outlineLevel="0" collapsed="false">
      <c r="A104" s="15"/>
      <c r="B104" s="15"/>
      <c r="C104" s="16" t="str">
        <f aca="false">IF($B104="","",IFERROR(INDEX(Equipos!$C$3:$C$202,MATCH($B104,Equipos!$B$3:$B$202,0)),""))</f>
        <v/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30"/>
      <c r="P104" s="31" t="str">
        <f aca="false">IF(OR($B104="",$I104="No",$O104=""),"",$O104+IFERROR(VLOOKUP($K104,Listas!$H$2:$I$4,2,0),365))</f>
        <v/>
      </c>
      <c r="Q104" s="16" t="str">
        <f aca="true">IF($B104="","",IF($I104="No","NO APLICA",IF($P104="","SIN REGISTRO",IF($P104&lt;TODAY(),"VENCIDO",IF($P104&lt;=TODAY()+60,"POR VENCER","VIGENTE")))))</f>
        <v/>
      </c>
      <c r="R104" s="15"/>
      <c r="S104" s="15"/>
      <c r="T104" s="15"/>
      <c r="U104" s="15"/>
      <c r="V104" s="15"/>
      <c r="W104" s="15"/>
      <c r="X104" s="15"/>
    </row>
    <row r="105" customFormat="false" ht="15" hidden="false" customHeight="false" outlineLevel="0" collapsed="false">
      <c r="A105" s="15"/>
      <c r="B105" s="15"/>
      <c r="C105" s="16" t="str">
        <f aca="false">IF($B105="","",IFERROR(INDEX(Equipos!$C$3:$C$202,MATCH($B105,Equipos!$B$3:$B$202,0)),""))</f>
        <v/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30"/>
      <c r="P105" s="31" t="str">
        <f aca="false">IF(OR($B105="",$I105="No",$O105=""),"",$O105+IFERROR(VLOOKUP($K105,Listas!$H$2:$I$4,2,0),365))</f>
        <v/>
      </c>
      <c r="Q105" s="16" t="str">
        <f aca="true">IF($B105="","",IF($I105="No","NO APLICA",IF($P105="","SIN REGISTRO",IF($P105&lt;TODAY(),"VENCIDO",IF($P105&lt;=TODAY()+60,"POR VENCER","VIGENTE")))))</f>
        <v/>
      </c>
      <c r="R105" s="15"/>
      <c r="S105" s="15"/>
      <c r="T105" s="15"/>
      <c r="U105" s="15"/>
      <c r="V105" s="15"/>
      <c r="W105" s="15"/>
      <c r="X105" s="15"/>
    </row>
    <row r="106" customFormat="false" ht="15" hidden="false" customHeight="false" outlineLevel="0" collapsed="false">
      <c r="A106" s="15"/>
      <c r="B106" s="15"/>
      <c r="C106" s="16" t="str">
        <f aca="false">IF($B106="","",IFERROR(INDEX(Equipos!$C$3:$C$202,MATCH($B106,Equipos!$B$3:$B$202,0)),""))</f>
        <v/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30"/>
      <c r="P106" s="31" t="str">
        <f aca="false">IF(OR($B106="",$I106="No",$O106=""),"",$O106+IFERROR(VLOOKUP($K106,Listas!$H$2:$I$4,2,0),365))</f>
        <v/>
      </c>
      <c r="Q106" s="16" t="str">
        <f aca="true">IF($B106="","",IF($I106="No","NO APLICA",IF($P106="","SIN REGISTRO",IF($P106&lt;TODAY(),"VENCIDO",IF($P106&lt;=TODAY()+60,"POR VENCER","VIGENTE")))))</f>
        <v/>
      </c>
      <c r="R106" s="15"/>
      <c r="S106" s="15"/>
      <c r="T106" s="15"/>
      <c r="U106" s="15"/>
      <c r="V106" s="15"/>
      <c r="W106" s="15"/>
      <c r="X106" s="15"/>
    </row>
    <row r="107" customFormat="false" ht="15" hidden="false" customHeight="false" outlineLevel="0" collapsed="false">
      <c r="A107" s="15"/>
      <c r="B107" s="15"/>
      <c r="C107" s="16" t="str">
        <f aca="false">IF($B107="","",IFERROR(INDEX(Equipos!$C$3:$C$202,MATCH($B107,Equipos!$B$3:$B$202,0)),""))</f>
        <v/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30"/>
      <c r="P107" s="31" t="str">
        <f aca="false">IF(OR($B107="",$I107="No",$O107=""),"",$O107+IFERROR(VLOOKUP($K107,Listas!$H$2:$I$4,2,0),365))</f>
        <v/>
      </c>
      <c r="Q107" s="16" t="str">
        <f aca="true">IF($B107="","",IF($I107="No","NO APLICA",IF($P107="","SIN REGISTRO",IF($P107&lt;TODAY(),"VENCIDO",IF($P107&lt;=TODAY()+60,"POR VENCER","VIGENTE")))))</f>
        <v/>
      </c>
      <c r="R107" s="15"/>
      <c r="S107" s="15"/>
      <c r="T107" s="15"/>
      <c r="U107" s="15"/>
      <c r="V107" s="15"/>
      <c r="W107" s="15"/>
      <c r="X107" s="15"/>
    </row>
    <row r="108" customFormat="false" ht="15" hidden="false" customHeight="false" outlineLevel="0" collapsed="false">
      <c r="A108" s="15"/>
      <c r="B108" s="15"/>
      <c r="C108" s="16" t="str">
        <f aca="false">IF($B108="","",IFERROR(INDEX(Equipos!$C$3:$C$202,MATCH($B108,Equipos!$B$3:$B$202,0)),""))</f>
        <v/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30"/>
      <c r="P108" s="31" t="str">
        <f aca="false">IF(OR($B108="",$I108="No",$O108=""),"",$O108+IFERROR(VLOOKUP($K108,Listas!$H$2:$I$4,2,0),365))</f>
        <v/>
      </c>
      <c r="Q108" s="16" t="str">
        <f aca="true">IF($B108="","",IF($I108="No","NO APLICA",IF($P108="","SIN REGISTRO",IF($P108&lt;TODAY(),"VENCIDO",IF($P108&lt;=TODAY()+60,"POR VENCER","VIGENTE")))))</f>
        <v/>
      </c>
      <c r="R108" s="15"/>
      <c r="S108" s="15"/>
      <c r="T108" s="15"/>
      <c r="U108" s="15"/>
      <c r="V108" s="15"/>
      <c r="W108" s="15"/>
      <c r="X108" s="15"/>
    </row>
    <row r="109" customFormat="false" ht="15" hidden="false" customHeight="false" outlineLevel="0" collapsed="false">
      <c r="A109" s="15"/>
      <c r="B109" s="15"/>
      <c r="C109" s="16" t="str">
        <f aca="false">IF($B109="","",IFERROR(INDEX(Equipos!$C$3:$C$202,MATCH($B109,Equipos!$B$3:$B$202,0)),""))</f>
        <v/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30"/>
      <c r="P109" s="31" t="str">
        <f aca="false">IF(OR($B109="",$I109="No",$O109=""),"",$O109+IFERROR(VLOOKUP($K109,Listas!$H$2:$I$4,2,0),365))</f>
        <v/>
      </c>
      <c r="Q109" s="16" t="str">
        <f aca="true">IF($B109="","",IF($I109="No","NO APLICA",IF($P109="","SIN REGISTRO",IF($P109&lt;TODAY(),"VENCIDO",IF($P109&lt;=TODAY()+60,"POR VENCER","VIGENTE")))))</f>
        <v/>
      </c>
      <c r="R109" s="15"/>
      <c r="S109" s="15"/>
      <c r="T109" s="15"/>
      <c r="U109" s="15"/>
      <c r="V109" s="15"/>
      <c r="W109" s="15"/>
      <c r="X109" s="15"/>
    </row>
    <row r="110" customFormat="false" ht="15" hidden="false" customHeight="false" outlineLevel="0" collapsed="false">
      <c r="A110" s="15"/>
      <c r="B110" s="15"/>
      <c r="C110" s="16" t="str">
        <f aca="false">IF($B110="","",IFERROR(INDEX(Equipos!$C$3:$C$202,MATCH($B110,Equipos!$B$3:$B$202,0)),""))</f>
        <v/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30"/>
      <c r="P110" s="31" t="str">
        <f aca="false">IF(OR($B110="",$I110="No",$O110=""),"",$O110+IFERROR(VLOOKUP($K110,Listas!$H$2:$I$4,2,0),365))</f>
        <v/>
      </c>
      <c r="Q110" s="16" t="str">
        <f aca="true">IF($B110="","",IF($I110="No","NO APLICA",IF($P110="","SIN REGISTRO",IF($P110&lt;TODAY(),"VENCIDO",IF($P110&lt;=TODAY()+60,"POR VENCER","VIGENTE")))))</f>
        <v/>
      </c>
      <c r="R110" s="15"/>
      <c r="S110" s="15"/>
      <c r="T110" s="15"/>
      <c r="U110" s="15"/>
      <c r="V110" s="15"/>
      <c r="W110" s="15"/>
      <c r="X110" s="15"/>
    </row>
    <row r="111" customFormat="false" ht="15" hidden="false" customHeight="false" outlineLevel="0" collapsed="false">
      <c r="A111" s="15"/>
      <c r="B111" s="15"/>
      <c r="C111" s="16" t="str">
        <f aca="false">IF($B111="","",IFERROR(INDEX(Equipos!$C$3:$C$202,MATCH($B111,Equipos!$B$3:$B$202,0)),""))</f>
        <v/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30"/>
      <c r="P111" s="31" t="str">
        <f aca="false">IF(OR($B111="",$I111="No",$O111=""),"",$O111+IFERROR(VLOOKUP($K111,Listas!$H$2:$I$4,2,0),365))</f>
        <v/>
      </c>
      <c r="Q111" s="16" t="str">
        <f aca="true">IF($B111="","",IF($I111="No","NO APLICA",IF($P111="","SIN REGISTRO",IF($P111&lt;TODAY(),"VENCIDO",IF($P111&lt;=TODAY()+60,"POR VENCER","VIGENTE")))))</f>
        <v/>
      </c>
      <c r="R111" s="15"/>
      <c r="S111" s="15"/>
      <c r="T111" s="15"/>
      <c r="U111" s="15"/>
      <c r="V111" s="15"/>
      <c r="W111" s="15"/>
      <c r="X111" s="15"/>
    </row>
    <row r="112" customFormat="false" ht="15" hidden="false" customHeight="false" outlineLevel="0" collapsed="false">
      <c r="A112" s="15"/>
      <c r="B112" s="15"/>
      <c r="C112" s="16" t="str">
        <f aca="false">IF($B112="","",IFERROR(INDEX(Equipos!$C$3:$C$202,MATCH($B112,Equipos!$B$3:$B$202,0)),""))</f>
        <v/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30"/>
      <c r="P112" s="31" t="str">
        <f aca="false">IF(OR($B112="",$I112="No",$O112=""),"",$O112+IFERROR(VLOOKUP($K112,Listas!$H$2:$I$4,2,0),365))</f>
        <v/>
      </c>
      <c r="Q112" s="16" t="str">
        <f aca="true">IF($B112="","",IF($I112="No","NO APLICA",IF($P112="","SIN REGISTRO",IF($P112&lt;TODAY(),"VENCIDO",IF($P112&lt;=TODAY()+60,"POR VENCER","VIGENTE")))))</f>
        <v/>
      </c>
      <c r="R112" s="15"/>
      <c r="S112" s="15"/>
      <c r="T112" s="15"/>
      <c r="U112" s="15"/>
      <c r="V112" s="15"/>
      <c r="W112" s="15"/>
      <c r="X112" s="15"/>
    </row>
    <row r="113" customFormat="false" ht="15" hidden="false" customHeight="false" outlineLevel="0" collapsed="false">
      <c r="A113" s="15"/>
      <c r="B113" s="15"/>
      <c r="C113" s="16" t="str">
        <f aca="false">IF($B113="","",IFERROR(INDEX(Equipos!$C$3:$C$202,MATCH($B113,Equipos!$B$3:$B$202,0)),""))</f>
        <v/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30"/>
      <c r="P113" s="31" t="str">
        <f aca="false">IF(OR($B113="",$I113="No",$O113=""),"",$O113+IFERROR(VLOOKUP($K113,Listas!$H$2:$I$4,2,0),365))</f>
        <v/>
      </c>
      <c r="Q113" s="16" t="str">
        <f aca="true">IF($B113="","",IF($I113="No","NO APLICA",IF($P113="","SIN REGISTRO",IF($P113&lt;TODAY(),"VENCIDO",IF($P113&lt;=TODAY()+60,"POR VENCER","VIGENTE")))))</f>
        <v/>
      </c>
      <c r="R113" s="15"/>
      <c r="S113" s="15"/>
      <c r="T113" s="15"/>
      <c r="U113" s="15"/>
      <c r="V113" s="15"/>
      <c r="W113" s="15"/>
      <c r="X113" s="15"/>
    </row>
    <row r="114" customFormat="false" ht="15" hidden="false" customHeight="false" outlineLevel="0" collapsed="false">
      <c r="A114" s="15"/>
      <c r="B114" s="15"/>
      <c r="C114" s="16" t="str">
        <f aca="false">IF($B114="","",IFERROR(INDEX(Equipos!$C$3:$C$202,MATCH($B114,Equipos!$B$3:$B$202,0)),""))</f>
        <v/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30"/>
      <c r="P114" s="31" t="str">
        <f aca="false">IF(OR($B114="",$I114="No",$O114=""),"",$O114+IFERROR(VLOOKUP($K114,Listas!$H$2:$I$4,2,0),365))</f>
        <v/>
      </c>
      <c r="Q114" s="16" t="str">
        <f aca="true">IF($B114="","",IF($I114="No","NO APLICA",IF($P114="","SIN REGISTRO",IF($P114&lt;TODAY(),"VENCIDO",IF($P114&lt;=TODAY()+60,"POR VENCER","VIGENTE")))))</f>
        <v/>
      </c>
      <c r="R114" s="15"/>
      <c r="S114" s="15"/>
      <c r="T114" s="15"/>
      <c r="U114" s="15"/>
      <c r="V114" s="15"/>
      <c r="W114" s="15"/>
      <c r="X114" s="15"/>
    </row>
    <row r="115" customFormat="false" ht="15" hidden="false" customHeight="false" outlineLevel="0" collapsed="false">
      <c r="A115" s="15"/>
      <c r="B115" s="15"/>
      <c r="C115" s="16" t="str">
        <f aca="false">IF($B115="","",IFERROR(INDEX(Equipos!$C$3:$C$202,MATCH($B115,Equipos!$B$3:$B$202,0)),""))</f>
        <v/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30"/>
      <c r="P115" s="31" t="str">
        <f aca="false">IF(OR($B115="",$I115="No",$O115=""),"",$O115+IFERROR(VLOOKUP($K115,Listas!$H$2:$I$4,2,0),365))</f>
        <v/>
      </c>
      <c r="Q115" s="16" t="str">
        <f aca="true">IF($B115="","",IF($I115="No","NO APLICA",IF($P115="","SIN REGISTRO",IF($P115&lt;TODAY(),"VENCIDO",IF($P115&lt;=TODAY()+60,"POR VENCER","VIGENTE")))))</f>
        <v/>
      </c>
      <c r="R115" s="15"/>
      <c r="S115" s="15"/>
      <c r="T115" s="15"/>
      <c r="U115" s="15"/>
      <c r="V115" s="15"/>
      <c r="W115" s="15"/>
      <c r="X115" s="15"/>
    </row>
    <row r="116" customFormat="false" ht="15" hidden="false" customHeight="false" outlineLevel="0" collapsed="false">
      <c r="A116" s="15"/>
      <c r="B116" s="15"/>
      <c r="C116" s="16" t="str">
        <f aca="false">IF($B116="","",IFERROR(INDEX(Equipos!$C$3:$C$202,MATCH($B116,Equipos!$B$3:$B$202,0)),""))</f>
        <v/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30"/>
      <c r="P116" s="31" t="str">
        <f aca="false">IF(OR($B116="",$I116="No",$O116=""),"",$O116+IFERROR(VLOOKUP($K116,Listas!$H$2:$I$4,2,0),365))</f>
        <v/>
      </c>
      <c r="Q116" s="16" t="str">
        <f aca="true">IF($B116="","",IF($I116="No","NO APLICA",IF($P116="","SIN REGISTRO",IF($P116&lt;TODAY(),"VENCIDO",IF($P116&lt;=TODAY()+60,"POR VENCER","VIGENTE")))))</f>
        <v/>
      </c>
      <c r="R116" s="15"/>
      <c r="S116" s="15"/>
      <c r="T116" s="15"/>
      <c r="U116" s="15"/>
      <c r="V116" s="15"/>
      <c r="W116" s="15"/>
      <c r="X116" s="15"/>
    </row>
    <row r="117" customFormat="false" ht="15" hidden="false" customHeight="false" outlineLevel="0" collapsed="false">
      <c r="A117" s="15"/>
      <c r="B117" s="15"/>
      <c r="C117" s="16" t="str">
        <f aca="false">IF($B117="","",IFERROR(INDEX(Equipos!$C$3:$C$202,MATCH($B117,Equipos!$B$3:$B$202,0)),""))</f>
        <v/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30"/>
      <c r="P117" s="31" t="str">
        <f aca="false">IF(OR($B117="",$I117="No",$O117=""),"",$O117+IFERROR(VLOOKUP($K117,Listas!$H$2:$I$4,2,0),365))</f>
        <v/>
      </c>
      <c r="Q117" s="16" t="str">
        <f aca="true">IF($B117="","",IF($I117="No","NO APLICA",IF($P117="","SIN REGISTRO",IF($P117&lt;TODAY(),"VENCIDO",IF($P117&lt;=TODAY()+60,"POR VENCER","VIGENTE")))))</f>
        <v/>
      </c>
      <c r="R117" s="15"/>
      <c r="S117" s="15"/>
      <c r="T117" s="15"/>
      <c r="U117" s="15"/>
      <c r="V117" s="15"/>
      <c r="W117" s="15"/>
      <c r="X117" s="15"/>
    </row>
    <row r="118" customFormat="false" ht="15" hidden="false" customHeight="false" outlineLevel="0" collapsed="false">
      <c r="A118" s="15"/>
      <c r="B118" s="15"/>
      <c r="C118" s="16" t="str">
        <f aca="false">IF($B118="","",IFERROR(INDEX(Equipos!$C$3:$C$202,MATCH($B118,Equipos!$B$3:$B$202,0)),""))</f>
        <v/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30"/>
      <c r="P118" s="31" t="str">
        <f aca="false">IF(OR($B118="",$I118="No",$O118=""),"",$O118+IFERROR(VLOOKUP($K118,Listas!$H$2:$I$4,2,0),365))</f>
        <v/>
      </c>
      <c r="Q118" s="16" t="str">
        <f aca="true">IF($B118="","",IF($I118="No","NO APLICA",IF($P118="","SIN REGISTRO",IF($P118&lt;TODAY(),"VENCIDO",IF($P118&lt;=TODAY()+60,"POR VENCER","VIGENTE")))))</f>
        <v/>
      </c>
      <c r="R118" s="15"/>
      <c r="S118" s="15"/>
      <c r="T118" s="15"/>
      <c r="U118" s="15"/>
      <c r="V118" s="15"/>
      <c r="W118" s="15"/>
      <c r="X118" s="15"/>
    </row>
    <row r="119" customFormat="false" ht="15" hidden="false" customHeight="false" outlineLevel="0" collapsed="false">
      <c r="A119" s="15"/>
      <c r="B119" s="15"/>
      <c r="C119" s="16" t="str">
        <f aca="false">IF($B119="","",IFERROR(INDEX(Equipos!$C$3:$C$202,MATCH($B119,Equipos!$B$3:$B$202,0)),""))</f>
        <v/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30"/>
      <c r="P119" s="31" t="str">
        <f aca="false">IF(OR($B119="",$I119="No",$O119=""),"",$O119+IFERROR(VLOOKUP($K119,Listas!$H$2:$I$4,2,0),365))</f>
        <v/>
      </c>
      <c r="Q119" s="16" t="str">
        <f aca="true">IF($B119="","",IF($I119="No","NO APLICA",IF($P119="","SIN REGISTRO",IF($P119&lt;TODAY(),"VENCIDO",IF($P119&lt;=TODAY()+60,"POR VENCER","VIGENTE")))))</f>
        <v/>
      </c>
      <c r="R119" s="15"/>
      <c r="S119" s="15"/>
      <c r="T119" s="15"/>
      <c r="U119" s="15"/>
      <c r="V119" s="15"/>
      <c r="W119" s="15"/>
      <c r="X119" s="15"/>
    </row>
    <row r="120" customFormat="false" ht="15" hidden="false" customHeight="false" outlineLevel="0" collapsed="false">
      <c r="A120" s="15"/>
      <c r="B120" s="15"/>
      <c r="C120" s="16" t="str">
        <f aca="false">IF($B120="","",IFERROR(INDEX(Equipos!$C$3:$C$202,MATCH($B120,Equipos!$B$3:$B$202,0)),""))</f>
        <v/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30"/>
      <c r="P120" s="31" t="str">
        <f aca="false">IF(OR($B120="",$I120="No",$O120=""),"",$O120+IFERROR(VLOOKUP($K120,Listas!$H$2:$I$4,2,0),365))</f>
        <v/>
      </c>
      <c r="Q120" s="16" t="str">
        <f aca="true">IF($B120="","",IF($I120="No","NO APLICA",IF($P120="","SIN REGISTRO",IF($P120&lt;TODAY(),"VENCIDO",IF($P120&lt;=TODAY()+60,"POR VENCER","VIGENTE")))))</f>
        <v/>
      </c>
      <c r="R120" s="15"/>
      <c r="S120" s="15"/>
      <c r="T120" s="15"/>
      <c r="U120" s="15"/>
      <c r="V120" s="15"/>
      <c r="W120" s="15"/>
      <c r="X120" s="15"/>
    </row>
    <row r="121" customFormat="false" ht="15" hidden="false" customHeight="false" outlineLevel="0" collapsed="false">
      <c r="A121" s="15"/>
      <c r="B121" s="15"/>
      <c r="C121" s="16" t="str">
        <f aca="false">IF($B121="","",IFERROR(INDEX(Equipos!$C$3:$C$202,MATCH($B121,Equipos!$B$3:$B$202,0)),""))</f>
        <v/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30"/>
      <c r="P121" s="31" t="str">
        <f aca="false">IF(OR($B121="",$I121="No",$O121=""),"",$O121+IFERROR(VLOOKUP($K121,Listas!$H$2:$I$4,2,0),365))</f>
        <v/>
      </c>
      <c r="Q121" s="16" t="str">
        <f aca="true">IF($B121="","",IF($I121="No","NO APLICA",IF($P121="","SIN REGISTRO",IF($P121&lt;TODAY(),"VENCIDO",IF($P121&lt;=TODAY()+60,"POR VENCER","VIGENTE")))))</f>
        <v/>
      </c>
      <c r="R121" s="15"/>
      <c r="S121" s="15"/>
      <c r="T121" s="15"/>
      <c r="U121" s="15"/>
      <c r="V121" s="15"/>
      <c r="W121" s="15"/>
      <c r="X121" s="15"/>
    </row>
    <row r="122" customFormat="false" ht="15" hidden="false" customHeight="false" outlineLevel="0" collapsed="false">
      <c r="A122" s="15"/>
      <c r="B122" s="15"/>
      <c r="C122" s="16" t="str">
        <f aca="false">IF($B122="","",IFERROR(INDEX(Equipos!$C$3:$C$202,MATCH($B122,Equipos!$B$3:$B$202,0)),""))</f>
        <v/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30"/>
      <c r="P122" s="31" t="str">
        <f aca="false">IF(OR($B122="",$I122="No",$O122=""),"",$O122+IFERROR(VLOOKUP($K122,Listas!$H$2:$I$4,2,0),365))</f>
        <v/>
      </c>
      <c r="Q122" s="16" t="str">
        <f aca="true">IF($B122="","",IF($I122="No","NO APLICA",IF($P122="","SIN REGISTRO",IF($P122&lt;TODAY(),"VENCIDO",IF($P122&lt;=TODAY()+60,"POR VENCER","VIGENTE")))))</f>
        <v/>
      </c>
      <c r="R122" s="15"/>
      <c r="S122" s="15"/>
      <c r="T122" s="15"/>
      <c r="U122" s="15"/>
      <c r="V122" s="15"/>
      <c r="W122" s="15"/>
      <c r="X122" s="15"/>
    </row>
    <row r="123" customFormat="false" ht="15" hidden="false" customHeight="false" outlineLevel="0" collapsed="false">
      <c r="A123" s="15"/>
      <c r="B123" s="15"/>
      <c r="C123" s="16" t="str">
        <f aca="false">IF($B123="","",IFERROR(INDEX(Equipos!$C$3:$C$202,MATCH($B123,Equipos!$B$3:$B$202,0)),""))</f>
        <v/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30"/>
      <c r="P123" s="31" t="str">
        <f aca="false">IF(OR($B123="",$I123="No",$O123=""),"",$O123+IFERROR(VLOOKUP($K123,Listas!$H$2:$I$4,2,0),365))</f>
        <v/>
      </c>
      <c r="Q123" s="16" t="str">
        <f aca="true">IF($B123="","",IF($I123="No","NO APLICA",IF($P123="","SIN REGISTRO",IF($P123&lt;TODAY(),"VENCIDO",IF($P123&lt;=TODAY()+60,"POR VENCER","VIGENTE")))))</f>
        <v/>
      </c>
      <c r="R123" s="15"/>
      <c r="S123" s="15"/>
      <c r="T123" s="15"/>
      <c r="U123" s="15"/>
      <c r="V123" s="15"/>
      <c r="W123" s="15"/>
      <c r="X123" s="15"/>
    </row>
    <row r="124" customFormat="false" ht="15" hidden="false" customHeight="false" outlineLevel="0" collapsed="false">
      <c r="A124" s="15"/>
      <c r="B124" s="15"/>
      <c r="C124" s="16" t="str">
        <f aca="false">IF($B124="","",IFERROR(INDEX(Equipos!$C$3:$C$202,MATCH($B124,Equipos!$B$3:$B$202,0)),""))</f>
        <v/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30"/>
      <c r="P124" s="31" t="str">
        <f aca="false">IF(OR($B124="",$I124="No",$O124=""),"",$O124+IFERROR(VLOOKUP($K124,Listas!$H$2:$I$4,2,0),365))</f>
        <v/>
      </c>
      <c r="Q124" s="16" t="str">
        <f aca="true">IF($B124="","",IF($I124="No","NO APLICA",IF($P124="","SIN REGISTRO",IF($P124&lt;TODAY(),"VENCIDO",IF($P124&lt;=TODAY()+60,"POR VENCER","VIGENTE")))))</f>
        <v/>
      </c>
      <c r="R124" s="15"/>
      <c r="S124" s="15"/>
      <c r="T124" s="15"/>
      <c r="U124" s="15"/>
      <c r="V124" s="15"/>
      <c r="W124" s="15"/>
      <c r="X124" s="15"/>
    </row>
    <row r="125" customFormat="false" ht="15" hidden="false" customHeight="false" outlineLevel="0" collapsed="false">
      <c r="A125" s="15"/>
      <c r="B125" s="15"/>
      <c r="C125" s="16" t="str">
        <f aca="false">IF($B125="","",IFERROR(INDEX(Equipos!$C$3:$C$202,MATCH($B125,Equipos!$B$3:$B$202,0)),""))</f>
        <v/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30"/>
      <c r="P125" s="31" t="str">
        <f aca="false">IF(OR($B125="",$I125="No",$O125=""),"",$O125+IFERROR(VLOOKUP($K125,Listas!$H$2:$I$4,2,0),365))</f>
        <v/>
      </c>
      <c r="Q125" s="16" t="str">
        <f aca="true">IF($B125="","",IF($I125="No","NO APLICA",IF($P125="","SIN REGISTRO",IF($P125&lt;TODAY(),"VENCIDO",IF($P125&lt;=TODAY()+60,"POR VENCER","VIGENTE")))))</f>
        <v/>
      </c>
      <c r="R125" s="15"/>
      <c r="S125" s="15"/>
      <c r="T125" s="15"/>
      <c r="U125" s="15"/>
      <c r="V125" s="15"/>
      <c r="W125" s="15"/>
      <c r="X125" s="15"/>
    </row>
    <row r="126" customFormat="false" ht="15" hidden="false" customHeight="false" outlineLevel="0" collapsed="false">
      <c r="A126" s="15"/>
      <c r="B126" s="15"/>
      <c r="C126" s="16" t="str">
        <f aca="false">IF($B126="","",IFERROR(INDEX(Equipos!$C$3:$C$202,MATCH($B126,Equipos!$B$3:$B$202,0)),""))</f>
        <v/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30"/>
      <c r="P126" s="31" t="str">
        <f aca="false">IF(OR($B126="",$I126="No",$O126=""),"",$O126+IFERROR(VLOOKUP($K126,Listas!$H$2:$I$4,2,0),365))</f>
        <v/>
      </c>
      <c r="Q126" s="16" t="str">
        <f aca="true">IF($B126="","",IF($I126="No","NO APLICA",IF($P126="","SIN REGISTRO",IF($P126&lt;TODAY(),"VENCIDO",IF($P126&lt;=TODAY()+60,"POR VENCER","VIGENTE")))))</f>
        <v/>
      </c>
      <c r="R126" s="15"/>
      <c r="S126" s="15"/>
      <c r="T126" s="15"/>
      <c r="U126" s="15"/>
      <c r="V126" s="15"/>
      <c r="W126" s="15"/>
      <c r="X126" s="15"/>
    </row>
    <row r="127" customFormat="false" ht="15" hidden="false" customHeight="false" outlineLevel="0" collapsed="false">
      <c r="A127" s="15"/>
      <c r="B127" s="15"/>
      <c r="C127" s="16" t="str">
        <f aca="false">IF($B127="","",IFERROR(INDEX(Equipos!$C$3:$C$202,MATCH($B127,Equipos!$B$3:$B$202,0)),""))</f>
        <v/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30"/>
      <c r="P127" s="31" t="str">
        <f aca="false">IF(OR($B127="",$I127="No",$O127=""),"",$O127+IFERROR(VLOOKUP($K127,Listas!$H$2:$I$4,2,0),365))</f>
        <v/>
      </c>
      <c r="Q127" s="16" t="str">
        <f aca="true">IF($B127="","",IF($I127="No","NO APLICA",IF($P127="","SIN REGISTRO",IF($P127&lt;TODAY(),"VENCIDO",IF($P127&lt;=TODAY()+60,"POR VENCER","VIGENTE")))))</f>
        <v/>
      </c>
      <c r="R127" s="15"/>
      <c r="S127" s="15"/>
      <c r="T127" s="15"/>
      <c r="U127" s="15"/>
      <c r="V127" s="15"/>
      <c r="W127" s="15"/>
      <c r="X127" s="15"/>
    </row>
    <row r="128" customFormat="false" ht="15" hidden="false" customHeight="false" outlineLevel="0" collapsed="false">
      <c r="A128" s="15"/>
      <c r="B128" s="15"/>
      <c r="C128" s="16" t="str">
        <f aca="false">IF($B128="","",IFERROR(INDEX(Equipos!$C$3:$C$202,MATCH($B128,Equipos!$B$3:$B$202,0)),""))</f>
        <v/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30"/>
      <c r="P128" s="31" t="str">
        <f aca="false">IF(OR($B128="",$I128="No",$O128=""),"",$O128+IFERROR(VLOOKUP($K128,Listas!$H$2:$I$4,2,0),365))</f>
        <v/>
      </c>
      <c r="Q128" s="16" t="str">
        <f aca="true">IF($B128="","",IF($I128="No","NO APLICA",IF($P128="","SIN REGISTRO",IF($P128&lt;TODAY(),"VENCIDO",IF($P128&lt;=TODAY()+60,"POR VENCER","VIGENTE")))))</f>
        <v/>
      </c>
      <c r="R128" s="15"/>
      <c r="S128" s="15"/>
      <c r="T128" s="15"/>
      <c r="U128" s="15"/>
      <c r="V128" s="15"/>
      <c r="W128" s="15"/>
      <c r="X128" s="15"/>
    </row>
    <row r="129" customFormat="false" ht="15" hidden="false" customHeight="false" outlineLevel="0" collapsed="false">
      <c r="A129" s="15"/>
      <c r="B129" s="15"/>
      <c r="C129" s="16" t="str">
        <f aca="false">IF($B129="","",IFERROR(INDEX(Equipos!$C$3:$C$202,MATCH($B129,Equipos!$B$3:$B$202,0)),""))</f>
        <v/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30"/>
      <c r="P129" s="31" t="str">
        <f aca="false">IF(OR($B129="",$I129="No",$O129=""),"",$O129+IFERROR(VLOOKUP($K129,Listas!$H$2:$I$4,2,0),365))</f>
        <v/>
      </c>
      <c r="Q129" s="16" t="str">
        <f aca="true">IF($B129="","",IF($I129="No","NO APLICA",IF($P129="","SIN REGISTRO",IF($P129&lt;TODAY(),"VENCIDO",IF($P129&lt;=TODAY()+60,"POR VENCER","VIGENTE")))))</f>
        <v/>
      </c>
      <c r="R129" s="15"/>
      <c r="S129" s="15"/>
      <c r="T129" s="15"/>
      <c r="U129" s="15"/>
      <c r="V129" s="15"/>
      <c r="W129" s="15"/>
      <c r="X129" s="15"/>
    </row>
    <row r="130" customFormat="false" ht="15" hidden="false" customHeight="false" outlineLevel="0" collapsed="false">
      <c r="A130" s="15"/>
      <c r="B130" s="15"/>
      <c r="C130" s="16" t="str">
        <f aca="false">IF($B130="","",IFERROR(INDEX(Equipos!$C$3:$C$202,MATCH($B130,Equipos!$B$3:$B$202,0)),""))</f>
        <v/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30"/>
      <c r="P130" s="31" t="str">
        <f aca="false">IF(OR($B130="",$I130="No",$O130=""),"",$O130+IFERROR(VLOOKUP($K130,Listas!$H$2:$I$4,2,0),365))</f>
        <v/>
      </c>
      <c r="Q130" s="16" t="str">
        <f aca="true">IF($B130="","",IF($I130="No","NO APLICA",IF($P130="","SIN REGISTRO",IF($P130&lt;TODAY(),"VENCIDO",IF($P130&lt;=TODAY()+60,"POR VENCER","VIGENTE")))))</f>
        <v/>
      </c>
      <c r="R130" s="15"/>
      <c r="S130" s="15"/>
      <c r="T130" s="15"/>
      <c r="U130" s="15"/>
      <c r="V130" s="15"/>
      <c r="W130" s="15"/>
      <c r="X130" s="15"/>
    </row>
    <row r="131" customFormat="false" ht="15" hidden="false" customHeight="false" outlineLevel="0" collapsed="false">
      <c r="A131" s="15"/>
      <c r="B131" s="15"/>
      <c r="C131" s="16" t="str">
        <f aca="false">IF($B131="","",IFERROR(INDEX(Equipos!$C$3:$C$202,MATCH($B131,Equipos!$B$3:$B$202,0)),""))</f>
        <v/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30"/>
      <c r="P131" s="31" t="str">
        <f aca="false">IF(OR($B131="",$I131="No",$O131=""),"",$O131+IFERROR(VLOOKUP($K131,Listas!$H$2:$I$4,2,0),365))</f>
        <v/>
      </c>
      <c r="Q131" s="16" t="str">
        <f aca="true">IF($B131="","",IF($I131="No","NO APLICA",IF($P131="","SIN REGISTRO",IF($P131&lt;TODAY(),"VENCIDO",IF($P131&lt;=TODAY()+60,"POR VENCER","VIGENTE")))))</f>
        <v/>
      </c>
      <c r="R131" s="15"/>
      <c r="S131" s="15"/>
      <c r="T131" s="15"/>
      <c r="U131" s="15"/>
      <c r="V131" s="15"/>
      <c r="W131" s="15"/>
      <c r="X131" s="15"/>
    </row>
    <row r="132" customFormat="false" ht="15" hidden="false" customHeight="false" outlineLevel="0" collapsed="false">
      <c r="A132" s="15"/>
      <c r="B132" s="15"/>
      <c r="C132" s="16" t="str">
        <f aca="false">IF($B132="","",IFERROR(INDEX(Equipos!$C$3:$C$202,MATCH($B132,Equipos!$B$3:$B$202,0)),""))</f>
        <v/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30"/>
      <c r="P132" s="31" t="str">
        <f aca="false">IF(OR($B132="",$I132="No",$O132=""),"",$O132+IFERROR(VLOOKUP($K132,Listas!$H$2:$I$4,2,0),365))</f>
        <v/>
      </c>
      <c r="Q132" s="16" t="str">
        <f aca="true">IF($B132="","",IF($I132="No","NO APLICA",IF($P132="","SIN REGISTRO",IF($P132&lt;TODAY(),"VENCIDO",IF($P132&lt;=TODAY()+60,"POR VENCER","VIGENTE")))))</f>
        <v/>
      </c>
      <c r="R132" s="15"/>
      <c r="S132" s="15"/>
      <c r="T132" s="15"/>
      <c r="U132" s="15"/>
      <c r="V132" s="15"/>
      <c r="W132" s="15"/>
      <c r="X132" s="15"/>
    </row>
    <row r="133" customFormat="false" ht="15" hidden="false" customHeight="false" outlineLevel="0" collapsed="false">
      <c r="A133" s="15"/>
      <c r="B133" s="15"/>
      <c r="C133" s="16" t="str">
        <f aca="false">IF($B133="","",IFERROR(INDEX(Equipos!$C$3:$C$202,MATCH($B133,Equipos!$B$3:$B$202,0)),""))</f>
        <v/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30"/>
      <c r="P133" s="31" t="str">
        <f aca="false">IF(OR($B133="",$I133="No",$O133=""),"",$O133+IFERROR(VLOOKUP($K133,Listas!$H$2:$I$4,2,0),365))</f>
        <v/>
      </c>
      <c r="Q133" s="16" t="str">
        <f aca="true">IF($B133="","",IF($I133="No","NO APLICA",IF($P133="","SIN REGISTRO",IF($P133&lt;TODAY(),"VENCIDO",IF($P133&lt;=TODAY()+60,"POR VENCER","VIGENTE")))))</f>
        <v/>
      </c>
      <c r="R133" s="15"/>
      <c r="S133" s="15"/>
      <c r="T133" s="15"/>
      <c r="U133" s="15"/>
      <c r="V133" s="15"/>
      <c r="W133" s="15"/>
      <c r="X133" s="15"/>
    </row>
    <row r="134" customFormat="false" ht="15" hidden="false" customHeight="false" outlineLevel="0" collapsed="false">
      <c r="A134" s="15"/>
      <c r="B134" s="15"/>
      <c r="C134" s="16" t="str">
        <f aca="false">IF($B134="","",IFERROR(INDEX(Equipos!$C$3:$C$202,MATCH($B134,Equipos!$B$3:$B$202,0)),""))</f>
        <v/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30"/>
      <c r="P134" s="31" t="str">
        <f aca="false">IF(OR($B134="",$I134="No",$O134=""),"",$O134+IFERROR(VLOOKUP($K134,Listas!$H$2:$I$4,2,0),365))</f>
        <v/>
      </c>
      <c r="Q134" s="16" t="str">
        <f aca="true">IF($B134="","",IF($I134="No","NO APLICA",IF($P134="","SIN REGISTRO",IF($P134&lt;TODAY(),"VENCIDO",IF($P134&lt;=TODAY()+60,"POR VENCER","VIGENTE")))))</f>
        <v/>
      </c>
      <c r="R134" s="15"/>
      <c r="S134" s="15"/>
      <c r="T134" s="15"/>
      <c r="U134" s="15"/>
      <c r="V134" s="15"/>
      <c r="W134" s="15"/>
      <c r="X134" s="15"/>
    </row>
    <row r="135" customFormat="false" ht="15" hidden="false" customHeight="false" outlineLevel="0" collapsed="false">
      <c r="A135" s="15"/>
      <c r="B135" s="15"/>
      <c r="C135" s="16" t="str">
        <f aca="false">IF($B135="","",IFERROR(INDEX(Equipos!$C$3:$C$202,MATCH($B135,Equipos!$B$3:$B$202,0)),""))</f>
        <v/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30"/>
      <c r="P135" s="31" t="str">
        <f aca="false">IF(OR($B135="",$I135="No",$O135=""),"",$O135+IFERROR(VLOOKUP($K135,Listas!$H$2:$I$4,2,0),365))</f>
        <v/>
      </c>
      <c r="Q135" s="16" t="str">
        <f aca="true">IF($B135="","",IF($I135="No","NO APLICA",IF($P135="","SIN REGISTRO",IF($P135&lt;TODAY(),"VENCIDO",IF($P135&lt;=TODAY()+60,"POR VENCER","VIGENTE")))))</f>
        <v/>
      </c>
      <c r="R135" s="15"/>
      <c r="S135" s="15"/>
      <c r="T135" s="15"/>
      <c r="U135" s="15"/>
      <c r="V135" s="15"/>
      <c r="W135" s="15"/>
      <c r="X135" s="15"/>
    </row>
    <row r="136" customFormat="false" ht="15" hidden="false" customHeight="false" outlineLevel="0" collapsed="false">
      <c r="A136" s="15"/>
      <c r="B136" s="15"/>
      <c r="C136" s="16" t="str">
        <f aca="false">IF($B136="","",IFERROR(INDEX(Equipos!$C$3:$C$202,MATCH($B136,Equipos!$B$3:$B$202,0)),""))</f>
        <v/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30"/>
      <c r="P136" s="31" t="str">
        <f aca="false">IF(OR($B136="",$I136="No",$O136=""),"",$O136+IFERROR(VLOOKUP($K136,Listas!$H$2:$I$4,2,0),365))</f>
        <v/>
      </c>
      <c r="Q136" s="16" t="str">
        <f aca="true">IF($B136="","",IF($I136="No","NO APLICA",IF($P136="","SIN REGISTRO",IF($P136&lt;TODAY(),"VENCIDO",IF($P136&lt;=TODAY()+60,"POR VENCER","VIGENTE")))))</f>
        <v/>
      </c>
      <c r="R136" s="15"/>
      <c r="S136" s="15"/>
      <c r="T136" s="15"/>
      <c r="U136" s="15"/>
      <c r="V136" s="15"/>
      <c r="W136" s="15"/>
      <c r="X136" s="15"/>
    </row>
    <row r="137" customFormat="false" ht="15" hidden="false" customHeight="false" outlineLevel="0" collapsed="false">
      <c r="A137" s="15"/>
      <c r="B137" s="15"/>
      <c r="C137" s="16" t="str">
        <f aca="false">IF($B137="","",IFERROR(INDEX(Equipos!$C$3:$C$202,MATCH($B137,Equipos!$B$3:$B$202,0)),""))</f>
        <v/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30"/>
      <c r="P137" s="31" t="str">
        <f aca="false">IF(OR($B137="",$I137="No",$O137=""),"",$O137+IFERROR(VLOOKUP($K137,Listas!$H$2:$I$4,2,0),365))</f>
        <v/>
      </c>
      <c r="Q137" s="16" t="str">
        <f aca="true">IF($B137="","",IF($I137="No","NO APLICA",IF($P137="","SIN REGISTRO",IF($P137&lt;TODAY(),"VENCIDO",IF($P137&lt;=TODAY()+60,"POR VENCER","VIGENTE")))))</f>
        <v/>
      </c>
      <c r="R137" s="15"/>
      <c r="S137" s="15"/>
      <c r="T137" s="15"/>
      <c r="U137" s="15"/>
      <c r="V137" s="15"/>
      <c r="W137" s="15"/>
      <c r="X137" s="15"/>
    </row>
    <row r="138" customFormat="false" ht="15" hidden="false" customHeight="false" outlineLevel="0" collapsed="false">
      <c r="A138" s="15"/>
      <c r="B138" s="15"/>
      <c r="C138" s="16" t="str">
        <f aca="false">IF($B138="","",IFERROR(INDEX(Equipos!$C$3:$C$202,MATCH($B138,Equipos!$B$3:$B$202,0)),""))</f>
        <v/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30"/>
      <c r="P138" s="31" t="str">
        <f aca="false">IF(OR($B138="",$I138="No",$O138=""),"",$O138+IFERROR(VLOOKUP($K138,Listas!$H$2:$I$4,2,0),365))</f>
        <v/>
      </c>
      <c r="Q138" s="16" t="str">
        <f aca="true">IF($B138="","",IF($I138="No","NO APLICA",IF($P138="","SIN REGISTRO",IF($P138&lt;TODAY(),"VENCIDO",IF($P138&lt;=TODAY()+60,"POR VENCER","VIGENTE")))))</f>
        <v/>
      </c>
      <c r="R138" s="15"/>
      <c r="S138" s="15"/>
      <c r="T138" s="15"/>
      <c r="U138" s="15"/>
      <c r="V138" s="15"/>
      <c r="W138" s="15"/>
      <c r="X138" s="15"/>
    </row>
    <row r="139" customFormat="false" ht="15" hidden="false" customHeight="false" outlineLevel="0" collapsed="false">
      <c r="A139" s="15"/>
      <c r="B139" s="15"/>
      <c r="C139" s="16" t="str">
        <f aca="false">IF($B139="","",IFERROR(INDEX(Equipos!$C$3:$C$202,MATCH($B139,Equipos!$B$3:$B$202,0)),""))</f>
        <v/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30"/>
      <c r="P139" s="31" t="str">
        <f aca="false">IF(OR($B139="",$I139="No",$O139=""),"",$O139+IFERROR(VLOOKUP($K139,Listas!$H$2:$I$4,2,0),365))</f>
        <v/>
      </c>
      <c r="Q139" s="16" t="str">
        <f aca="true">IF($B139="","",IF($I139="No","NO APLICA",IF($P139="","SIN REGISTRO",IF($P139&lt;TODAY(),"VENCIDO",IF($P139&lt;=TODAY()+60,"POR VENCER","VIGENTE")))))</f>
        <v/>
      </c>
      <c r="R139" s="15"/>
      <c r="S139" s="15"/>
      <c r="T139" s="15"/>
      <c r="U139" s="15"/>
      <c r="V139" s="15"/>
      <c r="W139" s="15"/>
      <c r="X139" s="15"/>
    </row>
    <row r="140" customFormat="false" ht="15" hidden="false" customHeight="false" outlineLevel="0" collapsed="false">
      <c r="A140" s="15"/>
      <c r="B140" s="15"/>
      <c r="C140" s="16" t="str">
        <f aca="false">IF($B140="","",IFERROR(INDEX(Equipos!$C$3:$C$202,MATCH($B140,Equipos!$B$3:$B$202,0)),""))</f>
        <v/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30"/>
      <c r="P140" s="31" t="str">
        <f aca="false">IF(OR($B140="",$I140="No",$O140=""),"",$O140+IFERROR(VLOOKUP($K140,Listas!$H$2:$I$4,2,0),365))</f>
        <v/>
      </c>
      <c r="Q140" s="16" t="str">
        <f aca="true">IF($B140="","",IF($I140="No","NO APLICA",IF($P140="","SIN REGISTRO",IF($P140&lt;TODAY(),"VENCIDO",IF($P140&lt;=TODAY()+60,"POR VENCER","VIGENTE")))))</f>
        <v/>
      </c>
      <c r="R140" s="15"/>
      <c r="S140" s="15"/>
      <c r="T140" s="15"/>
      <c r="U140" s="15"/>
      <c r="V140" s="15"/>
      <c r="W140" s="15"/>
      <c r="X140" s="15"/>
    </row>
    <row r="141" customFormat="false" ht="15" hidden="false" customHeight="false" outlineLevel="0" collapsed="false">
      <c r="A141" s="15"/>
      <c r="B141" s="15"/>
      <c r="C141" s="16" t="str">
        <f aca="false">IF($B141="","",IFERROR(INDEX(Equipos!$C$3:$C$202,MATCH($B141,Equipos!$B$3:$B$202,0)),""))</f>
        <v/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30"/>
      <c r="P141" s="31" t="str">
        <f aca="false">IF(OR($B141="",$I141="No",$O141=""),"",$O141+IFERROR(VLOOKUP($K141,Listas!$H$2:$I$4,2,0),365))</f>
        <v/>
      </c>
      <c r="Q141" s="16" t="str">
        <f aca="true">IF($B141="","",IF($I141="No","NO APLICA",IF($P141="","SIN REGISTRO",IF($P141&lt;TODAY(),"VENCIDO",IF($P141&lt;=TODAY()+60,"POR VENCER","VIGENTE")))))</f>
        <v/>
      </c>
      <c r="R141" s="15"/>
      <c r="S141" s="15"/>
      <c r="T141" s="15"/>
      <c r="U141" s="15"/>
      <c r="V141" s="15"/>
      <c r="W141" s="15"/>
      <c r="X141" s="15"/>
    </row>
    <row r="142" customFormat="false" ht="15" hidden="false" customHeight="false" outlineLevel="0" collapsed="false">
      <c r="A142" s="15"/>
      <c r="B142" s="15"/>
      <c r="C142" s="16" t="str">
        <f aca="false">IF($B142="","",IFERROR(INDEX(Equipos!$C$3:$C$202,MATCH($B142,Equipos!$B$3:$B$202,0)),""))</f>
        <v/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30"/>
      <c r="P142" s="31" t="str">
        <f aca="false">IF(OR($B142="",$I142="No",$O142=""),"",$O142+IFERROR(VLOOKUP($K142,Listas!$H$2:$I$4,2,0),365))</f>
        <v/>
      </c>
      <c r="Q142" s="16" t="str">
        <f aca="true">IF($B142="","",IF($I142="No","NO APLICA",IF($P142="","SIN REGISTRO",IF($P142&lt;TODAY(),"VENCIDO",IF($P142&lt;=TODAY()+60,"POR VENCER","VIGENTE")))))</f>
        <v/>
      </c>
      <c r="R142" s="15"/>
      <c r="S142" s="15"/>
      <c r="T142" s="15"/>
      <c r="U142" s="15"/>
      <c r="V142" s="15"/>
      <c r="W142" s="15"/>
      <c r="X142" s="15"/>
    </row>
    <row r="143" customFormat="false" ht="15" hidden="false" customHeight="false" outlineLevel="0" collapsed="false">
      <c r="A143" s="15"/>
      <c r="B143" s="15"/>
      <c r="C143" s="16" t="str">
        <f aca="false">IF($B143="","",IFERROR(INDEX(Equipos!$C$3:$C$202,MATCH($B143,Equipos!$B$3:$B$202,0)),""))</f>
        <v/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30"/>
      <c r="P143" s="31" t="str">
        <f aca="false">IF(OR($B143="",$I143="No",$O143=""),"",$O143+IFERROR(VLOOKUP($K143,Listas!$H$2:$I$4,2,0),365))</f>
        <v/>
      </c>
      <c r="Q143" s="16" t="str">
        <f aca="true">IF($B143="","",IF($I143="No","NO APLICA",IF($P143="","SIN REGISTRO",IF($P143&lt;TODAY(),"VENCIDO",IF($P143&lt;=TODAY()+60,"POR VENCER","VIGENTE")))))</f>
        <v/>
      </c>
      <c r="R143" s="15"/>
      <c r="S143" s="15"/>
      <c r="T143" s="15"/>
      <c r="U143" s="15"/>
      <c r="V143" s="15"/>
      <c r="W143" s="15"/>
      <c r="X143" s="15"/>
    </row>
    <row r="144" customFormat="false" ht="15" hidden="false" customHeight="false" outlineLevel="0" collapsed="false">
      <c r="A144" s="15"/>
      <c r="B144" s="15"/>
      <c r="C144" s="16" t="str">
        <f aca="false">IF($B144="","",IFERROR(INDEX(Equipos!$C$3:$C$202,MATCH($B144,Equipos!$B$3:$B$202,0)),""))</f>
        <v/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30"/>
      <c r="P144" s="31" t="str">
        <f aca="false">IF(OR($B144="",$I144="No",$O144=""),"",$O144+IFERROR(VLOOKUP($K144,Listas!$H$2:$I$4,2,0),365))</f>
        <v/>
      </c>
      <c r="Q144" s="16" t="str">
        <f aca="true">IF($B144="","",IF($I144="No","NO APLICA",IF($P144="","SIN REGISTRO",IF($P144&lt;TODAY(),"VENCIDO",IF($P144&lt;=TODAY()+60,"POR VENCER","VIGENTE")))))</f>
        <v/>
      </c>
      <c r="R144" s="15"/>
      <c r="S144" s="15"/>
      <c r="T144" s="15"/>
      <c r="U144" s="15"/>
      <c r="V144" s="15"/>
      <c r="W144" s="15"/>
      <c r="X144" s="15"/>
    </row>
    <row r="145" customFormat="false" ht="15" hidden="false" customHeight="false" outlineLevel="0" collapsed="false">
      <c r="A145" s="15"/>
      <c r="B145" s="15"/>
      <c r="C145" s="16" t="str">
        <f aca="false">IF($B145="","",IFERROR(INDEX(Equipos!$C$3:$C$202,MATCH($B145,Equipos!$B$3:$B$202,0)),""))</f>
        <v/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30"/>
      <c r="P145" s="31" t="str">
        <f aca="false">IF(OR($B145="",$I145="No",$O145=""),"",$O145+IFERROR(VLOOKUP($K145,Listas!$H$2:$I$4,2,0),365))</f>
        <v/>
      </c>
      <c r="Q145" s="16" t="str">
        <f aca="true">IF($B145="","",IF($I145="No","NO APLICA",IF($P145="","SIN REGISTRO",IF($P145&lt;TODAY(),"VENCIDO",IF($P145&lt;=TODAY()+60,"POR VENCER","VIGENTE")))))</f>
        <v/>
      </c>
      <c r="R145" s="15"/>
      <c r="S145" s="15"/>
      <c r="T145" s="15"/>
      <c r="U145" s="15"/>
      <c r="V145" s="15"/>
      <c r="W145" s="15"/>
      <c r="X145" s="15"/>
    </row>
    <row r="146" customFormat="false" ht="15" hidden="false" customHeight="false" outlineLevel="0" collapsed="false">
      <c r="A146" s="15"/>
      <c r="B146" s="15"/>
      <c r="C146" s="16" t="str">
        <f aca="false">IF($B146="","",IFERROR(INDEX(Equipos!$C$3:$C$202,MATCH($B146,Equipos!$B$3:$B$202,0)),""))</f>
        <v/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30"/>
      <c r="P146" s="31" t="str">
        <f aca="false">IF(OR($B146="",$I146="No",$O146=""),"",$O146+IFERROR(VLOOKUP($K146,Listas!$H$2:$I$4,2,0),365))</f>
        <v/>
      </c>
      <c r="Q146" s="16" t="str">
        <f aca="true">IF($B146="","",IF($I146="No","NO APLICA",IF($P146="","SIN REGISTRO",IF($P146&lt;TODAY(),"VENCIDO",IF($P146&lt;=TODAY()+60,"POR VENCER","VIGENTE")))))</f>
        <v/>
      </c>
      <c r="R146" s="15"/>
      <c r="S146" s="15"/>
      <c r="T146" s="15"/>
      <c r="U146" s="15"/>
      <c r="V146" s="15"/>
      <c r="W146" s="15"/>
      <c r="X146" s="15"/>
    </row>
    <row r="147" customFormat="false" ht="15" hidden="false" customHeight="false" outlineLevel="0" collapsed="false">
      <c r="A147" s="15"/>
      <c r="B147" s="15"/>
      <c r="C147" s="16" t="str">
        <f aca="false">IF($B147="","",IFERROR(INDEX(Equipos!$C$3:$C$202,MATCH($B147,Equipos!$B$3:$B$202,0)),""))</f>
        <v/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30"/>
      <c r="P147" s="31" t="str">
        <f aca="false">IF(OR($B147="",$I147="No",$O147=""),"",$O147+IFERROR(VLOOKUP($K147,Listas!$H$2:$I$4,2,0),365))</f>
        <v/>
      </c>
      <c r="Q147" s="16" t="str">
        <f aca="true">IF($B147="","",IF($I147="No","NO APLICA",IF($P147="","SIN REGISTRO",IF($P147&lt;TODAY(),"VENCIDO",IF($P147&lt;=TODAY()+60,"POR VENCER","VIGENTE")))))</f>
        <v/>
      </c>
      <c r="R147" s="15"/>
      <c r="S147" s="15"/>
      <c r="T147" s="15"/>
      <c r="U147" s="15"/>
      <c r="V147" s="15"/>
      <c r="W147" s="15"/>
      <c r="X147" s="15"/>
    </row>
    <row r="148" customFormat="false" ht="15" hidden="false" customHeight="false" outlineLevel="0" collapsed="false">
      <c r="A148" s="15"/>
      <c r="B148" s="15"/>
      <c r="C148" s="16" t="str">
        <f aca="false">IF($B148="","",IFERROR(INDEX(Equipos!$C$3:$C$202,MATCH($B148,Equipos!$B$3:$B$202,0)),""))</f>
        <v/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30"/>
      <c r="P148" s="31" t="str">
        <f aca="false">IF(OR($B148="",$I148="No",$O148=""),"",$O148+IFERROR(VLOOKUP($K148,Listas!$H$2:$I$4,2,0),365))</f>
        <v/>
      </c>
      <c r="Q148" s="16" t="str">
        <f aca="true">IF($B148="","",IF($I148="No","NO APLICA",IF($P148="","SIN REGISTRO",IF($P148&lt;TODAY(),"VENCIDO",IF($P148&lt;=TODAY()+60,"POR VENCER","VIGENTE")))))</f>
        <v/>
      </c>
      <c r="R148" s="15"/>
      <c r="S148" s="15"/>
      <c r="T148" s="15"/>
      <c r="U148" s="15"/>
      <c r="V148" s="15"/>
      <c r="W148" s="15"/>
      <c r="X148" s="15"/>
    </row>
    <row r="149" customFormat="false" ht="15" hidden="false" customHeight="false" outlineLevel="0" collapsed="false">
      <c r="A149" s="15"/>
      <c r="B149" s="15"/>
      <c r="C149" s="16" t="str">
        <f aca="false">IF($B149="","",IFERROR(INDEX(Equipos!$C$3:$C$202,MATCH($B149,Equipos!$B$3:$B$202,0)),""))</f>
        <v/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30"/>
      <c r="P149" s="31" t="str">
        <f aca="false">IF(OR($B149="",$I149="No",$O149=""),"",$O149+IFERROR(VLOOKUP($K149,Listas!$H$2:$I$4,2,0),365))</f>
        <v/>
      </c>
      <c r="Q149" s="16" t="str">
        <f aca="true">IF($B149="","",IF($I149="No","NO APLICA",IF($P149="","SIN REGISTRO",IF($P149&lt;TODAY(),"VENCIDO",IF($P149&lt;=TODAY()+60,"POR VENCER","VIGENTE")))))</f>
        <v/>
      </c>
      <c r="R149" s="15"/>
      <c r="S149" s="15"/>
      <c r="T149" s="15"/>
      <c r="U149" s="15"/>
      <c r="V149" s="15"/>
      <c r="W149" s="15"/>
      <c r="X149" s="15"/>
    </row>
    <row r="150" customFormat="false" ht="15" hidden="false" customHeight="false" outlineLevel="0" collapsed="false">
      <c r="A150" s="15"/>
      <c r="B150" s="15"/>
      <c r="C150" s="16" t="str">
        <f aca="false">IF($B150="","",IFERROR(INDEX(Equipos!$C$3:$C$202,MATCH($B150,Equipos!$B$3:$B$202,0)),""))</f>
        <v/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30"/>
      <c r="P150" s="31" t="str">
        <f aca="false">IF(OR($B150="",$I150="No",$O150=""),"",$O150+IFERROR(VLOOKUP($K150,Listas!$H$2:$I$4,2,0),365))</f>
        <v/>
      </c>
      <c r="Q150" s="16" t="str">
        <f aca="true">IF($B150="","",IF($I150="No","NO APLICA",IF($P150="","SIN REGISTRO",IF($P150&lt;TODAY(),"VENCIDO",IF($P150&lt;=TODAY()+60,"POR VENCER","VIGENTE")))))</f>
        <v/>
      </c>
      <c r="R150" s="15"/>
      <c r="S150" s="15"/>
      <c r="T150" s="15"/>
      <c r="U150" s="15"/>
      <c r="V150" s="15"/>
      <c r="W150" s="15"/>
      <c r="X150" s="15"/>
    </row>
    <row r="151" customFormat="false" ht="15" hidden="false" customHeight="false" outlineLevel="0" collapsed="false">
      <c r="A151" s="15"/>
      <c r="B151" s="15"/>
      <c r="C151" s="16" t="str">
        <f aca="false">IF($B151="","",IFERROR(INDEX(Equipos!$C$3:$C$202,MATCH($B151,Equipos!$B$3:$B$202,0)),""))</f>
        <v/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30"/>
      <c r="P151" s="31" t="str">
        <f aca="false">IF(OR($B151="",$I151="No",$O151=""),"",$O151+IFERROR(VLOOKUP($K151,Listas!$H$2:$I$4,2,0),365))</f>
        <v/>
      </c>
      <c r="Q151" s="16" t="str">
        <f aca="true">IF($B151="","",IF($I151="No","NO APLICA",IF($P151="","SIN REGISTRO",IF($P151&lt;TODAY(),"VENCIDO",IF($P151&lt;=TODAY()+60,"POR VENCER","VIGENTE")))))</f>
        <v/>
      </c>
      <c r="R151" s="15"/>
      <c r="S151" s="15"/>
      <c r="T151" s="15"/>
      <c r="U151" s="15"/>
      <c r="V151" s="15"/>
      <c r="W151" s="15"/>
      <c r="X151" s="15"/>
    </row>
    <row r="152" customFormat="false" ht="15" hidden="false" customHeight="false" outlineLevel="0" collapsed="false">
      <c r="A152" s="15"/>
      <c r="B152" s="15"/>
      <c r="C152" s="16" t="str">
        <f aca="false">IF($B152="","",IFERROR(INDEX(Equipos!$C$3:$C$202,MATCH($B152,Equipos!$B$3:$B$202,0)),""))</f>
        <v/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30"/>
      <c r="P152" s="31" t="str">
        <f aca="false">IF(OR($B152="",$I152="No",$O152=""),"",$O152+IFERROR(VLOOKUP($K152,Listas!$H$2:$I$4,2,0),365))</f>
        <v/>
      </c>
      <c r="Q152" s="16" t="str">
        <f aca="true">IF($B152="","",IF($I152="No","NO APLICA",IF($P152="","SIN REGISTRO",IF($P152&lt;TODAY(),"VENCIDO",IF($P152&lt;=TODAY()+60,"POR VENCER","VIGENTE")))))</f>
        <v/>
      </c>
      <c r="R152" s="15"/>
      <c r="S152" s="15"/>
      <c r="T152" s="15"/>
      <c r="U152" s="15"/>
      <c r="V152" s="15"/>
      <c r="W152" s="15"/>
      <c r="X152" s="15"/>
    </row>
  </sheetData>
  <sheetProtection sheet="true" formatCells="false" formatColumns="false" formatRows="false" insertRows="false" sort="false" autoFilter="false"/>
  <autoFilter ref="A2:X152"/>
  <mergeCells count="2">
    <mergeCell ref="B1:U1"/>
    <mergeCell ref="V1:X1"/>
  </mergeCells>
  <conditionalFormatting sqref="Q3:Q152">
    <cfRule type="cellIs" priority="2" operator="equal" aboveAverage="0" equalAverage="0" bottom="0" percent="0" rank="0" text="" dxfId="7">
      <formula>"VENCIDO"</formula>
    </cfRule>
    <cfRule type="cellIs" priority="3" operator="equal" aboveAverage="0" equalAverage="0" bottom="0" percent="0" rank="0" text="" dxfId="14">
      <formula>"POR VENCER"</formula>
    </cfRule>
    <cfRule type="cellIs" priority="4" operator="equal" aboveAverage="0" equalAverage="0" bottom="0" percent="0" rank="0" text="" dxfId="15">
      <formula>"VIGENTE"</formula>
    </cfRule>
    <cfRule type="cellIs" priority="5" operator="equal" aboveAverage="0" equalAverage="0" bottom="0" percent="0" rank="0" text="" dxfId="16">
      <formula>"SIN REGISTRO"</formula>
    </cfRule>
  </conditionalFormatting>
  <conditionalFormatting sqref="A3:X152">
    <cfRule type="expression" priority="6" aboveAverage="0" equalAverage="0" bottom="0" percent="0" rank="0" text="" dxfId="8">
      <formula>$Q3="VENCIDO"</formula>
    </cfRule>
    <cfRule type="expression" priority="7" aboveAverage="0" equalAverage="0" bottom="0" percent="0" rank="0" text="" dxfId="17">
      <formula>$Q3="POR VENCER"</formula>
    </cfRule>
  </conditionalFormatting>
  <dataValidations count="6">
    <dataValidation allowBlank="true" errorStyle="stop" operator="between" showDropDown="false" showErrorMessage="false" showInputMessage="false" sqref="B3:B152" type="list">
      <formula1>Equipos!$B$3:$B$202</formula1>
      <formula2>0</formula2>
    </dataValidation>
    <dataValidation allowBlank="true" errorStyle="stop" operator="between" showDropDown="false" showErrorMessage="false" showInputMessage="false" sqref="I3:I152" type="list">
      <formula1>Listas!$K$2:$K$3</formula1>
      <formula2>0</formula2>
    </dataValidation>
    <dataValidation allowBlank="true" errorStyle="stop" operator="between" showDropDown="false" showErrorMessage="false" showInputMessage="false" sqref="J3:J152" type="list">
      <formula1>Listas!$M$2:$M$3</formula1>
      <formula2>0</formula2>
    </dataValidation>
    <dataValidation allowBlank="true" errorStyle="stop" operator="between" showDropDown="false" showErrorMessage="false" showInputMessage="false" sqref="K3:K152" type="list">
      <formula1>Listas!$H$2:$H$4</formula1>
      <formula2>0</formula2>
    </dataValidation>
    <dataValidation allowBlank="true" errorStyle="stop" operator="between" showDropDown="false" showErrorMessage="false" showInputMessage="false" sqref="N3:N152" type="list">
      <formula1>Listas!$O$2:$O$4</formula1>
      <formula2>0</formula2>
    </dataValidation>
    <dataValidation allowBlank="true" errorStyle="stop" operator="between" showDropDown="false" showErrorMessage="false" showInputMessage="false" sqref="W3:W152" type="list">
      <formula1>Listas!$K$2:$K$3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43.5" hidden="false" customHeight="true" outlineLevel="0" collapsed="false">
      <c r="A1" s="1"/>
      <c r="B1" s="2" t="s">
        <v>346</v>
      </c>
      <c r="C1" s="2"/>
      <c r="D1" s="2"/>
      <c r="E1" s="2"/>
      <c r="F1" s="3" t="s">
        <v>1</v>
      </c>
      <c r="G1" s="3"/>
      <c r="H1" s="3"/>
    </row>
    <row r="3" customFormat="false" ht="15" hidden="false" customHeight="false" outlineLevel="0" collapsed="false">
      <c r="A3" s="4" t="s">
        <v>347</v>
      </c>
      <c r="B3" s="32" t="n">
        <f aca="false">'Plan Maestro'!$B$2</f>
        <v>2026</v>
      </c>
    </row>
    <row r="5" customFormat="false" ht="15" hidden="false" customHeight="false" outlineLevel="0" collapsed="false">
      <c r="A5" s="33" t="s">
        <v>348</v>
      </c>
      <c r="D5" s="33" t="s">
        <v>349</v>
      </c>
    </row>
    <row r="6" customFormat="false" ht="15" hidden="false" customHeight="false" outlineLevel="0" collapsed="false">
      <c r="A6" s="34" t="s">
        <v>350</v>
      </c>
      <c r="B6" s="35" t="n">
        <f aca="false">SUM('Plan Maestro'!BD5:BD124)</f>
        <v>19</v>
      </c>
      <c r="D6" s="34" t="s">
        <v>351</v>
      </c>
      <c r="E6" s="35" t="n">
        <f aca="false">COUNTIF(Calibración!$I$3:$I$152,"Sí")</f>
        <v>43</v>
      </c>
    </row>
    <row r="7" customFormat="false" ht="15" hidden="false" customHeight="false" outlineLevel="0" collapsed="false">
      <c r="A7" s="34" t="s">
        <v>352</v>
      </c>
      <c r="B7" s="35" t="n">
        <f aca="false">SUM('Plan Maestro'!BE5:BE124)</f>
        <v>1</v>
      </c>
      <c r="D7" s="34" t="s">
        <v>353</v>
      </c>
      <c r="E7" s="36" t="n">
        <f aca="false">COUNTIF(Calibración!$Q$3:$Q$152,"VIGENTE")</f>
        <v>25</v>
      </c>
    </row>
    <row r="8" customFormat="false" ht="15" hidden="false" customHeight="false" outlineLevel="0" collapsed="false">
      <c r="A8" s="34" t="s">
        <v>354</v>
      </c>
      <c r="B8" s="35" t="n">
        <f aca="false">COUNTIF(Historial!$H$3:$H$502,'Plan Maestro'!$B$2)</f>
        <v>1</v>
      </c>
      <c r="D8" s="34" t="s">
        <v>355</v>
      </c>
      <c r="E8" s="37" t="n">
        <f aca="false">COUNTIF(Calibración!$Q$3:$Q$152,"POR VENCER")</f>
        <v>0</v>
      </c>
    </row>
    <row r="9" customFormat="false" ht="15" hidden="false" customHeight="false" outlineLevel="0" collapsed="false">
      <c r="A9" s="34" t="s">
        <v>356</v>
      </c>
      <c r="B9" s="38" t="n">
        <f aca="false">IF(B6=0,"",B7/B6)</f>
        <v>0.0526315789473684</v>
      </c>
      <c r="D9" s="34" t="s">
        <v>357</v>
      </c>
      <c r="E9" s="39" t="n">
        <f aca="false">COUNTIF(Calibración!$Q$3:$Q$152,"VENCIDO")</f>
        <v>16</v>
      </c>
    </row>
    <row r="10" customFormat="false" ht="15" hidden="false" customHeight="false" outlineLevel="0" collapsed="false">
      <c r="D10" s="34" t="s">
        <v>358</v>
      </c>
      <c r="E10" s="40" t="n">
        <f aca="false">COUNTIF(Calibración!$Q$3:$Q$152,"SIN REGISTRO")</f>
        <v>2</v>
      </c>
    </row>
    <row r="11" customFormat="false" ht="15" hidden="false" customHeight="false" outlineLevel="0" collapsed="false">
      <c r="D11" s="34" t="s">
        <v>359</v>
      </c>
      <c r="E11" s="38" t="n">
        <f aca="false">IF(E6=0,"",E7/E6)</f>
        <v>0.581395348837209</v>
      </c>
    </row>
    <row r="13" customFormat="false" ht="15" hidden="false" customHeight="false" outlineLevel="0" collapsed="false">
      <c r="A13" s="4" t="s">
        <v>360</v>
      </c>
    </row>
    <row r="14" customFormat="false" ht="15" hidden="false" customHeight="false" outlineLevel="0" collapsed="false">
      <c r="A14" s="14" t="s">
        <v>31</v>
      </c>
      <c r="B14" s="14" t="s">
        <v>361</v>
      </c>
      <c r="C14" s="14" t="s">
        <v>362</v>
      </c>
      <c r="D14" s="14" t="s">
        <v>363</v>
      </c>
    </row>
    <row r="15" customFormat="false" ht="15" hidden="false" customHeight="false" outlineLevel="0" collapsed="false">
      <c r="A15" s="24" t="str">
        <f aca="false">IF(Equipos!$B3="","",Equipos!$B3)</f>
        <v>HVAC</v>
      </c>
      <c r="B15" s="41" t="n">
        <f aca="false">IF($A15="","",SUMIF('Plan Maestro'!$A$5:$A$124,$A15,'Plan Maestro'!$BD$5:$BD$124))</f>
        <v>4</v>
      </c>
      <c r="C15" s="41" t="n">
        <f aca="false">IF($A15="","",SUMIF('Plan Maestro'!$A$5:$A$124,$A15,'Plan Maestro'!$BE$5:$BE$124))</f>
        <v>0</v>
      </c>
      <c r="D15" s="42" t="n">
        <f aca="false">IF(OR($A15="",B15=0),"",C15/B15)</f>
        <v>0</v>
      </c>
    </row>
    <row r="16" customFormat="false" ht="15" hidden="false" customHeight="false" outlineLevel="0" collapsed="false">
      <c r="A16" s="24" t="str">
        <f aca="false">IF(Equipos!$B4="","",Equipos!$B4)</f>
        <v>VETS</v>
      </c>
      <c r="B16" s="41" t="n">
        <f aca="false">IF($A16="","",SUMIF('Plan Maestro'!$A$5:$A$124,$A16,'Plan Maestro'!$BD$5:$BD$124))</f>
        <v>0</v>
      </c>
      <c r="C16" s="41" t="n">
        <f aca="false">IF($A16="","",SUMIF('Plan Maestro'!$A$5:$A$124,$A16,'Plan Maestro'!$BE$5:$BE$124))</f>
        <v>0</v>
      </c>
      <c r="D16" s="42" t="str">
        <f aca="false">IF(OR($A16="",B16=0),"",C16/B16)</f>
        <v/>
      </c>
    </row>
    <row r="17" customFormat="false" ht="15" hidden="false" customHeight="false" outlineLevel="0" collapsed="false">
      <c r="A17" s="24" t="str">
        <f aca="false">IF(Equipos!$B5="","",Equipos!$B5)</f>
        <v>Clean Cham</v>
      </c>
      <c r="B17" s="41" t="n">
        <f aca="false">IF($A17="","",SUMIF('Plan Maestro'!$A$5:$A$124,$A17,'Plan Maestro'!$BD$5:$BD$124))</f>
        <v>2</v>
      </c>
      <c r="C17" s="41" t="n">
        <f aca="false">IF($A17="","",SUMIF('Plan Maestro'!$A$5:$A$124,$A17,'Plan Maestro'!$BE$5:$BE$124))</f>
        <v>0</v>
      </c>
      <c r="D17" s="42" t="n">
        <f aca="false">IF(OR($A17="",B17=0),"",C17/B17)</f>
        <v>0</v>
      </c>
    </row>
    <row r="18" customFormat="false" ht="15" hidden="false" customHeight="false" outlineLevel="0" collapsed="false">
      <c r="A18" s="24" t="str">
        <f aca="false">IF(Equipos!$B6="","",Equipos!$B6)</f>
        <v>CFO</v>
      </c>
      <c r="B18" s="41" t="n">
        <f aca="false">IF($A18="","",SUMIF('Plan Maestro'!$A$5:$A$124,$A18,'Plan Maestro'!$BD$5:$BD$124))</f>
        <v>0</v>
      </c>
      <c r="C18" s="41" t="n">
        <f aca="false">IF($A18="","",SUMIF('Plan Maestro'!$A$5:$A$124,$A18,'Plan Maestro'!$BE$5:$BE$124))</f>
        <v>0</v>
      </c>
      <c r="D18" s="42" t="str">
        <f aca="false">IF(OR($A18="",B18=0),"",C18/B18)</f>
        <v/>
      </c>
    </row>
    <row r="19" customFormat="false" ht="15" hidden="false" customHeight="false" outlineLevel="0" collapsed="false">
      <c r="A19" s="24" t="str">
        <f aca="false">IF(Equipos!$B7="","",Equipos!$B7)</f>
        <v>CPC-100</v>
      </c>
      <c r="B19" s="41" t="n">
        <f aca="false">IF($A19="","",SUMIF('Plan Maestro'!$A$5:$A$124,$A19,'Plan Maestro'!$BD$5:$BD$124))</f>
        <v>0</v>
      </c>
      <c r="C19" s="41" t="n">
        <f aca="false">IF($A19="","",SUMIF('Plan Maestro'!$A$5:$A$124,$A19,'Plan Maestro'!$BE$5:$BE$124))</f>
        <v>0</v>
      </c>
      <c r="D19" s="42" t="str">
        <f aca="false">IF(OR($A19="",B19=0),"",C19/B19)</f>
        <v/>
      </c>
    </row>
    <row r="20" customFormat="false" ht="15" hidden="false" customHeight="false" outlineLevel="0" collapsed="false">
      <c r="A20" s="24" t="str">
        <f aca="false">IF(Equipos!$B8="","",Equipos!$B8)</f>
        <v>Rack</v>
      </c>
      <c r="B20" s="41" t="n">
        <f aca="false">IF($A20="","",SUMIF('Plan Maestro'!$A$5:$A$124,$A20,'Plan Maestro'!$BD$5:$BD$124))</f>
        <v>0</v>
      </c>
      <c r="C20" s="41" t="n">
        <f aca="false">IF($A20="","",SUMIF('Plan Maestro'!$A$5:$A$124,$A20,'Plan Maestro'!$BE$5:$BE$124))</f>
        <v>0</v>
      </c>
      <c r="D20" s="42" t="str">
        <f aca="false">IF(OR($A20="",B20=0),"",C20/B20)</f>
        <v/>
      </c>
    </row>
    <row r="21" customFormat="false" ht="15" hidden="false" customHeight="false" outlineLevel="0" collapsed="false">
      <c r="A21" s="24" t="str">
        <f aca="false">IF(Equipos!$B9="","",Equipos!$B9)</f>
        <v>Venturi</v>
      </c>
      <c r="B21" s="41" t="n">
        <f aca="false">IF($A21="","",SUMIF('Plan Maestro'!$A$5:$A$124,$A21,'Plan Maestro'!$BD$5:$BD$124))</f>
        <v>0</v>
      </c>
      <c r="C21" s="41" t="n">
        <f aca="false">IF($A21="","",SUMIF('Plan Maestro'!$A$5:$A$124,$A21,'Plan Maestro'!$BE$5:$BE$124))</f>
        <v>0</v>
      </c>
      <c r="D21" s="42" t="str">
        <f aca="false">IF(OR($A21="",B21=0),"",C21/B21)</f>
        <v/>
      </c>
    </row>
    <row r="22" customFormat="false" ht="15" hidden="false" customHeight="false" outlineLevel="0" collapsed="false">
      <c r="A22" s="24" t="str">
        <f aca="false">IF(Equipos!$B10="","",Equipos!$B10)</f>
        <v>GDC</v>
      </c>
      <c r="B22" s="41" t="n">
        <f aca="false">IF($A22="","",SUMIF('Plan Maestro'!$A$5:$A$124,$A22,'Plan Maestro'!$BD$5:$BD$124))</f>
        <v>0</v>
      </c>
      <c r="C22" s="41" t="n">
        <f aca="false">IF($A22="","",SUMIF('Plan Maestro'!$A$5:$A$124,$A22,'Plan Maestro'!$BE$5:$BE$124))</f>
        <v>0</v>
      </c>
      <c r="D22" s="42" t="str">
        <f aca="false">IF(OR($A22="",B22=0),"",C22/B22)</f>
        <v/>
      </c>
    </row>
    <row r="23" customFormat="false" ht="15" hidden="false" customHeight="false" outlineLevel="0" collapsed="false">
      <c r="A23" s="24" t="str">
        <f aca="false">IF(Equipos!$B11="","",Equipos!$B11)</f>
        <v>Bubbler</v>
      </c>
      <c r="B23" s="41" t="n">
        <f aca="false">IF($A23="","",SUMIF('Plan Maestro'!$A$5:$A$124,$A23,'Plan Maestro'!$BD$5:$BD$124))</f>
        <v>0</v>
      </c>
      <c r="C23" s="41" t="n">
        <f aca="false">IF($A23="","",SUMIF('Plan Maestro'!$A$5:$A$124,$A23,'Plan Maestro'!$BE$5:$BE$124))</f>
        <v>0</v>
      </c>
      <c r="D23" s="42" t="str">
        <f aca="false">IF(OR($A23="",B23=0),"",C23/B23)</f>
        <v/>
      </c>
    </row>
    <row r="24" customFormat="false" ht="15" hidden="false" customHeight="false" outlineLevel="0" collapsed="false">
      <c r="A24" s="24" t="str">
        <f aca="false">IF(Equipos!$B12="","",Equipos!$B12)</f>
        <v>RMT1-TS</v>
      </c>
      <c r="B24" s="41" t="n">
        <f aca="false">IF($A24="","",SUMIF('Plan Maestro'!$A$5:$A$124,$A24,'Plan Maestro'!$BD$5:$BD$124))</f>
        <v>0</v>
      </c>
      <c r="C24" s="41" t="n">
        <f aca="false">IF($A24="","",SUMIF('Plan Maestro'!$A$5:$A$124,$A24,'Plan Maestro'!$BE$5:$BE$124))</f>
        <v>0</v>
      </c>
      <c r="D24" s="42" t="str">
        <f aca="false">IF(OR($A24="",B24=0),"",C24/B24)</f>
        <v/>
      </c>
    </row>
    <row r="25" customFormat="false" ht="15" hidden="false" customHeight="false" outlineLevel="0" collapsed="false">
      <c r="A25" s="24" t="str">
        <f aca="false">IF(Equipos!$B13="","",Equipos!$B13)</f>
        <v>Manometer 1</v>
      </c>
      <c r="B25" s="41" t="n">
        <f aca="false">IF($A25="","",SUMIF('Plan Maestro'!$A$5:$A$124,$A25,'Plan Maestro'!$BD$5:$BD$124))</f>
        <v>0</v>
      </c>
      <c r="C25" s="41" t="n">
        <f aca="false">IF($A25="","",SUMIF('Plan Maestro'!$A$5:$A$124,$A25,'Plan Maestro'!$BE$5:$BE$124))</f>
        <v>0</v>
      </c>
      <c r="D25" s="42" t="str">
        <f aca="false">IF(OR($A25="",B25=0),"",C25/B25)</f>
        <v/>
      </c>
    </row>
    <row r="26" customFormat="false" ht="15" hidden="false" customHeight="false" outlineLevel="0" collapsed="false">
      <c r="A26" s="24" t="str">
        <f aca="false">IF(Equipos!$B14="","",Equipos!$B14)</f>
        <v>Manometer 2</v>
      </c>
      <c r="B26" s="41" t="n">
        <f aca="false">IF($A26="","",SUMIF('Plan Maestro'!$A$5:$A$124,$A26,'Plan Maestro'!$BD$5:$BD$124))</f>
        <v>0</v>
      </c>
      <c r="C26" s="41" t="n">
        <f aca="false">IF($A26="","",SUMIF('Plan Maestro'!$A$5:$A$124,$A26,'Plan Maestro'!$BE$5:$BE$124))</f>
        <v>0</v>
      </c>
      <c r="D26" s="42" t="str">
        <f aca="false">IF(OR($A26="",B26=0),"",C26/B26)</f>
        <v/>
      </c>
    </row>
    <row r="27" customFormat="false" ht="15" hidden="false" customHeight="false" outlineLevel="0" collapsed="false">
      <c r="A27" s="24" t="str">
        <f aca="false">IF(Equipos!$B15="","",Equipos!$B15)</f>
        <v>Dynamometer</v>
      </c>
      <c r="B27" s="41" t="n">
        <f aca="false">IF($A27="","",SUMIF('Plan Maestro'!$A$5:$A$124,$A27,'Plan Maestro'!$BD$5:$BD$124))</f>
        <v>13</v>
      </c>
      <c r="C27" s="41" t="n">
        <f aca="false">IF($A27="","",SUMIF('Plan Maestro'!$A$5:$A$124,$A27,'Plan Maestro'!$BE$5:$BE$124))</f>
        <v>1</v>
      </c>
      <c r="D27" s="42" t="n">
        <f aca="false">IF(OR($A27="",B27=0),"",C27/B27)</f>
        <v>0.0769230769230769</v>
      </c>
    </row>
    <row r="28" customFormat="false" ht="15" hidden="false" customHeight="false" outlineLevel="0" collapsed="false">
      <c r="A28" s="24" t="str">
        <f aca="false">IF(Equipos!$B16="","",Equipos!$B16)</f>
        <v>Laboratorio</v>
      </c>
      <c r="B28" s="41" t="n">
        <f aca="false">IF($A28="","",SUMIF('Plan Maestro'!$A$5:$A$124,$A28,'Plan Maestro'!$BD$5:$BD$124))</f>
        <v>0</v>
      </c>
      <c r="C28" s="41" t="n">
        <f aca="false">IF($A28="","",SUMIF('Plan Maestro'!$A$5:$A$124,$A28,'Plan Maestro'!$BE$5:$BE$124))</f>
        <v>0</v>
      </c>
      <c r="D28" s="42" t="str">
        <f aca="false">IF(OR($A28="",B28=0),"",C28/B28)</f>
        <v/>
      </c>
    </row>
    <row r="29" customFormat="false" ht="15" hidden="false" customHeight="false" outlineLevel="0" collapsed="false">
      <c r="A29" s="24" t="str">
        <f aca="false">IF(Equipos!$B17="","",Equipos!$B17)</f>
        <v/>
      </c>
      <c r="B29" s="41" t="str">
        <f aca="false">IF($A29="","",SUMIF('Plan Maestro'!$A$5:$A$124,$A29,'Plan Maestro'!$BD$5:$BD$124))</f>
        <v/>
      </c>
      <c r="C29" s="41" t="str">
        <f aca="false">IF($A29="","",SUMIF('Plan Maestro'!$A$5:$A$124,$A29,'Plan Maestro'!$BE$5:$BE$124))</f>
        <v/>
      </c>
      <c r="D29" s="42" t="str">
        <f aca="false">IF(OR($A29="",B29=0),"",C29/B29)</f>
        <v/>
      </c>
    </row>
    <row r="30" customFormat="false" ht="15" hidden="false" customHeight="false" outlineLevel="0" collapsed="false">
      <c r="A30" s="24" t="str">
        <f aca="false">IF(Equipos!$B18="","",Equipos!$B18)</f>
        <v/>
      </c>
      <c r="B30" s="41" t="str">
        <f aca="false">IF($A30="","",SUMIF('Plan Maestro'!$A$5:$A$124,$A30,'Plan Maestro'!$BD$5:$BD$124))</f>
        <v/>
      </c>
      <c r="C30" s="41" t="str">
        <f aca="false">IF($A30="","",SUMIF('Plan Maestro'!$A$5:$A$124,$A30,'Plan Maestro'!$BE$5:$BE$124))</f>
        <v/>
      </c>
      <c r="D30" s="42" t="str">
        <f aca="false">IF(OR($A30="",B30=0),"",C30/B30)</f>
        <v/>
      </c>
    </row>
    <row r="31" customFormat="false" ht="15" hidden="false" customHeight="false" outlineLevel="0" collapsed="false">
      <c r="A31" s="24" t="str">
        <f aca="false">IF(Equipos!$B19="","",Equipos!$B19)</f>
        <v/>
      </c>
      <c r="B31" s="41" t="str">
        <f aca="false">IF($A31="","",SUMIF('Plan Maestro'!$A$5:$A$124,$A31,'Plan Maestro'!$BD$5:$BD$124))</f>
        <v/>
      </c>
      <c r="C31" s="41" t="str">
        <f aca="false">IF($A31="","",SUMIF('Plan Maestro'!$A$5:$A$124,$A31,'Plan Maestro'!$BE$5:$BE$124))</f>
        <v/>
      </c>
      <c r="D31" s="42" t="str">
        <f aca="false">IF(OR($A31="",B31=0),"",C31/B31)</f>
        <v/>
      </c>
    </row>
    <row r="32" customFormat="false" ht="15" hidden="false" customHeight="false" outlineLevel="0" collapsed="false">
      <c r="A32" s="24" t="str">
        <f aca="false">IF(Equipos!$B20="","",Equipos!$B20)</f>
        <v/>
      </c>
      <c r="B32" s="41" t="str">
        <f aca="false">IF($A32="","",SUMIF('Plan Maestro'!$A$5:$A$124,$A32,'Plan Maestro'!$BD$5:$BD$124))</f>
        <v/>
      </c>
      <c r="C32" s="41" t="str">
        <f aca="false">IF($A32="","",SUMIF('Plan Maestro'!$A$5:$A$124,$A32,'Plan Maestro'!$BE$5:$BE$124))</f>
        <v/>
      </c>
      <c r="D32" s="42" t="str">
        <f aca="false">IF(OR($A32="",B32=0),"",C32/B32)</f>
        <v/>
      </c>
    </row>
    <row r="33" customFormat="false" ht="15" hidden="false" customHeight="false" outlineLevel="0" collapsed="false">
      <c r="A33" s="24" t="str">
        <f aca="false">IF(Equipos!$B21="","",Equipos!$B21)</f>
        <v/>
      </c>
      <c r="B33" s="41" t="str">
        <f aca="false">IF($A33="","",SUMIF('Plan Maestro'!$A$5:$A$124,$A33,'Plan Maestro'!$BD$5:$BD$124))</f>
        <v/>
      </c>
      <c r="C33" s="41" t="str">
        <f aca="false">IF($A33="","",SUMIF('Plan Maestro'!$A$5:$A$124,$A33,'Plan Maestro'!$BE$5:$BE$124))</f>
        <v/>
      </c>
      <c r="D33" s="42" t="str">
        <f aca="false">IF(OR($A33="",B33=0),"",C33/B33)</f>
        <v/>
      </c>
    </row>
    <row r="34" customFormat="false" ht="15" hidden="false" customHeight="false" outlineLevel="0" collapsed="false">
      <c r="A34" s="24" t="str">
        <f aca="false">IF(Equipos!$B22="","",Equipos!$B22)</f>
        <v/>
      </c>
      <c r="B34" s="41" t="str">
        <f aca="false">IF($A34="","",SUMIF('Plan Maestro'!$A$5:$A$124,$A34,'Plan Maestro'!$BD$5:$BD$124))</f>
        <v/>
      </c>
      <c r="C34" s="41" t="str">
        <f aca="false">IF($A34="","",SUMIF('Plan Maestro'!$A$5:$A$124,$A34,'Plan Maestro'!$BE$5:$BE$124))</f>
        <v/>
      </c>
      <c r="D34" s="42" t="str">
        <f aca="false">IF(OR($A34="",B34=0),"",C34/B34)</f>
        <v/>
      </c>
    </row>
    <row r="35" customFormat="false" ht="15" hidden="false" customHeight="false" outlineLevel="0" collapsed="false">
      <c r="A35" s="24" t="str">
        <f aca="false">IF(Equipos!$B23="","",Equipos!$B23)</f>
        <v/>
      </c>
      <c r="B35" s="41" t="str">
        <f aca="false">IF($A35="","",SUMIF('Plan Maestro'!$A$5:$A$124,$A35,'Plan Maestro'!$BD$5:$BD$124))</f>
        <v/>
      </c>
      <c r="C35" s="41" t="str">
        <f aca="false">IF($A35="","",SUMIF('Plan Maestro'!$A$5:$A$124,$A35,'Plan Maestro'!$BE$5:$BE$124))</f>
        <v/>
      </c>
      <c r="D35" s="42" t="str">
        <f aca="false">IF(OR($A35="",B35=0),"",C35/B35)</f>
        <v/>
      </c>
    </row>
    <row r="36" customFormat="false" ht="15" hidden="false" customHeight="false" outlineLevel="0" collapsed="false">
      <c r="A36" s="24" t="str">
        <f aca="false">IF(Equipos!$B24="","",Equipos!$B24)</f>
        <v/>
      </c>
      <c r="B36" s="41" t="str">
        <f aca="false">IF($A36="","",SUMIF('Plan Maestro'!$A$5:$A$124,$A36,'Plan Maestro'!$BD$5:$BD$124))</f>
        <v/>
      </c>
      <c r="C36" s="41" t="str">
        <f aca="false">IF($A36="","",SUMIF('Plan Maestro'!$A$5:$A$124,$A36,'Plan Maestro'!$BE$5:$BE$124))</f>
        <v/>
      </c>
      <c r="D36" s="42" t="str">
        <f aca="false">IF(OR($A36="",B36=0),"",C36/B36)</f>
        <v/>
      </c>
    </row>
    <row r="37" customFormat="false" ht="15" hidden="false" customHeight="false" outlineLevel="0" collapsed="false">
      <c r="A37" s="24" t="str">
        <f aca="false">IF(Equipos!$B25="","",Equipos!$B25)</f>
        <v/>
      </c>
      <c r="B37" s="41" t="str">
        <f aca="false">IF($A37="","",SUMIF('Plan Maestro'!$A$5:$A$124,$A37,'Plan Maestro'!$BD$5:$BD$124))</f>
        <v/>
      </c>
      <c r="C37" s="41" t="str">
        <f aca="false">IF($A37="","",SUMIF('Plan Maestro'!$A$5:$A$124,$A37,'Plan Maestro'!$BE$5:$BE$124))</f>
        <v/>
      </c>
      <c r="D37" s="42" t="str">
        <f aca="false">IF(OR($A37="",B37=0),"",C37/B37)</f>
        <v/>
      </c>
    </row>
    <row r="38" customFormat="false" ht="15" hidden="false" customHeight="false" outlineLevel="0" collapsed="false">
      <c r="A38" s="24" t="str">
        <f aca="false">IF(Equipos!$B26="","",Equipos!$B26)</f>
        <v/>
      </c>
      <c r="B38" s="41" t="str">
        <f aca="false">IF($A38="","",SUMIF('Plan Maestro'!$A$5:$A$124,$A38,'Plan Maestro'!$BD$5:$BD$124))</f>
        <v/>
      </c>
      <c r="C38" s="41" t="str">
        <f aca="false">IF($A38="","",SUMIF('Plan Maestro'!$A$5:$A$124,$A38,'Plan Maestro'!$BE$5:$BE$124))</f>
        <v/>
      </c>
      <c r="D38" s="42" t="str">
        <f aca="false">IF(OR($A38="",B38=0),"",C38/B38)</f>
        <v/>
      </c>
    </row>
    <row r="39" customFormat="false" ht="15" hidden="false" customHeight="false" outlineLevel="0" collapsed="false">
      <c r="A39" s="24" t="str">
        <f aca="false">IF(Equipos!$B27="","",Equipos!$B27)</f>
        <v/>
      </c>
      <c r="B39" s="41" t="str">
        <f aca="false">IF($A39="","",SUMIF('Plan Maestro'!$A$5:$A$124,$A39,'Plan Maestro'!$BD$5:$BD$124))</f>
        <v/>
      </c>
      <c r="C39" s="41" t="str">
        <f aca="false">IF($A39="","",SUMIF('Plan Maestro'!$A$5:$A$124,$A39,'Plan Maestro'!$BE$5:$BE$124))</f>
        <v/>
      </c>
      <c r="D39" s="42" t="str">
        <f aca="false">IF(OR($A39="",B39=0),"",C39/B39)</f>
        <v/>
      </c>
    </row>
    <row r="40" customFormat="false" ht="15" hidden="false" customHeight="false" outlineLevel="0" collapsed="false">
      <c r="A40" s="24" t="str">
        <f aca="false">IF(Equipos!$B28="","",Equipos!$B28)</f>
        <v/>
      </c>
      <c r="B40" s="41" t="str">
        <f aca="false">IF($A40="","",SUMIF('Plan Maestro'!$A$5:$A$124,$A40,'Plan Maestro'!$BD$5:$BD$124))</f>
        <v/>
      </c>
      <c r="C40" s="41" t="str">
        <f aca="false">IF($A40="","",SUMIF('Plan Maestro'!$A$5:$A$124,$A40,'Plan Maestro'!$BE$5:$BE$124))</f>
        <v/>
      </c>
      <c r="D40" s="42" t="str">
        <f aca="false">IF(OR($A40="",B40=0),"",C40/B40)</f>
        <v/>
      </c>
    </row>
    <row r="41" customFormat="false" ht="15" hidden="false" customHeight="false" outlineLevel="0" collapsed="false">
      <c r="A41" s="24" t="str">
        <f aca="false">IF(Equipos!$B29="","",Equipos!$B29)</f>
        <v/>
      </c>
      <c r="B41" s="41" t="str">
        <f aca="false">IF($A41="","",SUMIF('Plan Maestro'!$A$5:$A$124,$A41,'Plan Maestro'!$BD$5:$BD$124))</f>
        <v/>
      </c>
      <c r="C41" s="41" t="str">
        <f aca="false">IF($A41="","",SUMIF('Plan Maestro'!$A$5:$A$124,$A41,'Plan Maestro'!$BE$5:$BE$124))</f>
        <v/>
      </c>
      <c r="D41" s="42" t="str">
        <f aca="false">IF(OR($A41="",B41=0),"",C41/B41)</f>
        <v/>
      </c>
    </row>
    <row r="42" customFormat="false" ht="15" hidden="false" customHeight="false" outlineLevel="0" collapsed="false">
      <c r="A42" s="24" t="str">
        <f aca="false">IF(Equipos!$B30="","",Equipos!$B30)</f>
        <v/>
      </c>
      <c r="B42" s="41" t="str">
        <f aca="false">IF($A42="","",SUMIF('Plan Maestro'!$A$5:$A$124,$A42,'Plan Maestro'!$BD$5:$BD$124))</f>
        <v/>
      </c>
      <c r="C42" s="41" t="str">
        <f aca="false">IF($A42="","",SUMIF('Plan Maestro'!$A$5:$A$124,$A42,'Plan Maestro'!$BE$5:$BE$124))</f>
        <v/>
      </c>
      <c r="D42" s="42" t="str">
        <f aca="false">IF(OR($A42="",B42=0),"",C42/B42)</f>
        <v/>
      </c>
    </row>
    <row r="43" customFormat="false" ht="15" hidden="false" customHeight="false" outlineLevel="0" collapsed="false">
      <c r="A43" s="24" t="str">
        <f aca="false">IF(Equipos!$B31="","",Equipos!$B31)</f>
        <v/>
      </c>
      <c r="B43" s="41" t="str">
        <f aca="false">IF($A43="","",SUMIF('Plan Maestro'!$A$5:$A$124,$A43,'Plan Maestro'!$BD$5:$BD$124))</f>
        <v/>
      </c>
      <c r="C43" s="41" t="str">
        <f aca="false">IF($A43="","",SUMIF('Plan Maestro'!$A$5:$A$124,$A43,'Plan Maestro'!$BE$5:$BE$124))</f>
        <v/>
      </c>
      <c r="D43" s="42" t="str">
        <f aca="false">IF(OR($A43="",B43=0),"",C43/B43)</f>
        <v/>
      </c>
    </row>
    <row r="44" customFormat="false" ht="15" hidden="false" customHeight="false" outlineLevel="0" collapsed="false">
      <c r="A44" s="24" t="str">
        <f aca="false">IF(Equipos!$B32="","",Equipos!$B32)</f>
        <v/>
      </c>
      <c r="B44" s="41" t="str">
        <f aca="false">IF($A44="","",SUMIF('Plan Maestro'!$A$5:$A$124,$A44,'Plan Maestro'!$BD$5:$BD$124))</f>
        <v/>
      </c>
      <c r="C44" s="41" t="str">
        <f aca="false">IF($A44="","",SUMIF('Plan Maestro'!$A$5:$A$124,$A44,'Plan Maestro'!$BE$5:$BE$124))</f>
        <v/>
      </c>
      <c r="D44" s="42" t="str">
        <f aca="false">IF(OR($A44="",B44=0),"",C44/B44)</f>
        <v/>
      </c>
    </row>
  </sheetData>
  <sheetProtection sheet="true" formatCells="false" formatColumns="false" formatRows="false" insertRows="false" sort="false" autoFilter="false"/>
  <mergeCells count="2">
    <mergeCell ref="B1:E1"/>
    <mergeCell ref="F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364</v>
      </c>
      <c r="B1" s="4" t="s">
        <v>365</v>
      </c>
      <c r="D1" s="4" t="s">
        <v>366</v>
      </c>
      <c r="F1" s="4" t="s">
        <v>32</v>
      </c>
      <c r="H1" s="4" t="s">
        <v>367</v>
      </c>
      <c r="I1" s="4" t="s">
        <v>368</v>
      </c>
      <c r="K1" s="4" t="s">
        <v>369</v>
      </c>
      <c r="M1" s="4" t="s">
        <v>370</v>
      </c>
      <c r="O1" s="4" t="s">
        <v>135</v>
      </c>
    </row>
    <row r="2" customFormat="false" ht="15" hidden="false" customHeight="false" outlineLevel="0" collapsed="false">
      <c r="A2" s="34" t="s">
        <v>371</v>
      </c>
      <c r="B2" s="34" t="n">
        <v>1</v>
      </c>
      <c r="D2" s="34" t="s">
        <v>46</v>
      </c>
      <c r="F2" s="34" t="s">
        <v>372</v>
      </c>
      <c r="H2" s="34" t="s">
        <v>109</v>
      </c>
      <c r="I2" s="34" t="n">
        <v>182</v>
      </c>
      <c r="K2" s="34" t="s">
        <v>161</v>
      </c>
      <c r="M2" s="34" t="s">
        <v>217</v>
      </c>
      <c r="O2" s="34" t="s">
        <v>201</v>
      </c>
    </row>
    <row r="3" customFormat="false" ht="15" hidden="false" customHeight="false" outlineLevel="0" collapsed="false">
      <c r="A3" s="34" t="s">
        <v>373</v>
      </c>
      <c r="B3" s="34" t="n">
        <v>2</v>
      </c>
      <c r="D3" s="34" t="s">
        <v>374</v>
      </c>
      <c r="F3" s="34" t="s">
        <v>42</v>
      </c>
      <c r="H3" s="34" t="s">
        <v>163</v>
      </c>
      <c r="I3" s="34" t="n">
        <v>365</v>
      </c>
      <c r="K3" s="34" t="s">
        <v>149</v>
      </c>
      <c r="M3" s="34" t="s">
        <v>162</v>
      </c>
      <c r="O3" s="34" t="s">
        <v>166</v>
      </c>
    </row>
    <row r="4" customFormat="false" ht="15" hidden="false" customHeight="false" outlineLevel="0" collapsed="false">
      <c r="A4" s="34" t="s">
        <v>102</v>
      </c>
      <c r="B4" s="34" t="n">
        <v>4</v>
      </c>
      <c r="D4" s="34" t="s">
        <v>375</v>
      </c>
      <c r="F4" s="34" t="s">
        <v>376</v>
      </c>
      <c r="H4" s="34" t="s">
        <v>223</v>
      </c>
      <c r="I4" s="34" t="n">
        <v>730</v>
      </c>
      <c r="O4" s="34" t="s">
        <v>225</v>
      </c>
    </row>
    <row r="5" customFormat="false" ht="15" hidden="false" customHeight="false" outlineLevel="0" collapsed="false">
      <c r="A5" s="34" t="s">
        <v>377</v>
      </c>
      <c r="B5" s="34" t="n">
        <v>8</v>
      </c>
    </row>
    <row r="6" customFormat="false" ht="15" hidden="false" customHeight="false" outlineLevel="0" collapsed="false">
      <c r="A6" s="34" t="s">
        <v>106</v>
      </c>
      <c r="B6" s="34" t="n">
        <v>13</v>
      </c>
    </row>
    <row r="7" customFormat="false" ht="15" hidden="false" customHeight="false" outlineLevel="0" collapsed="false">
      <c r="A7" s="34" t="s">
        <v>109</v>
      </c>
      <c r="B7" s="34" t="n">
        <v>26</v>
      </c>
    </row>
    <row r="8" customFormat="false" ht="15" hidden="false" customHeight="false" outlineLevel="0" collapsed="false">
      <c r="A8" s="34" t="s">
        <v>163</v>
      </c>
      <c r="B8" s="34" t="n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2026-07-16T13:23:02Z</dcterms:created>
  <dc:creator>openpyxl</dc:creator>
  <dc:description/>
  <dc:language>en-US</dc:language>
  <cp:lastModifiedBy/>
  <dcterms:modified xsi:type="dcterms:W3CDTF">2026-07-16T13:23:09Z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